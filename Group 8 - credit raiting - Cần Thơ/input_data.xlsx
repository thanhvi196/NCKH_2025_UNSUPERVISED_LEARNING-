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d1fe5086b67c93/UEL/Nghiên cứu khoa học/2026/Group 1 - credit raiting/"/>
    </mc:Choice>
  </mc:AlternateContent>
  <xr:revisionPtr revIDLastSave="8" documentId="8_{56119D5F-CA15-C348-ABC9-DCDF12C12154}" xr6:coauthVersionLast="47" xr6:coauthVersionMax="47" xr10:uidLastSave="{35983C3A-7B9D-2744-9CB0-76C9FF20275C}"/>
  <bookViews>
    <workbookView xWindow="2380" yWindow="3000" windowWidth="26040" windowHeight="13580" xr2:uid="{088F1C7F-A798-304A-9894-9F70025F52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" i="1"/>
</calcChain>
</file>

<file path=xl/sharedStrings.xml><?xml version="1.0" encoding="utf-8"?>
<sst xmlns="http://schemas.openxmlformats.org/spreadsheetml/2006/main" count="2252" uniqueCount="217">
  <si>
    <t>id</t>
  </si>
  <si>
    <t>AAA</t>
  </si>
  <si>
    <t>AAM</t>
  </si>
  <si>
    <t>ABT</t>
  </si>
  <si>
    <t>ACC</t>
  </si>
  <si>
    <t>ACL</t>
  </si>
  <si>
    <t>ADP</t>
  </si>
  <si>
    <t>AGM</t>
  </si>
  <si>
    <t>ALT</t>
  </si>
  <si>
    <t>AMV</t>
  </si>
  <si>
    <t>ANV</t>
  </si>
  <si>
    <t>ASM</t>
  </si>
  <si>
    <t>BBC</t>
  </si>
  <si>
    <t>BBS</t>
  </si>
  <si>
    <t>BCC</t>
  </si>
  <si>
    <t>BCF</t>
  </si>
  <si>
    <t>BFC</t>
  </si>
  <si>
    <t>BHN</t>
  </si>
  <si>
    <t>BMP</t>
  </si>
  <si>
    <t>BPC</t>
  </si>
  <si>
    <t>BRC</t>
  </si>
  <si>
    <t>BTS</t>
  </si>
  <si>
    <t>BXH</t>
  </si>
  <si>
    <t>CAN</t>
  </si>
  <si>
    <t>CJC</t>
  </si>
  <si>
    <t>CLC</t>
  </si>
  <si>
    <t>CMX</t>
  </si>
  <si>
    <t>CPC</t>
  </si>
  <si>
    <t>CSM</t>
  </si>
  <si>
    <t>CSV</t>
  </si>
  <si>
    <t>CTB</t>
  </si>
  <si>
    <t>CTT</t>
  </si>
  <si>
    <t>CVT</t>
  </si>
  <si>
    <t>DBC</t>
  </si>
  <si>
    <t>DBD</t>
  </si>
  <si>
    <t>DBT</t>
  </si>
  <si>
    <t>DCL</t>
  </si>
  <si>
    <t>DCM</t>
  </si>
  <si>
    <t>DGC</t>
  </si>
  <si>
    <t>DHC</t>
  </si>
  <si>
    <t>DHG</t>
  </si>
  <si>
    <t>DHP</t>
  </si>
  <si>
    <t>DHT</t>
  </si>
  <si>
    <t>DLG</t>
  </si>
  <si>
    <t>DMC</t>
  </si>
  <si>
    <t>DNP</t>
  </si>
  <si>
    <t>DP3</t>
  </si>
  <si>
    <t>DPM</t>
  </si>
  <si>
    <t>DPR</t>
  </si>
  <si>
    <t>DQC</t>
  </si>
  <si>
    <t>DRC</t>
  </si>
  <si>
    <t>DTC</t>
  </si>
  <si>
    <t>DTG</t>
  </si>
  <si>
    <t>DTL</t>
  </si>
  <si>
    <t>DTT</t>
  </si>
  <si>
    <t>DXV</t>
  </si>
  <si>
    <t>EVE</t>
  </si>
  <si>
    <t>FCM</t>
  </si>
  <si>
    <t>FIT</t>
  </si>
  <si>
    <t>FMC</t>
  </si>
  <si>
    <t>GDT</t>
  </si>
  <si>
    <t>GEX</t>
  </si>
  <si>
    <t>GIL</t>
  </si>
  <si>
    <t>GMC</t>
  </si>
  <si>
    <t>GMX</t>
  </si>
  <si>
    <t>GTA</t>
  </si>
  <si>
    <t>GVR</t>
  </si>
  <si>
    <t>HAD</t>
  </si>
  <si>
    <t>HAP</t>
  </si>
  <si>
    <t>HAT</t>
  </si>
  <si>
    <t>HCC</t>
  </si>
  <si>
    <t>HDA</t>
  </si>
  <si>
    <t>HHC</t>
  </si>
  <si>
    <t>HOM</t>
  </si>
  <si>
    <t>HPG</t>
  </si>
  <si>
    <t>HRC</t>
  </si>
  <si>
    <t>HSG</t>
  </si>
  <si>
    <t>HT1</t>
  </si>
  <si>
    <t>HTG</t>
  </si>
  <si>
    <t>HVT</t>
  </si>
  <si>
    <t>HVX</t>
  </si>
  <si>
    <t>IDI</t>
  </si>
  <si>
    <t>IMP</t>
  </si>
  <si>
    <t>INN</t>
  </si>
  <si>
    <t>ITQ</t>
  </si>
  <si>
    <t>KDC</t>
  </si>
  <si>
    <t>KHS</t>
  </si>
  <si>
    <t>KKC</t>
  </si>
  <si>
    <t>KMR</t>
  </si>
  <si>
    <t>KSD</t>
  </si>
  <si>
    <t>KTS</t>
  </si>
  <si>
    <t>LAF</t>
  </si>
  <si>
    <t>LAS</t>
  </si>
  <si>
    <t>LBM</t>
  </si>
  <si>
    <t>LDP</t>
  </si>
  <si>
    <t>LIX</t>
  </si>
  <si>
    <t>LSS</t>
  </si>
  <si>
    <t>MCC</t>
  </si>
  <si>
    <t>MCP</t>
  </si>
  <si>
    <t>MED</t>
  </si>
  <si>
    <t>MKV</t>
  </si>
  <si>
    <t>MSH</t>
  </si>
  <si>
    <t>MSN</t>
  </si>
  <si>
    <t>NAG</t>
  </si>
  <si>
    <t>NAV</t>
  </si>
  <si>
    <t>NET</t>
  </si>
  <si>
    <t>NFC</t>
  </si>
  <si>
    <t>NHC</t>
  </si>
  <si>
    <t>NKG</t>
  </si>
  <si>
    <t>NST</t>
  </si>
  <si>
    <t>NTP</t>
  </si>
  <si>
    <t>OPC</t>
  </si>
  <si>
    <t>PAC</t>
  </si>
  <si>
    <t>PAN</t>
  </si>
  <si>
    <t>PBP</t>
  </si>
  <si>
    <t>PCE</t>
  </si>
  <si>
    <t>PDB</t>
  </si>
  <si>
    <t>PHN</t>
  </si>
  <si>
    <t>PHR</t>
  </si>
  <si>
    <t>PLC</t>
  </si>
  <si>
    <t>PMC</t>
  </si>
  <si>
    <t>PMP</t>
  </si>
  <si>
    <t>PMS</t>
  </si>
  <si>
    <t>POT</t>
  </si>
  <si>
    <t>PPP</t>
  </si>
  <si>
    <t>PSW</t>
  </si>
  <si>
    <t>PTB</t>
  </si>
  <si>
    <t>QHD</t>
  </si>
  <si>
    <t>RAL</t>
  </si>
  <si>
    <t>RDP</t>
  </si>
  <si>
    <t>SAB</t>
  </si>
  <si>
    <t>SAF</t>
  </si>
  <si>
    <t>SAM</t>
  </si>
  <si>
    <t>SAV</t>
  </si>
  <si>
    <t>SBT</t>
  </si>
  <si>
    <t>SDG</t>
  </si>
  <si>
    <t>SDN</t>
  </si>
  <si>
    <t>SFG</t>
  </si>
  <si>
    <t>SFN</t>
  </si>
  <si>
    <t>SGC</t>
  </si>
  <si>
    <t>SHA</t>
  </si>
  <si>
    <t>SHI</t>
  </si>
  <si>
    <t>SJ1</t>
  </si>
  <si>
    <t>SLS</t>
  </si>
  <si>
    <t>SMB</t>
  </si>
  <si>
    <t>SMT</t>
  </si>
  <si>
    <t>SPC</t>
  </si>
  <si>
    <t>SPM</t>
  </si>
  <si>
    <t>SRC</t>
  </si>
  <si>
    <t>SSM</t>
  </si>
  <si>
    <t>STK</t>
  </si>
  <si>
    <t>STP</t>
  </si>
  <si>
    <t>SVI</t>
  </si>
  <si>
    <t>SVT</t>
  </si>
  <si>
    <t>TBX</t>
  </si>
  <si>
    <t>TCM</t>
  </si>
  <si>
    <t>TCR</t>
  </si>
  <si>
    <t>TET</t>
  </si>
  <si>
    <t>THB</t>
  </si>
  <si>
    <t>THG</t>
  </si>
  <si>
    <t>TKU</t>
  </si>
  <si>
    <t>TLG</t>
  </si>
  <si>
    <t>TMT</t>
  </si>
  <si>
    <t>TMX</t>
  </si>
  <si>
    <t>TNC</t>
  </si>
  <si>
    <t>TNG</t>
  </si>
  <si>
    <t>TPC</t>
  </si>
  <si>
    <t>TPP</t>
  </si>
  <si>
    <t>TRA</t>
  </si>
  <si>
    <t>TRC</t>
  </si>
  <si>
    <t>TSB</t>
  </si>
  <si>
    <t>TTC</t>
  </si>
  <si>
    <t>TTF</t>
  </si>
  <si>
    <t>TVT</t>
  </si>
  <si>
    <t>TXM</t>
  </si>
  <si>
    <t>TYA</t>
  </si>
  <si>
    <t>VAF</t>
  </si>
  <si>
    <t>VBC</t>
  </si>
  <si>
    <t>VCA</t>
  </si>
  <si>
    <t>VCF</t>
  </si>
  <si>
    <t>VCS</t>
  </si>
  <si>
    <t>VDL</t>
  </si>
  <si>
    <t>VDP</t>
  </si>
  <si>
    <t>VGC</t>
  </si>
  <si>
    <t>VGS</t>
  </si>
  <si>
    <t>VHC</t>
  </si>
  <si>
    <t>VHL</t>
  </si>
  <si>
    <t>VIT</t>
  </si>
  <si>
    <t>VNM</t>
  </si>
  <si>
    <t>VPS</t>
  </si>
  <si>
    <t>VTB</t>
  </si>
  <si>
    <t>VTH</t>
  </si>
  <si>
    <t>time</t>
  </si>
  <si>
    <t>roa</t>
  </si>
  <si>
    <t>roe</t>
  </si>
  <si>
    <t>tobinq</t>
  </si>
  <si>
    <t>size</t>
  </si>
  <si>
    <t>lev</t>
  </si>
  <si>
    <t>growth</t>
  </si>
  <si>
    <t>ocf</t>
  </si>
  <si>
    <t>ppe</t>
  </si>
  <si>
    <t>age</t>
  </si>
  <si>
    <t>audit</t>
  </si>
  <si>
    <t>covid</t>
  </si>
  <si>
    <t>big_own</t>
  </si>
  <si>
    <t>mo</t>
  </si>
  <si>
    <t>fo</t>
  </si>
  <si>
    <t>so</t>
  </si>
  <si>
    <t>org_own</t>
  </si>
  <si>
    <t>board_size</t>
  </si>
  <si>
    <t>ceo_board</t>
  </si>
  <si>
    <t>female_board</t>
  </si>
  <si>
    <t>female_ceo</t>
  </si>
  <si>
    <t>board_age</t>
  </si>
  <si>
    <t>board_edu</t>
  </si>
  <si>
    <t>code</t>
  </si>
  <si>
    <t>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</si>
</sst>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98AA-0538-6E4E-9442-E1194740193D}">
  <dimension ref="A1:Z2227"/>
  <sheetViews>
    <sheetView tabSelected="1" topLeftCell="P1" workbookViewId="0">
      <selection activeCell="N5" sqref="N5"/>
    </sheetView>
  </sheetViews>
  <sheetFormatPr baseColWidth="10" defaultRowHeight="16" x14ac:dyDescent="0.2"/>
  <sheetData>
    <row r="1" spans="1:26" x14ac:dyDescent="0.2">
      <c r="A1" t="s">
        <v>0</v>
      </c>
      <c r="B1" t="s">
        <v>192</v>
      </c>
      <c r="C1" t="s">
        <v>215</v>
      </c>
      <c r="D1" t="s">
        <v>193</v>
      </c>
      <c r="E1" t="s">
        <v>194</v>
      </c>
      <c r="F1" t="s">
        <v>195</v>
      </c>
      <c r="G1" t="s">
        <v>196</v>
      </c>
      <c r="H1" t="s">
        <v>216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</row>
    <row r="2" spans="1:26" x14ac:dyDescent="0.2">
      <c r="A2" t="s">
        <v>1</v>
      </c>
      <c r="B2">
        <v>2012</v>
      </c>
      <c r="C2" t="str">
        <f>A2&amp;B2</f>
        <v>AAA2012</v>
      </c>
      <c r="D2">
        <v>6.9279005719259409E-14</v>
      </c>
      <c r="E2">
        <v>0.1083345236137371</v>
      </c>
      <c r="F2">
        <v>0.72085041740703593</v>
      </c>
      <c r="G2">
        <v>27.526209105234368</v>
      </c>
      <c r="H2">
        <v>0.8606506228425187</v>
      </c>
      <c r="I2">
        <v>0.41521810423218652</v>
      </c>
      <c r="J2">
        <v>0.10271120281064761</v>
      </c>
      <c r="K2">
        <v>0.1235858713585104</v>
      </c>
      <c r="L2">
        <v>0.45320965030340921</v>
      </c>
      <c r="M2">
        <v>10</v>
      </c>
      <c r="N2">
        <v>0</v>
      </c>
      <c r="O2">
        <v>0</v>
      </c>
      <c r="P2">
        <v>0.1326</v>
      </c>
      <c r="Q2">
        <v>3.8399999999999997E-2</v>
      </c>
      <c r="R2">
        <v>0.1326</v>
      </c>
      <c r="S2">
        <v>0</v>
      </c>
      <c r="T2">
        <v>0.1326</v>
      </c>
      <c r="U2">
        <v>5</v>
      </c>
      <c r="V2">
        <v>0</v>
      </c>
      <c r="W2">
        <v>0.2</v>
      </c>
      <c r="X2">
        <v>0</v>
      </c>
      <c r="Y2">
        <v>0.38219999999999998</v>
      </c>
      <c r="Z2">
        <v>1</v>
      </c>
    </row>
    <row r="3" spans="1:26" x14ac:dyDescent="0.2">
      <c r="A3" t="s">
        <v>1</v>
      </c>
      <c r="B3">
        <v>2013</v>
      </c>
      <c r="C3" t="str">
        <f t="shared" ref="C3:C66" si="0">A3&amp;B3</f>
        <v>AAA2013</v>
      </c>
      <c r="D3">
        <v>4.1902963635015939E-14</v>
      </c>
      <c r="E3">
        <v>0.10207360069500621</v>
      </c>
      <c r="F3">
        <v>0.82481885044168946</v>
      </c>
      <c r="G3">
        <v>27.771277896401571</v>
      </c>
      <c r="H3">
        <v>1.2119082498807221</v>
      </c>
      <c r="I3">
        <v>0.52022178788447704</v>
      </c>
      <c r="J3">
        <v>0.27770920528933418</v>
      </c>
      <c r="K3">
        <v>7.543102883470898E-2</v>
      </c>
      <c r="L3">
        <v>0.49650270740230401</v>
      </c>
      <c r="M3">
        <v>11</v>
      </c>
      <c r="N3">
        <v>0</v>
      </c>
      <c r="O3">
        <v>0</v>
      </c>
      <c r="P3">
        <v>0.1326</v>
      </c>
      <c r="Q3">
        <v>3.8399999999999997E-2</v>
      </c>
      <c r="R3">
        <v>0.1326</v>
      </c>
      <c r="S3">
        <v>0</v>
      </c>
      <c r="T3">
        <v>0.1326</v>
      </c>
      <c r="U3">
        <v>5</v>
      </c>
      <c r="V3">
        <v>0</v>
      </c>
      <c r="W3">
        <v>0.2</v>
      </c>
      <c r="X3">
        <v>0</v>
      </c>
      <c r="Y3">
        <v>0.39219999999999999</v>
      </c>
      <c r="Z3">
        <v>1</v>
      </c>
    </row>
    <row r="4" spans="1:26" x14ac:dyDescent="0.2">
      <c r="A4" t="s">
        <v>1</v>
      </c>
      <c r="B4">
        <v>2014</v>
      </c>
      <c r="C4" t="str">
        <f t="shared" si="0"/>
        <v>AAA2014</v>
      </c>
      <c r="D4">
        <v>2.3641132215062518E-14</v>
      </c>
      <c r="E4">
        <v>6.14990362186284E-2</v>
      </c>
      <c r="F4">
        <v>0.83407610781600627</v>
      </c>
      <c r="G4">
        <v>27.982839801749499</v>
      </c>
      <c r="H4">
        <v>0.96034044994561463</v>
      </c>
      <c r="I4">
        <v>0.44689240194349122</v>
      </c>
      <c r="J4">
        <v>0.23560645390858309</v>
      </c>
      <c r="K4">
        <v>7.4565568049656875E-2</v>
      </c>
      <c r="L4">
        <v>0.45501757371200358</v>
      </c>
      <c r="M4">
        <v>12</v>
      </c>
      <c r="N4">
        <v>0</v>
      </c>
      <c r="O4">
        <v>0</v>
      </c>
      <c r="P4">
        <v>0.1326</v>
      </c>
      <c r="Q4">
        <v>2.6499999999999999E-2</v>
      </c>
      <c r="R4">
        <v>0.1326</v>
      </c>
      <c r="S4">
        <v>0</v>
      </c>
      <c r="T4">
        <v>0.1326</v>
      </c>
      <c r="U4">
        <v>5</v>
      </c>
      <c r="V4">
        <v>0</v>
      </c>
      <c r="W4">
        <v>0.2</v>
      </c>
      <c r="X4">
        <v>0</v>
      </c>
      <c r="Y4">
        <v>0.4022</v>
      </c>
      <c r="Z4">
        <v>1</v>
      </c>
    </row>
    <row r="5" spans="1:26" x14ac:dyDescent="0.2">
      <c r="A5" t="s">
        <v>1</v>
      </c>
      <c r="B5">
        <v>2015</v>
      </c>
      <c r="C5" t="str">
        <f t="shared" si="0"/>
        <v>AAA2015</v>
      </c>
      <c r="D5">
        <v>1.061180317332169E-14</v>
      </c>
      <c r="E5">
        <v>4.948083286944116E-2</v>
      </c>
      <c r="F5">
        <v>0.89224512893480379</v>
      </c>
      <c r="G5">
        <v>28.301290932831911</v>
      </c>
      <c r="H5">
        <v>1.3677661200476749</v>
      </c>
      <c r="I5">
        <v>0.58077548799036005</v>
      </c>
      <c r="J5">
        <v>0.37499642495498348</v>
      </c>
      <c r="K5">
        <v>-3.221859579852264E-2</v>
      </c>
      <c r="L5">
        <v>0.40236802322243792</v>
      </c>
      <c r="M5">
        <v>13</v>
      </c>
      <c r="N5">
        <v>0</v>
      </c>
      <c r="O5">
        <v>0</v>
      </c>
      <c r="P5">
        <v>0.41660000000000003</v>
      </c>
      <c r="Q5">
        <v>0.28410000000000002</v>
      </c>
      <c r="R5">
        <v>0.1326</v>
      </c>
      <c r="S5">
        <v>0</v>
      </c>
      <c r="T5">
        <v>0.1326</v>
      </c>
      <c r="U5">
        <v>5</v>
      </c>
      <c r="V5">
        <v>0</v>
      </c>
      <c r="W5">
        <v>0.2</v>
      </c>
      <c r="X5">
        <v>1</v>
      </c>
      <c r="Y5">
        <v>0.40100000000000002</v>
      </c>
      <c r="Z5">
        <v>1</v>
      </c>
    </row>
    <row r="6" spans="1:26" x14ac:dyDescent="0.2">
      <c r="A6" t="s">
        <v>1</v>
      </c>
      <c r="B6">
        <v>2016</v>
      </c>
      <c r="C6" t="str">
        <f t="shared" si="0"/>
        <v>AAA2016</v>
      </c>
      <c r="D6">
        <v>1.5089658047138961E-14</v>
      </c>
      <c r="E6">
        <v>0.14969856287208011</v>
      </c>
      <c r="F6">
        <v>1.0843859723468749</v>
      </c>
      <c r="G6">
        <v>28.755176380318311</v>
      </c>
      <c r="H6">
        <v>1.606347387987165</v>
      </c>
      <c r="I6">
        <v>0.68977542717470108</v>
      </c>
      <c r="J6">
        <v>0.57441763364726772</v>
      </c>
      <c r="K6">
        <v>2.999124577260576E-2</v>
      </c>
      <c r="L6">
        <v>0.50476651527638616</v>
      </c>
      <c r="M6">
        <v>14</v>
      </c>
      <c r="N6">
        <v>0</v>
      </c>
      <c r="O6">
        <v>0</v>
      </c>
      <c r="P6">
        <v>0.56199999999999994</v>
      </c>
      <c r="Q6">
        <v>0.41539999999999999</v>
      </c>
      <c r="R6">
        <v>0.115</v>
      </c>
      <c r="S6">
        <v>0</v>
      </c>
      <c r="T6">
        <v>0.115</v>
      </c>
      <c r="U6">
        <v>5</v>
      </c>
      <c r="V6">
        <v>0</v>
      </c>
      <c r="W6">
        <v>0.2</v>
      </c>
      <c r="X6">
        <v>1</v>
      </c>
      <c r="Y6">
        <v>0.3911</v>
      </c>
      <c r="Z6">
        <v>1</v>
      </c>
    </row>
    <row r="7" spans="1:26" x14ac:dyDescent="0.2">
      <c r="A7" t="s">
        <v>1</v>
      </c>
      <c r="B7">
        <v>2017</v>
      </c>
      <c r="C7" t="str">
        <f t="shared" si="0"/>
        <v>AAA2017</v>
      </c>
      <c r="D7">
        <v>1.2576353267180481E-14</v>
      </c>
      <c r="E7">
        <v>0.16207318238374491</v>
      </c>
      <c r="F7">
        <v>1.2495957376528639</v>
      </c>
      <c r="G7">
        <v>29.15188070700372</v>
      </c>
      <c r="H7">
        <v>1.194128469131718</v>
      </c>
      <c r="I7">
        <v>0.64490504961125117</v>
      </c>
      <c r="J7">
        <v>0.48691622360141729</v>
      </c>
      <c r="K7">
        <v>-1.489249850799723E-2</v>
      </c>
      <c r="L7">
        <v>0.50284444716541365</v>
      </c>
      <c r="M7">
        <v>15</v>
      </c>
      <c r="N7">
        <v>1</v>
      </c>
      <c r="O7">
        <v>0</v>
      </c>
      <c r="P7">
        <v>0.39689999999999998</v>
      </c>
      <c r="Q7">
        <v>2.0299999999999999E-2</v>
      </c>
      <c r="R7">
        <v>7.8200000000000006E-2</v>
      </c>
      <c r="S7">
        <v>0</v>
      </c>
      <c r="T7">
        <v>0.39689999999999998</v>
      </c>
      <c r="U7">
        <v>5</v>
      </c>
      <c r="V7">
        <v>0</v>
      </c>
      <c r="W7">
        <v>0.2</v>
      </c>
      <c r="X7">
        <v>1</v>
      </c>
      <c r="Y7">
        <v>0.38900000000000001</v>
      </c>
      <c r="Z7">
        <v>1</v>
      </c>
    </row>
    <row r="8" spans="1:26" x14ac:dyDescent="0.2">
      <c r="A8" t="s">
        <v>1</v>
      </c>
      <c r="B8">
        <v>2018</v>
      </c>
      <c r="C8" t="str">
        <f t="shared" si="0"/>
        <v>AAA2018</v>
      </c>
      <c r="D8">
        <v>3.7423722479340329E-15</v>
      </c>
      <c r="E8">
        <v>7.1184935148541503E-2</v>
      </c>
      <c r="F8">
        <v>0.93842472632309637</v>
      </c>
      <c r="G8">
        <v>29.64980549058151</v>
      </c>
      <c r="H8">
        <v>1.0763072923010271</v>
      </c>
      <c r="I8">
        <v>0.60417264505203749</v>
      </c>
      <c r="J8">
        <v>0.64530336491723772</v>
      </c>
      <c r="K8">
        <v>8.2440054733161298E-3</v>
      </c>
      <c r="L8">
        <v>0.441194937419291</v>
      </c>
      <c r="M8">
        <v>16</v>
      </c>
      <c r="N8">
        <v>1</v>
      </c>
      <c r="O8">
        <v>0</v>
      </c>
      <c r="P8">
        <v>0.54099999999999993</v>
      </c>
      <c r="Q8">
        <v>0</v>
      </c>
      <c r="R8">
        <v>7.4800000000000005E-2</v>
      </c>
      <c r="S8">
        <v>0</v>
      </c>
      <c r="T8">
        <v>0.54099999999999993</v>
      </c>
      <c r="U8">
        <v>5</v>
      </c>
      <c r="V8">
        <v>0</v>
      </c>
      <c r="W8">
        <v>0.2</v>
      </c>
      <c r="X8">
        <v>1</v>
      </c>
      <c r="Y8">
        <v>0.36730000000000002</v>
      </c>
      <c r="Z8">
        <v>1</v>
      </c>
    </row>
    <row r="9" spans="1:26" x14ac:dyDescent="0.2">
      <c r="A9" t="s">
        <v>1</v>
      </c>
      <c r="B9">
        <v>2019</v>
      </c>
      <c r="C9" t="str">
        <f t="shared" si="0"/>
        <v>AAA2019</v>
      </c>
      <c r="D9">
        <v>7.6964468076088699E-15</v>
      </c>
      <c r="E9">
        <v>0.1508426860127334</v>
      </c>
      <c r="F9">
        <v>0.8646629481040039</v>
      </c>
      <c r="G9">
        <v>29.708893196464679</v>
      </c>
      <c r="H9">
        <v>1.244304672154166</v>
      </c>
      <c r="I9">
        <v>0.59245610321365749</v>
      </c>
      <c r="J9">
        <v>6.0868281049530681E-2</v>
      </c>
      <c r="K9">
        <v>7.1244579265624011E-2</v>
      </c>
      <c r="L9">
        <v>0.28706677538049258</v>
      </c>
      <c r="M9">
        <v>17</v>
      </c>
      <c r="N9">
        <v>1</v>
      </c>
      <c r="O9">
        <v>1</v>
      </c>
      <c r="P9">
        <v>0.48080000000000001</v>
      </c>
      <c r="Q9">
        <v>0</v>
      </c>
      <c r="R9">
        <v>0</v>
      </c>
      <c r="S9">
        <v>0</v>
      </c>
      <c r="T9">
        <v>0.48080000000000001</v>
      </c>
      <c r="U9">
        <v>5</v>
      </c>
      <c r="V9">
        <v>0</v>
      </c>
      <c r="W9">
        <v>0.2</v>
      </c>
      <c r="X9">
        <v>1</v>
      </c>
      <c r="Y9">
        <v>0.36849999999999999</v>
      </c>
      <c r="Z9">
        <v>1</v>
      </c>
    </row>
    <row r="10" spans="1:26" x14ac:dyDescent="0.2">
      <c r="A10" t="s">
        <v>1</v>
      </c>
      <c r="B10">
        <v>2020</v>
      </c>
      <c r="C10" t="str">
        <f t="shared" si="0"/>
        <v>AAA2020</v>
      </c>
      <c r="D10">
        <v>3.8561086442845257E-15</v>
      </c>
      <c r="E10">
        <v>7.0371633333897218E-2</v>
      </c>
      <c r="F10">
        <v>0.90307169264530029</v>
      </c>
      <c r="G10">
        <v>29.779220514920929</v>
      </c>
      <c r="H10">
        <v>1.535961690465798</v>
      </c>
      <c r="I10">
        <v>0.5304273699175257</v>
      </c>
      <c r="J10">
        <v>7.2859290435543622E-2</v>
      </c>
      <c r="K10">
        <v>8.7341359136826668E-2</v>
      </c>
      <c r="L10">
        <v>0.30416489360145987</v>
      </c>
      <c r="M10">
        <v>18</v>
      </c>
      <c r="N10">
        <v>1</v>
      </c>
      <c r="O10">
        <v>1</v>
      </c>
      <c r="P10">
        <v>0.50639999999999996</v>
      </c>
      <c r="Q10">
        <v>0</v>
      </c>
      <c r="R10">
        <v>0</v>
      </c>
      <c r="S10">
        <v>0</v>
      </c>
      <c r="T10">
        <v>0.50639999999999996</v>
      </c>
      <c r="U10">
        <v>5</v>
      </c>
      <c r="V10">
        <v>0</v>
      </c>
      <c r="W10">
        <v>0.2</v>
      </c>
      <c r="X10">
        <v>1</v>
      </c>
      <c r="Y10">
        <v>0.38</v>
      </c>
      <c r="Z10">
        <v>1</v>
      </c>
    </row>
    <row r="11" spans="1:26" x14ac:dyDescent="0.2">
      <c r="A11" t="s">
        <v>1</v>
      </c>
      <c r="B11">
        <v>2021</v>
      </c>
      <c r="C11" t="str">
        <f t="shared" si="0"/>
        <v>AAA2021</v>
      </c>
      <c r="D11">
        <v>3.2352630736947049E-15</v>
      </c>
      <c r="E11">
        <v>5.942800486757141E-2</v>
      </c>
      <c r="F11">
        <v>1.1138510464752731</v>
      </c>
      <c r="G11">
        <v>29.934558418955788</v>
      </c>
      <c r="H11">
        <v>1.191690332000418</v>
      </c>
      <c r="I11">
        <v>0.45508095079948518</v>
      </c>
      <c r="J11">
        <v>0.1680525841101124</v>
      </c>
      <c r="K11">
        <v>5.8910680284718277E-2</v>
      </c>
      <c r="L11">
        <v>0.28728590092995943</v>
      </c>
      <c r="M11">
        <v>19</v>
      </c>
      <c r="N11">
        <v>1</v>
      </c>
      <c r="O11">
        <v>0</v>
      </c>
      <c r="P11">
        <v>0.50570000000000004</v>
      </c>
      <c r="Q11">
        <v>0</v>
      </c>
      <c r="R11">
        <v>0</v>
      </c>
      <c r="S11">
        <v>0</v>
      </c>
      <c r="T11">
        <v>0.50570000000000004</v>
      </c>
      <c r="U11">
        <v>7</v>
      </c>
      <c r="V11">
        <v>0</v>
      </c>
      <c r="W11">
        <v>0.42857142857142849</v>
      </c>
      <c r="X11">
        <v>1</v>
      </c>
      <c r="Y11">
        <v>0.3931</v>
      </c>
      <c r="Z11">
        <v>1</v>
      </c>
    </row>
    <row r="12" spans="1:26" x14ac:dyDescent="0.2">
      <c r="A12" t="s">
        <v>1</v>
      </c>
      <c r="B12">
        <v>2022</v>
      </c>
      <c r="C12" t="str">
        <f t="shared" si="0"/>
        <v>AAA2022</v>
      </c>
      <c r="D12">
        <v>1.006360056838651E-15</v>
      </c>
      <c r="E12">
        <v>1.90062783732045E-2</v>
      </c>
      <c r="F12">
        <v>0.67021991589254448</v>
      </c>
      <c r="G12">
        <v>30.010181312790071</v>
      </c>
      <c r="H12">
        <v>1.6313396712892909</v>
      </c>
      <c r="I12">
        <v>0.42837337337406978</v>
      </c>
      <c r="J12">
        <v>7.8555767427471279E-2</v>
      </c>
      <c r="K12">
        <v>1.671007299349811E-2</v>
      </c>
      <c r="L12">
        <v>0.24948987107198051</v>
      </c>
      <c r="M12">
        <v>20</v>
      </c>
      <c r="N12">
        <v>1</v>
      </c>
      <c r="O12">
        <v>0</v>
      </c>
      <c r="P12">
        <v>0.52790000000000004</v>
      </c>
      <c r="Q12">
        <v>6.5000000000000006E-3</v>
      </c>
      <c r="R12">
        <v>0</v>
      </c>
      <c r="S12">
        <v>0</v>
      </c>
      <c r="T12">
        <v>0.52790000000000004</v>
      </c>
      <c r="U12">
        <v>5</v>
      </c>
      <c r="V12">
        <v>0</v>
      </c>
      <c r="W12">
        <v>0.4</v>
      </c>
      <c r="X12">
        <v>1</v>
      </c>
      <c r="Y12">
        <v>0.40460000000000002</v>
      </c>
      <c r="Z12">
        <v>1</v>
      </c>
    </row>
    <row r="13" spans="1:26" x14ac:dyDescent="0.2">
      <c r="A13" t="s">
        <v>1</v>
      </c>
      <c r="B13">
        <v>2023</v>
      </c>
      <c r="C13" t="str">
        <f t="shared" si="0"/>
        <v>AAA2023</v>
      </c>
      <c r="D13">
        <v>4238129037763.02</v>
      </c>
      <c r="E13">
        <v>3.5956552173907592E-2</v>
      </c>
      <c r="F13">
        <v>0.56950620342555258</v>
      </c>
      <c r="G13">
        <v>30.08059808318832</v>
      </c>
      <c r="H13">
        <v>1.764787123677297</v>
      </c>
      <c r="I13">
        <v>0.25763923902752478</v>
      </c>
      <c r="J13">
        <v>7.295526407501729E-2</v>
      </c>
      <c r="K13">
        <v>0.24056547556077459</v>
      </c>
      <c r="L13">
        <v>0.18650860202395009</v>
      </c>
      <c r="M13">
        <v>21</v>
      </c>
      <c r="N13">
        <v>0</v>
      </c>
      <c r="O13">
        <v>0</v>
      </c>
      <c r="P13">
        <v>0.52790000000000004</v>
      </c>
      <c r="Q13">
        <v>6.5000000000000006E-3</v>
      </c>
      <c r="R13">
        <v>0</v>
      </c>
      <c r="S13">
        <v>0</v>
      </c>
      <c r="T13">
        <v>0.52790000000000004</v>
      </c>
      <c r="U13">
        <v>5</v>
      </c>
      <c r="V13">
        <v>0</v>
      </c>
      <c r="W13">
        <v>0.4</v>
      </c>
      <c r="X13">
        <v>1</v>
      </c>
      <c r="Y13">
        <v>0.40460000000000002</v>
      </c>
      <c r="Z13">
        <v>1</v>
      </c>
    </row>
    <row r="14" spans="1:26" x14ac:dyDescent="0.2">
      <c r="A14" t="s">
        <v>2</v>
      </c>
      <c r="B14">
        <v>2012</v>
      </c>
      <c r="C14" t="str">
        <f t="shared" si="0"/>
        <v>AAM2012</v>
      </c>
      <c r="D14">
        <v>1.714505811592402E-13</v>
      </c>
      <c r="E14">
        <v>5.4835000560832008E-2</v>
      </c>
      <c r="F14">
        <v>0.85634104187228965</v>
      </c>
      <c r="G14">
        <v>26.378420502615359</v>
      </c>
      <c r="H14">
        <v>6.9654522405909711</v>
      </c>
      <c r="I14">
        <v>0.1065225934659297</v>
      </c>
      <c r="J14">
        <v>-0.13399734568066909</v>
      </c>
      <c r="K14">
        <v>0.1062963966401379</v>
      </c>
      <c r="L14">
        <v>0.116467916199163</v>
      </c>
      <c r="M14">
        <v>10</v>
      </c>
      <c r="N14">
        <v>0</v>
      </c>
      <c r="O14">
        <v>0</v>
      </c>
      <c r="P14">
        <v>7.7399999999999997E-2</v>
      </c>
      <c r="Q14">
        <v>0.14779999999999999</v>
      </c>
      <c r="R14">
        <v>0</v>
      </c>
      <c r="S14">
        <v>0</v>
      </c>
      <c r="T14">
        <v>0</v>
      </c>
      <c r="U14">
        <v>5</v>
      </c>
      <c r="V14">
        <v>1</v>
      </c>
      <c r="W14">
        <v>0.4</v>
      </c>
      <c r="X14">
        <v>0</v>
      </c>
      <c r="Y14">
        <v>0.49</v>
      </c>
      <c r="Z14">
        <v>0.8</v>
      </c>
    </row>
    <row r="15" spans="1:26" x14ac:dyDescent="0.2">
      <c r="A15" t="s">
        <v>2</v>
      </c>
      <c r="B15">
        <v>2013</v>
      </c>
      <c r="C15" t="str">
        <f t="shared" si="0"/>
        <v>AAM2013</v>
      </c>
      <c r="D15">
        <v>8.9727167065194241E-14</v>
      </c>
      <c r="E15">
        <v>3.1698378204379228E-2</v>
      </c>
      <c r="F15">
        <v>0.61200458669897584</v>
      </c>
      <c r="G15">
        <v>26.433929604585121</v>
      </c>
      <c r="H15">
        <v>8.2008663454937931</v>
      </c>
      <c r="I15">
        <v>0.14493983246034081</v>
      </c>
      <c r="J15">
        <v>5.7078638526428797E-2</v>
      </c>
      <c r="K15">
        <v>6.9323052143907715E-2</v>
      </c>
      <c r="L15">
        <v>9.0048153853312232E-2</v>
      </c>
      <c r="M15">
        <v>11</v>
      </c>
      <c r="N15">
        <v>0</v>
      </c>
      <c r="O15">
        <v>0</v>
      </c>
      <c r="P15">
        <v>6.0900000000000003E-2</v>
      </c>
      <c r="Q15">
        <v>0.1668</v>
      </c>
      <c r="R15">
        <v>0</v>
      </c>
      <c r="S15">
        <v>0</v>
      </c>
      <c r="T15">
        <v>0</v>
      </c>
      <c r="U15">
        <v>5</v>
      </c>
      <c r="V15">
        <v>1</v>
      </c>
      <c r="W15">
        <v>0.4</v>
      </c>
      <c r="X15">
        <v>1</v>
      </c>
      <c r="Y15">
        <v>0.47889999999999999</v>
      </c>
      <c r="Z15">
        <v>0.8</v>
      </c>
    </row>
    <row r="16" spans="1:26" x14ac:dyDescent="0.2">
      <c r="A16" t="s">
        <v>2</v>
      </c>
      <c r="B16">
        <v>2014</v>
      </c>
      <c r="C16" t="str">
        <f t="shared" si="0"/>
        <v>AAM2014</v>
      </c>
      <c r="D16">
        <v>1.00555147017527E-13</v>
      </c>
      <c r="E16">
        <v>3.4511236451261272E-2</v>
      </c>
      <c r="F16">
        <v>0.61549794932655322</v>
      </c>
      <c r="G16">
        <v>26.417640926072849</v>
      </c>
      <c r="H16">
        <v>5.7759882771105691</v>
      </c>
      <c r="I16">
        <v>0.13407662127705711</v>
      </c>
      <c r="J16">
        <v>-1.61567353530272E-2</v>
      </c>
      <c r="K16">
        <v>7.3266244859604021E-2</v>
      </c>
      <c r="L16">
        <v>6.9110143040715583E-2</v>
      </c>
      <c r="M16">
        <v>12</v>
      </c>
      <c r="N16">
        <v>0</v>
      </c>
      <c r="O16">
        <v>0</v>
      </c>
      <c r="P16">
        <v>0.35010000000000008</v>
      </c>
      <c r="Q16">
        <v>0.27850000000000003</v>
      </c>
      <c r="R16">
        <v>0</v>
      </c>
      <c r="S16">
        <v>0</v>
      </c>
      <c r="T16">
        <v>0</v>
      </c>
      <c r="U16">
        <v>5</v>
      </c>
      <c r="V16">
        <v>1</v>
      </c>
      <c r="W16">
        <v>0.4</v>
      </c>
      <c r="X16">
        <v>1</v>
      </c>
      <c r="Y16">
        <v>0.4889</v>
      </c>
      <c r="Z16">
        <v>0.8</v>
      </c>
    </row>
    <row r="17" spans="1:26" x14ac:dyDescent="0.2">
      <c r="A17" t="s">
        <v>2</v>
      </c>
      <c r="B17">
        <v>2015</v>
      </c>
      <c r="C17" t="str">
        <f t="shared" si="0"/>
        <v>AAM2015</v>
      </c>
      <c r="D17">
        <v>2.473611471243565E-14</v>
      </c>
      <c r="E17">
        <v>1.0268979734177459E-2</v>
      </c>
      <c r="F17">
        <v>0.54549043949247922</v>
      </c>
      <c r="G17">
        <v>26.49761166647869</v>
      </c>
      <c r="H17">
        <v>6.3669155691640924</v>
      </c>
      <c r="I17">
        <v>0.2245197889099288</v>
      </c>
      <c r="J17">
        <v>8.325537159871077E-2</v>
      </c>
      <c r="K17">
        <v>-3.6493341896361412E-5</v>
      </c>
      <c r="L17">
        <v>4.8346962128150393E-2</v>
      </c>
      <c r="M17">
        <v>13</v>
      </c>
      <c r="N17">
        <v>0</v>
      </c>
      <c r="O17">
        <v>0</v>
      </c>
      <c r="P17">
        <v>0.35010000000000008</v>
      </c>
      <c r="Q17">
        <v>0.27850000000000003</v>
      </c>
      <c r="R17">
        <v>0</v>
      </c>
      <c r="S17">
        <v>0</v>
      </c>
      <c r="T17">
        <v>0</v>
      </c>
      <c r="U17">
        <v>5</v>
      </c>
      <c r="V17">
        <v>1</v>
      </c>
      <c r="W17">
        <v>0.4</v>
      </c>
      <c r="X17">
        <v>1</v>
      </c>
      <c r="Y17">
        <v>0.49890000000000001</v>
      </c>
      <c r="Z17">
        <v>0.8</v>
      </c>
    </row>
    <row r="18" spans="1:26" x14ac:dyDescent="0.2">
      <c r="A18" t="s">
        <v>2</v>
      </c>
      <c r="B18">
        <v>2016</v>
      </c>
      <c r="C18" t="str">
        <f t="shared" si="0"/>
        <v>AAM2016</v>
      </c>
      <c r="D18">
        <v>2.3596751572889741E-14</v>
      </c>
      <c r="E18">
        <v>6.4067794834167984E-3</v>
      </c>
      <c r="F18">
        <v>0.41687342445139047</v>
      </c>
      <c r="G18">
        <v>26.27585236172385</v>
      </c>
      <c r="H18">
        <v>3.912314513056208</v>
      </c>
      <c r="I18">
        <v>5.0116962945067317E-2</v>
      </c>
      <c r="J18">
        <v>-0.19889183594331261</v>
      </c>
      <c r="K18">
        <v>7.6946377016892872E-3</v>
      </c>
      <c r="L18">
        <v>4.3616302798920432E-2</v>
      </c>
      <c r="M18">
        <v>14</v>
      </c>
      <c r="N18">
        <v>0</v>
      </c>
      <c r="O18">
        <v>0</v>
      </c>
      <c r="P18">
        <v>0.35010000000000008</v>
      </c>
      <c r="Q18">
        <v>0.27850000000000003</v>
      </c>
      <c r="R18">
        <v>0</v>
      </c>
      <c r="S18">
        <v>0</v>
      </c>
      <c r="T18">
        <v>0</v>
      </c>
      <c r="U18">
        <v>5</v>
      </c>
      <c r="V18">
        <v>1</v>
      </c>
      <c r="W18">
        <v>0.4</v>
      </c>
      <c r="X18">
        <v>1</v>
      </c>
      <c r="Y18">
        <v>0.50890000000000002</v>
      </c>
      <c r="Z18">
        <v>0.8</v>
      </c>
    </row>
    <row r="19" spans="1:26" x14ac:dyDescent="0.2">
      <c r="A19" t="s">
        <v>2</v>
      </c>
      <c r="B19">
        <v>2017</v>
      </c>
      <c r="C19" t="str">
        <f t="shared" si="0"/>
        <v>AAM2017</v>
      </c>
      <c r="D19">
        <v>1.7881624993650569E-14</v>
      </c>
      <c r="E19">
        <v>4.6962656148865902E-3</v>
      </c>
      <c r="F19">
        <v>0.45093746472072271</v>
      </c>
      <c r="G19">
        <v>26.250949725980519</v>
      </c>
      <c r="H19">
        <v>21.508094734866201</v>
      </c>
      <c r="I19">
        <v>4.2151239856710009E-2</v>
      </c>
      <c r="J19">
        <v>-2.4595123024048759E-2</v>
      </c>
      <c r="K19">
        <v>0.2404563423720433</v>
      </c>
      <c r="L19">
        <v>4.4417033922553702E-2</v>
      </c>
      <c r="M19">
        <v>15</v>
      </c>
      <c r="N19">
        <v>0</v>
      </c>
      <c r="O19">
        <v>0</v>
      </c>
      <c r="P19">
        <v>0.35010000000000008</v>
      </c>
      <c r="Q19">
        <v>0.27850000000000003</v>
      </c>
      <c r="R19">
        <v>0</v>
      </c>
      <c r="S19">
        <v>0</v>
      </c>
      <c r="T19">
        <v>0</v>
      </c>
      <c r="U19">
        <v>5</v>
      </c>
      <c r="V19">
        <v>1</v>
      </c>
      <c r="W19">
        <v>0.4</v>
      </c>
      <c r="X19">
        <v>1</v>
      </c>
      <c r="Y19">
        <v>0.53110000000000002</v>
      </c>
      <c r="Z19">
        <v>0.8</v>
      </c>
    </row>
    <row r="20" spans="1:26" x14ac:dyDescent="0.2">
      <c r="A20" t="s">
        <v>2</v>
      </c>
      <c r="B20">
        <v>2018</v>
      </c>
      <c r="C20" t="str">
        <f t="shared" si="0"/>
        <v>AAM2018</v>
      </c>
      <c r="D20">
        <v>1.8137330828071389E-13</v>
      </c>
      <c r="E20">
        <v>4.531024899344932E-2</v>
      </c>
      <c r="F20">
        <v>0.54774266372784119</v>
      </c>
      <c r="G20">
        <v>26.161167029081671</v>
      </c>
      <c r="H20">
        <v>26.03906732510179</v>
      </c>
      <c r="I20">
        <v>7.9492340085472998E-2</v>
      </c>
      <c r="J20">
        <v>-8.5870193068202982E-2</v>
      </c>
      <c r="K20">
        <v>0.1015507724605331</v>
      </c>
      <c r="L20">
        <v>4.8784245780221468E-2</v>
      </c>
      <c r="M20">
        <v>16</v>
      </c>
      <c r="N20">
        <v>0</v>
      </c>
      <c r="O20">
        <v>0</v>
      </c>
      <c r="P20">
        <v>0.35010000000000008</v>
      </c>
      <c r="Q20">
        <v>0.34369999999999989</v>
      </c>
      <c r="R20">
        <v>0</v>
      </c>
      <c r="S20">
        <v>0</v>
      </c>
      <c r="T20">
        <v>0</v>
      </c>
      <c r="U20">
        <v>5</v>
      </c>
      <c r="V20">
        <v>1</v>
      </c>
      <c r="W20">
        <v>0.4</v>
      </c>
      <c r="X20">
        <v>1</v>
      </c>
      <c r="Y20">
        <v>0.54110000000000003</v>
      </c>
      <c r="Z20">
        <v>0.8</v>
      </c>
    </row>
    <row r="21" spans="1:26" x14ac:dyDescent="0.2">
      <c r="A21" t="s">
        <v>2</v>
      </c>
      <c r="B21">
        <v>2019</v>
      </c>
      <c r="C21" t="str">
        <f t="shared" si="0"/>
        <v>AAM2019</v>
      </c>
      <c r="D21">
        <v>1.605266762057364E-13</v>
      </c>
      <c r="E21">
        <v>3.9301013553844258E-2</v>
      </c>
      <c r="F21">
        <v>0.65873595265498952</v>
      </c>
      <c r="G21">
        <v>26.150451061626491</v>
      </c>
      <c r="H21">
        <v>12.156915676029691</v>
      </c>
      <c r="I21">
        <v>7.0733977329638528E-2</v>
      </c>
      <c r="J21">
        <v>-1.065875601692623E-2</v>
      </c>
      <c r="K21">
        <v>-9.5571648340894932E-2</v>
      </c>
      <c r="L21">
        <v>4.1598925852825028E-2</v>
      </c>
      <c r="M21">
        <v>17</v>
      </c>
      <c r="N21">
        <v>0</v>
      </c>
      <c r="O21">
        <v>1</v>
      </c>
      <c r="P21">
        <v>0.46689999999999998</v>
      </c>
      <c r="Q21">
        <v>0.58219999999999994</v>
      </c>
      <c r="R21">
        <v>0</v>
      </c>
      <c r="S21">
        <v>0</v>
      </c>
      <c r="T21">
        <v>0</v>
      </c>
      <c r="U21">
        <v>5</v>
      </c>
      <c r="V21">
        <v>1</v>
      </c>
      <c r="W21">
        <v>0.4</v>
      </c>
      <c r="X21">
        <v>1</v>
      </c>
      <c r="Y21">
        <v>0.54559999999999997</v>
      </c>
      <c r="Z21">
        <v>0.8</v>
      </c>
    </row>
    <row r="22" spans="1:26" x14ac:dyDescent="0.2">
      <c r="A22" t="s">
        <v>2</v>
      </c>
      <c r="B22">
        <v>2020</v>
      </c>
      <c r="C22" t="str">
        <f t="shared" si="0"/>
        <v>AAM2020</v>
      </c>
      <c r="D22">
        <v>-2.6926336094656458E-13</v>
      </c>
      <c r="E22">
        <v>-6.1655257334169558E-2</v>
      </c>
      <c r="F22">
        <v>0.63453177645213876</v>
      </c>
      <c r="G22">
        <v>26.074267028229151</v>
      </c>
      <c r="H22">
        <v>12.36620485367377</v>
      </c>
      <c r="I22">
        <v>7.930149564575048E-2</v>
      </c>
      <c r="J22">
        <v>-7.3354342881937318E-2</v>
      </c>
      <c r="K22">
        <v>-0.1002797512730048</v>
      </c>
      <c r="L22">
        <v>3.8317422732141018E-2</v>
      </c>
      <c r="M22">
        <v>18</v>
      </c>
      <c r="N22">
        <v>0</v>
      </c>
      <c r="O22">
        <v>1</v>
      </c>
      <c r="P22">
        <v>0.52800000000000002</v>
      </c>
      <c r="Q22">
        <v>0.59660000000000002</v>
      </c>
      <c r="R22">
        <v>0</v>
      </c>
      <c r="S22">
        <v>0</v>
      </c>
      <c r="T22">
        <v>6.1100000000000002E-2</v>
      </c>
      <c r="U22">
        <v>6</v>
      </c>
      <c r="V22">
        <v>0</v>
      </c>
      <c r="W22">
        <v>0.33333333333333331</v>
      </c>
      <c r="X22">
        <v>1</v>
      </c>
      <c r="Y22">
        <v>0.52600000000000002</v>
      </c>
      <c r="Z22">
        <v>0.83333333333333337</v>
      </c>
    </row>
    <row r="23" spans="1:26" x14ac:dyDescent="0.2">
      <c r="A23" t="s">
        <v>2</v>
      </c>
      <c r="B23">
        <v>2021</v>
      </c>
      <c r="C23" t="str">
        <f t="shared" si="0"/>
        <v>AAM2021</v>
      </c>
      <c r="D23">
        <v>5.5769357776632578E-15</v>
      </c>
      <c r="E23">
        <v>1.160469739394377E-3</v>
      </c>
      <c r="F23">
        <v>0.68848588685205658</v>
      </c>
      <c r="G23">
        <v>26.027006011870089</v>
      </c>
      <c r="H23">
        <v>11.047840247335429</v>
      </c>
      <c r="I23">
        <v>3.3622266941904011E-2</v>
      </c>
      <c r="J23">
        <v>-4.6161602330441302E-2</v>
      </c>
      <c r="K23">
        <v>0.22761664530227549</v>
      </c>
      <c r="L23">
        <v>3.11388282501915E-2</v>
      </c>
      <c r="M23">
        <v>19</v>
      </c>
      <c r="N23">
        <v>0</v>
      </c>
      <c r="O23">
        <v>0</v>
      </c>
      <c r="P23">
        <v>0.52800000000000002</v>
      </c>
      <c r="Q23">
        <v>0.59660000000000002</v>
      </c>
      <c r="R23">
        <v>0</v>
      </c>
      <c r="S23">
        <v>0</v>
      </c>
      <c r="T23">
        <v>6.1100000000000002E-2</v>
      </c>
      <c r="U23">
        <v>6</v>
      </c>
      <c r="V23">
        <v>0</v>
      </c>
      <c r="W23">
        <v>0.33333333333333331</v>
      </c>
      <c r="X23">
        <v>1</v>
      </c>
      <c r="Y23">
        <v>0.53600000000000003</v>
      </c>
      <c r="Z23">
        <v>0.83333333333333337</v>
      </c>
    </row>
    <row r="24" spans="1:26" x14ac:dyDescent="0.2">
      <c r="A24" t="s">
        <v>2</v>
      </c>
      <c r="B24">
        <v>2022</v>
      </c>
      <c r="C24" t="str">
        <f t="shared" si="0"/>
        <v>AAM2022</v>
      </c>
      <c r="D24">
        <v>3.5372146798292228E-13</v>
      </c>
      <c r="E24">
        <v>8.0653131278413351E-2</v>
      </c>
      <c r="F24">
        <v>0.58884424540563307</v>
      </c>
      <c r="G24">
        <v>26.110415822874881</v>
      </c>
      <c r="H24">
        <v>29.407049290093081</v>
      </c>
      <c r="I24">
        <v>4.1372909879793182E-2</v>
      </c>
      <c r="J24">
        <v>8.6987176590675799E-2</v>
      </c>
      <c r="K24">
        <v>-8.2643271351936064E-3</v>
      </c>
      <c r="L24">
        <v>3.0993147240913951E-2</v>
      </c>
      <c r="M24">
        <v>20</v>
      </c>
      <c r="N24">
        <v>0</v>
      </c>
      <c r="O24">
        <v>0</v>
      </c>
      <c r="P24">
        <v>0.54039999999999999</v>
      </c>
      <c r="Q24">
        <v>0.53320000000000001</v>
      </c>
      <c r="R24">
        <v>0</v>
      </c>
      <c r="S24">
        <v>0</v>
      </c>
      <c r="T24">
        <v>7.3499999999999996E-2</v>
      </c>
      <c r="U24">
        <v>6</v>
      </c>
      <c r="V24">
        <v>0</v>
      </c>
      <c r="W24">
        <v>0</v>
      </c>
      <c r="X24">
        <v>1</v>
      </c>
      <c r="Y24">
        <v>0.53560000000000008</v>
      </c>
      <c r="Z24">
        <v>1</v>
      </c>
    </row>
    <row r="25" spans="1:26" x14ac:dyDescent="0.2">
      <c r="A25" t="s">
        <v>2</v>
      </c>
      <c r="B25">
        <v>2023</v>
      </c>
      <c r="C25" t="str">
        <f t="shared" si="0"/>
        <v>AAM2023</v>
      </c>
      <c r="D25">
        <v>163144340046.25</v>
      </c>
      <c r="E25">
        <v>3.3033906128336942E-3</v>
      </c>
      <c r="F25">
        <v>0.45809806476350762</v>
      </c>
      <c r="G25">
        <v>26.083887936451049</v>
      </c>
      <c r="H25">
        <v>22.790998187609979</v>
      </c>
      <c r="I25">
        <v>0</v>
      </c>
      <c r="J25">
        <v>-2.617911292510566E-2</v>
      </c>
      <c r="K25">
        <v>-9.3283951476899926E-2</v>
      </c>
      <c r="L25">
        <v>2.3216092375796041E-2</v>
      </c>
      <c r="M25">
        <v>21</v>
      </c>
      <c r="N25">
        <v>0</v>
      </c>
      <c r="O25">
        <v>0</v>
      </c>
      <c r="P25">
        <v>0.54039999999999999</v>
      </c>
      <c r="Q25">
        <v>0.53320000000000001</v>
      </c>
      <c r="R25">
        <v>0</v>
      </c>
      <c r="S25">
        <v>0</v>
      </c>
      <c r="T25">
        <v>7.3499999999999996E-2</v>
      </c>
      <c r="U25">
        <v>6</v>
      </c>
      <c r="V25">
        <v>0</v>
      </c>
      <c r="W25">
        <v>0</v>
      </c>
      <c r="X25">
        <v>1</v>
      </c>
      <c r="Y25">
        <v>0.53560000000000008</v>
      </c>
      <c r="Z25">
        <v>1</v>
      </c>
    </row>
    <row r="26" spans="1:26" x14ac:dyDescent="0.2">
      <c r="A26" t="s">
        <v>3</v>
      </c>
      <c r="B26">
        <v>2012</v>
      </c>
      <c r="C26" t="str">
        <f t="shared" si="0"/>
        <v>ABT2012</v>
      </c>
      <c r="D26">
        <v>2.969774996008556E-13</v>
      </c>
      <c r="E26">
        <v>0.2057528238226031</v>
      </c>
      <c r="F26">
        <v>1.16139604518341</v>
      </c>
      <c r="G26">
        <v>26.96963073549443</v>
      </c>
      <c r="H26">
        <v>4.2392498885052463</v>
      </c>
      <c r="I26">
        <v>0.25502868702415882</v>
      </c>
      <c r="J26">
        <v>7.9530541911642549E-2</v>
      </c>
      <c r="K26">
        <v>0.16073321115952499</v>
      </c>
      <c r="L26">
        <v>7.4502580812020505E-2</v>
      </c>
      <c r="M26">
        <v>9</v>
      </c>
      <c r="N26">
        <v>0</v>
      </c>
      <c r="O26">
        <v>0</v>
      </c>
      <c r="P26">
        <v>0.42959999999999998</v>
      </c>
      <c r="Q26">
        <v>0.19020000000000001</v>
      </c>
      <c r="R26">
        <v>0</v>
      </c>
      <c r="S26">
        <v>0</v>
      </c>
      <c r="T26">
        <v>0.19980000000000001</v>
      </c>
      <c r="U26">
        <v>5</v>
      </c>
      <c r="V26">
        <v>1</v>
      </c>
      <c r="W26">
        <v>0</v>
      </c>
      <c r="X26">
        <v>0</v>
      </c>
      <c r="Y26">
        <v>0.45379999999999998</v>
      </c>
      <c r="Z26">
        <v>1</v>
      </c>
    </row>
    <row r="27" spans="1:26" x14ac:dyDescent="0.2">
      <c r="A27" t="s">
        <v>3</v>
      </c>
      <c r="B27">
        <v>2013</v>
      </c>
      <c r="C27" t="str">
        <f t="shared" si="0"/>
        <v>ABT2013</v>
      </c>
      <c r="D27">
        <v>1.5606206394953519E-13</v>
      </c>
      <c r="E27">
        <v>0.17822176698931749</v>
      </c>
      <c r="F27">
        <v>1.0744300163756739</v>
      </c>
      <c r="G27">
        <v>27.257446017482749</v>
      </c>
      <c r="H27">
        <v>3.2850573433364829</v>
      </c>
      <c r="I27">
        <v>0.3973085961162493</v>
      </c>
      <c r="J27">
        <v>0.33351095787910112</v>
      </c>
      <c r="K27">
        <v>0.10978120574911961</v>
      </c>
      <c r="L27">
        <v>6.0292452217456938E-2</v>
      </c>
      <c r="M27">
        <v>10</v>
      </c>
      <c r="N27">
        <v>1</v>
      </c>
      <c r="O27">
        <v>0</v>
      </c>
      <c r="P27">
        <v>0.59860000000000002</v>
      </c>
      <c r="Q27">
        <v>9.0200000000000002E-2</v>
      </c>
      <c r="R27">
        <v>0</v>
      </c>
      <c r="S27">
        <v>0</v>
      </c>
      <c r="T27">
        <v>0.54600000000000004</v>
      </c>
      <c r="U27">
        <v>5</v>
      </c>
      <c r="V27">
        <v>1</v>
      </c>
      <c r="W27">
        <v>0</v>
      </c>
      <c r="X27">
        <v>0</v>
      </c>
      <c r="Y27">
        <v>0.46329999999999999</v>
      </c>
      <c r="Z27">
        <v>1</v>
      </c>
    </row>
    <row r="28" spans="1:26" x14ac:dyDescent="0.2">
      <c r="A28" t="s">
        <v>3</v>
      </c>
      <c r="B28">
        <v>2014</v>
      </c>
      <c r="C28" t="str">
        <f t="shared" si="0"/>
        <v>ABT2014</v>
      </c>
      <c r="D28">
        <v>1.7974359308662339E-13</v>
      </c>
      <c r="E28">
        <v>0.18644169698060831</v>
      </c>
      <c r="F28">
        <v>1.286137656420717</v>
      </c>
      <c r="G28">
        <v>27.210429503182379</v>
      </c>
      <c r="H28">
        <v>2.1782833116784608</v>
      </c>
      <c r="I28">
        <v>0.36693288381566969</v>
      </c>
      <c r="J28">
        <v>-4.5928358365390123E-2</v>
      </c>
      <c r="K28">
        <v>8.2323506120854581E-2</v>
      </c>
      <c r="L28">
        <v>5.7840916829413828E-2</v>
      </c>
      <c r="M28">
        <v>11</v>
      </c>
      <c r="N28">
        <v>1</v>
      </c>
      <c r="O28">
        <v>0</v>
      </c>
      <c r="P28">
        <v>0.68530000000000002</v>
      </c>
      <c r="Q28">
        <v>8.9900000000000008E-2</v>
      </c>
      <c r="R28">
        <v>0</v>
      </c>
      <c r="S28">
        <v>0</v>
      </c>
      <c r="T28">
        <v>0.63259999999999994</v>
      </c>
      <c r="U28">
        <v>4</v>
      </c>
      <c r="V28">
        <v>1</v>
      </c>
      <c r="W28">
        <v>0</v>
      </c>
      <c r="X28">
        <v>0</v>
      </c>
      <c r="Y28">
        <v>0.4733</v>
      </c>
      <c r="Z28">
        <v>1</v>
      </c>
    </row>
    <row r="29" spans="1:26" x14ac:dyDescent="0.2">
      <c r="A29" t="s">
        <v>3</v>
      </c>
      <c r="B29">
        <v>2015</v>
      </c>
      <c r="C29" t="str">
        <f t="shared" si="0"/>
        <v>ABT2015</v>
      </c>
      <c r="D29">
        <v>2.1268645248076691E-13</v>
      </c>
      <c r="E29">
        <v>0.17841092340356421</v>
      </c>
      <c r="F29">
        <v>1.256774733907627</v>
      </c>
      <c r="G29">
        <v>27.094289437393339</v>
      </c>
      <c r="H29">
        <v>2.4243072297026371</v>
      </c>
      <c r="I29">
        <v>0.3030224648771972</v>
      </c>
      <c r="J29">
        <v>-0.1095589865355819</v>
      </c>
      <c r="K29">
        <v>0.24899826207110179</v>
      </c>
      <c r="L29">
        <v>6.4936259485288333E-2</v>
      </c>
      <c r="M29">
        <v>12</v>
      </c>
      <c r="N29">
        <v>1</v>
      </c>
      <c r="O29">
        <v>0</v>
      </c>
      <c r="P29">
        <v>0.78089999999999993</v>
      </c>
      <c r="Q29">
        <v>5.8999999999999997E-2</v>
      </c>
      <c r="R29">
        <v>0</v>
      </c>
      <c r="S29">
        <v>0</v>
      </c>
      <c r="T29">
        <v>0.72819999999999996</v>
      </c>
      <c r="U29">
        <v>5</v>
      </c>
      <c r="V29">
        <v>1</v>
      </c>
      <c r="W29">
        <v>0.2</v>
      </c>
      <c r="X29">
        <v>0</v>
      </c>
      <c r="Y29">
        <v>0.47220000000000001</v>
      </c>
      <c r="Z29">
        <v>1</v>
      </c>
    </row>
    <row r="30" spans="1:26" x14ac:dyDescent="0.2">
      <c r="A30" t="s">
        <v>3</v>
      </c>
      <c r="B30">
        <v>2016</v>
      </c>
      <c r="C30" t="str">
        <f t="shared" si="0"/>
        <v>ABT2016</v>
      </c>
      <c r="D30">
        <v>1.130812871405686E-13</v>
      </c>
      <c r="E30">
        <v>0.1146735401069524</v>
      </c>
      <c r="F30">
        <v>1.1388819375754871</v>
      </c>
      <c r="G30">
        <v>27.199124455637829</v>
      </c>
      <c r="H30">
        <v>2.974405330836654</v>
      </c>
      <c r="I30">
        <v>0.35973879601582781</v>
      </c>
      <c r="J30">
        <v>0.1104145018346641</v>
      </c>
      <c r="K30">
        <v>0.16026681805918119</v>
      </c>
      <c r="L30">
        <v>5.3645723044141481E-2</v>
      </c>
      <c r="M30">
        <v>13</v>
      </c>
      <c r="N30">
        <v>1</v>
      </c>
      <c r="O30">
        <v>0</v>
      </c>
      <c r="P30">
        <v>0.8083999999999999</v>
      </c>
      <c r="Q30">
        <v>2.9399999999999999E-2</v>
      </c>
      <c r="R30">
        <v>0</v>
      </c>
      <c r="S30">
        <v>0</v>
      </c>
      <c r="T30">
        <v>0.72819999999999996</v>
      </c>
      <c r="U30">
        <v>5</v>
      </c>
      <c r="V30">
        <v>1</v>
      </c>
      <c r="W30">
        <v>0.2</v>
      </c>
      <c r="X30">
        <v>0</v>
      </c>
      <c r="Y30">
        <v>0.4788</v>
      </c>
      <c r="Z30">
        <v>1</v>
      </c>
    </row>
    <row r="31" spans="1:26" x14ac:dyDescent="0.2">
      <c r="A31" t="s">
        <v>3</v>
      </c>
      <c r="B31">
        <v>2017</v>
      </c>
      <c r="C31" t="str">
        <f t="shared" si="0"/>
        <v>ABT2017</v>
      </c>
      <c r="D31">
        <v>7.0142458438383943E-14</v>
      </c>
      <c r="E31">
        <v>6.9842693163886582E-2</v>
      </c>
      <c r="F31">
        <v>0.90666848060316985</v>
      </c>
      <c r="G31">
        <v>27.175860727074951</v>
      </c>
      <c r="H31">
        <v>2.501740837739447</v>
      </c>
      <c r="I31">
        <v>0.36293116435265499</v>
      </c>
      <c r="J31">
        <v>-2.2995214274462269E-2</v>
      </c>
      <c r="K31">
        <v>4.383943354890784E-2</v>
      </c>
      <c r="L31">
        <v>6.1355909475622528E-2</v>
      </c>
      <c r="M31">
        <v>14</v>
      </c>
      <c r="N31">
        <v>1</v>
      </c>
      <c r="O31">
        <v>0</v>
      </c>
      <c r="P31">
        <v>0.83599999999999997</v>
      </c>
      <c r="Q31">
        <v>3.8E-3</v>
      </c>
      <c r="R31">
        <v>0</v>
      </c>
      <c r="S31">
        <v>0</v>
      </c>
      <c r="T31">
        <v>0.72819999999999996</v>
      </c>
      <c r="U31">
        <v>5</v>
      </c>
      <c r="V31">
        <v>1</v>
      </c>
      <c r="W31">
        <v>0</v>
      </c>
      <c r="X31">
        <v>0</v>
      </c>
      <c r="Y31">
        <v>0.45750000000000002</v>
      </c>
      <c r="Z31">
        <v>1</v>
      </c>
    </row>
    <row r="32" spans="1:26" x14ac:dyDescent="0.2">
      <c r="A32" t="s">
        <v>3</v>
      </c>
      <c r="B32">
        <v>2018</v>
      </c>
      <c r="C32" t="str">
        <f t="shared" si="0"/>
        <v>ABT2018</v>
      </c>
      <c r="D32">
        <v>2.326601727569385E-13</v>
      </c>
      <c r="E32">
        <v>0.15900043040353579</v>
      </c>
      <c r="F32">
        <v>1.079380282764663</v>
      </c>
      <c r="G32">
        <v>27.0065513462791</v>
      </c>
      <c r="H32">
        <v>1.6394460671854989</v>
      </c>
      <c r="I32">
        <v>0.2163539096251772</v>
      </c>
      <c r="J32">
        <v>-0.15575233103805811</v>
      </c>
      <c r="K32">
        <v>0.13450134415658949</v>
      </c>
      <c r="L32">
        <v>7.7176471661186741E-2</v>
      </c>
      <c r="M32">
        <v>15</v>
      </c>
      <c r="N32">
        <v>1</v>
      </c>
      <c r="O32">
        <v>0</v>
      </c>
      <c r="P32">
        <v>0.8911</v>
      </c>
      <c r="Q32">
        <v>3.8999999999999998E-3</v>
      </c>
      <c r="R32">
        <v>0</v>
      </c>
      <c r="S32">
        <v>0</v>
      </c>
      <c r="T32">
        <v>0.7833</v>
      </c>
      <c r="U32">
        <v>5</v>
      </c>
      <c r="V32">
        <v>1</v>
      </c>
      <c r="W32">
        <v>0</v>
      </c>
      <c r="X32">
        <v>0</v>
      </c>
      <c r="Y32">
        <v>0.46560000000000001</v>
      </c>
      <c r="Z32">
        <v>1</v>
      </c>
    </row>
    <row r="33" spans="1:26" x14ac:dyDescent="0.2">
      <c r="A33" t="s">
        <v>3</v>
      </c>
      <c r="B33">
        <v>2019</v>
      </c>
      <c r="C33" t="str">
        <f t="shared" si="0"/>
        <v>ABT2019</v>
      </c>
      <c r="D33">
        <v>1.6794935482674411E-13</v>
      </c>
      <c r="E33">
        <v>0.1178660838435544</v>
      </c>
      <c r="F33">
        <v>1.0014106751552789</v>
      </c>
      <c r="G33">
        <v>27.01198205315103</v>
      </c>
      <c r="H33">
        <v>2.4102194882356032</v>
      </c>
      <c r="I33">
        <v>0.2327370333819479</v>
      </c>
      <c r="J33">
        <v>5.4454798910328339E-3</v>
      </c>
      <c r="K33">
        <v>1.8686084550198101E-2</v>
      </c>
      <c r="L33">
        <v>9.6944428395393245E-2</v>
      </c>
      <c r="M33">
        <v>16</v>
      </c>
      <c r="N33">
        <v>1</v>
      </c>
      <c r="O33">
        <v>1</v>
      </c>
      <c r="P33">
        <v>0.8911</v>
      </c>
      <c r="Q33">
        <v>3.8999999999999998E-3</v>
      </c>
      <c r="R33">
        <v>0</v>
      </c>
      <c r="S33">
        <v>0</v>
      </c>
      <c r="T33">
        <v>0.7833</v>
      </c>
      <c r="U33">
        <v>5</v>
      </c>
      <c r="V33">
        <v>0</v>
      </c>
      <c r="W33">
        <v>0</v>
      </c>
      <c r="X33">
        <v>0</v>
      </c>
      <c r="Y33">
        <v>0.48380000000000001</v>
      </c>
      <c r="Z33">
        <v>1</v>
      </c>
    </row>
    <row r="34" spans="1:26" x14ac:dyDescent="0.2">
      <c r="A34" t="s">
        <v>3</v>
      </c>
      <c r="B34">
        <v>2020</v>
      </c>
      <c r="C34" t="str">
        <f t="shared" si="0"/>
        <v>ABT2020</v>
      </c>
      <c r="D34">
        <v>4.8338601591907358E-14</v>
      </c>
      <c r="E34">
        <v>3.4790920663456383E-2</v>
      </c>
      <c r="F34">
        <v>0.91921481097231661</v>
      </c>
      <c r="G34">
        <v>27.021617779054321</v>
      </c>
      <c r="H34">
        <v>2.1512103273310021</v>
      </c>
      <c r="I34">
        <v>0.24461622141324879</v>
      </c>
      <c r="J34">
        <v>9.6822989784077773E-3</v>
      </c>
      <c r="K34">
        <v>5.6886088977633392E-2</v>
      </c>
      <c r="L34">
        <v>0.1117539842098305</v>
      </c>
      <c r="M34">
        <v>17</v>
      </c>
      <c r="N34">
        <v>1</v>
      </c>
      <c r="O34">
        <v>1</v>
      </c>
      <c r="P34">
        <v>0.8911</v>
      </c>
      <c r="Q34">
        <v>2E-3</v>
      </c>
      <c r="R34">
        <v>0</v>
      </c>
      <c r="S34">
        <v>0</v>
      </c>
      <c r="T34">
        <v>0.7833</v>
      </c>
      <c r="U34">
        <v>3</v>
      </c>
      <c r="V34">
        <v>0</v>
      </c>
      <c r="W34">
        <v>0</v>
      </c>
      <c r="X34">
        <v>0</v>
      </c>
      <c r="Y34">
        <v>0.50290000000000001</v>
      </c>
      <c r="Z34">
        <v>1</v>
      </c>
    </row>
    <row r="35" spans="1:26" x14ac:dyDescent="0.2">
      <c r="A35" t="s">
        <v>3</v>
      </c>
      <c r="B35">
        <v>2021</v>
      </c>
      <c r="C35" t="str">
        <f t="shared" si="0"/>
        <v>ABT2021</v>
      </c>
      <c r="D35">
        <v>9.5687668664367646E-14</v>
      </c>
      <c r="E35">
        <v>8.07299484546872E-2</v>
      </c>
      <c r="F35">
        <v>0.98629652476420016</v>
      </c>
      <c r="G35">
        <v>27.11060632741459</v>
      </c>
      <c r="H35">
        <v>2.0112014339916171</v>
      </c>
      <c r="I35">
        <v>0.2956183599437206</v>
      </c>
      <c r="J35">
        <v>9.3068138832127723E-2</v>
      </c>
      <c r="K35">
        <v>2.5481276165997092E-2</v>
      </c>
      <c r="L35">
        <v>0.1249496594810478</v>
      </c>
      <c r="M35">
        <v>18</v>
      </c>
      <c r="N35">
        <v>1</v>
      </c>
      <c r="O35">
        <v>0</v>
      </c>
      <c r="P35">
        <v>0.8911</v>
      </c>
      <c r="Q35">
        <v>2E-3</v>
      </c>
      <c r="R35">
        <v>0</v>
      </c>
      <c r="S35">
        <v>0</v>
      </c>
      <c r="T35">
        <v>0.7833</v>
      </c>
      <c r="U35">
        <v>4</v>
      </c>
      <c r="V35">
        <v>0</v>
      </c>
      <c r="W35">
        <v>0</v>
      </c>
      <c r="X35">
        <v>0</v>
      </c>
      <c r="Y35">
        <v>0.51129999999999998</v>
      </c>
      <c r="Z35">
        <v>1</v>
      </c>
    </row>
    <row r="36" spans="1:26" x14ac:dyDescent="0.2">
      <c r="A36" t="s">
        <v>3</v>
      </c>
      <c r="B36">
        <v>2022</v>
      </c>
      <c r="C36" t="str">
        <f t="shared" si="0"/>
        <v>ABT2022</v>
      </c>
      <c r="D36">
        <v>1.6588341123990249E-13</v>
      </c>
      <c r="E36">
        <v>0.13652636775463189</v>
      </c>
      <c r="F36">
        <v>0.9000535620739829</v>
      </c>
      <c r="G36">
        <v>27.157073575177179</v>
      </c>
      <c r="H36">
        <v>1.7219964902582761</v>
      </c>
      <c r="I36">
        <v>0.2435963429609608</v>
      </c>
      <c r="J36">
        <v>4.7563768449411903E-2</v>
      </c>
      <c r="K36">
        <v>0.24439779640552919</v>
      </c>
      <c r="L36">
        <v>0.1402934939446884</v>
      </c>
      <c r="M36">
        <v>19</v>
      </c>
      <c r="N36">
        <v>1</v>
      </c>
      <c r="O36">
        <v>0</v>
      </c>
      <c r="P36">
        <v>0.8911</v>
      </c>
      <c r="Q36">
        <v>4.6999999999999993E-3</v>
      </c>
      <c r="R36">
        <v>0</v>
      </c>
      <c r="S36">
        <v>0</v>
      </c>
      <c r="T36">
        <v>0.7833</v>
      </c>
      <c r="U36">
        <v>3</v>
      </c>
      <c r="V36">
        <v>0</v>
      </c>
      <c r="W36">
        <v>0</v>
      </c>
      <c r="X36">
        <v>0</v>
      </c>
      <c r="Y36">
        <v>0.48139999999999999</v>
      </c>
      <c r="Z36">
        <v>1</v>
      </c>
    </row>
    <row r="37" spans="1:26" x14ac:dyDescent="0.2">
      <c r="A37" t="s">
        <v>3</v>
      </c>
      <c r="B37">
        <v>2023</v>
      </c>
      <c r="C37" t="str">
        <f t="shared" si="0"/>
        <v>ABT2023</v>
      </c>
      <c r="D37">
        <v>1475688117962.8301</v>
      </c>
      <c r="E37">
        <v>0.11581367992449849</v>
      </c>
      <c r="F37">
        <v>0.75284311087922051</v>
      </c>
      <c r="G37">
        <v>27.20236579064877</v>
      </c>
      <c r="H37">
        <v>2.025619147346065</v>
      </c>
      <c r="I37">
        <v>0.1533370886293203</v>
      </c>
      <c r="J37">
        <v>4.6333570097541799E-2</v>
      </c>
      <c r="K37">
        <v>0.1231079410543366</v>
      </c>
      <c r="L37">
        <v>0.1346420274327195</v>
      </c>
      <c r="M37">
        <v>20</v>
      </c>
      <c r="N37">
        <v>0</v>
      </c>
      <c r="O37">
        <v>0</v>
      </c>
      <c r="P37">
        <v>0.8911</v>
      </c>
      <c r="Q37">
        <v>4.6999999999999993E-3</v>
      </c>
      <c r="R37">
        <v>0</v>
      </c>
      <c r="S37">
        <v>0</v>
      </c>
      <c r="T37">
        <v>0.7833</v>
      </c>
      <c r="U37">
        <v>3</v>
      </c>
      <c r="V37">
        <v>0</v>
      </c>
      <c r="W37">
        <v>0</v>
      </c>
      <c r="X37">
        <v>0</v>
      </c>
      <c r="Y37">
        <v>0.48139999999999999</v>
      </c>
      <c r="Z37">
        <v>1</v>
      </c>
    </row>
    <row r="38" spans="1:26" x14ac:dyDescent="0.2">
      <c r="A38" t="s">
        <v>4</v>
      </c>
      <c r="B38">
        <v>2012</v>
      </c>
      <c r="C38" t="str">
        <f t="shared" si="0"/>
        <v>ACC2012</v>
      </c>
      <c r="D38">
        <v>8.007033950088397E-13</v>
      </c>
      <c r="E38">
        <v>0.29649055194278889</v>
      </c>
      <c r="F38">
        <v>1.180202539327474</v>
      </c>
      <c r="G38">
        <v>26.34700179164987</v>
      </c>
      <c r="H38">
        <v>2.8959146449497801</v>
      </c>
      <c r="I38">
        <v>0.25214344575827308</v>
      </c>
      <c r="J38">
        <v>9.0142567569181362E-2</v>
      </c>
      <c r="K38">
        <v>0.19324088339679829</v>
      </c>
      <c r="L38">
        <v>0.1461637304650556</v>
      </c>
      <c r="M38">
        <v>4</v>
      </c>
      <c r="N38">
        <v>0</v>
      </c>
      <c r="O38">
        <v>0</v>
      </c>
      <c r="P38">
        <v>0.73370000000000002</v>
      </c>
      <c r="Q38">
        <v>4.1999999999999997E-3</v>
      </c>
      <c r="R38">
        <v>0</v>
      </c>
      <c r="S38">
        <v>0.73370000000000002</v>
      </c>
      <c r="T38">
        <v>0.73370000000000002</v>
      </c>
      <c r="U38">
        <v>5</v>
      </c>
      <c r="V38">
        <v>0</v>
      </c>
      <c r="W38">
        <v>0.2</v>
      </c>
      <c r="X38">
        <v>1</v>
      </c>
      <c r="Y38">
        <v>0.42780000000000001</v>
      </c>
      <c r="Z38">
        <v>0.8</v>
      </c>
    </row>
    <row r="39" spans="1:26" x14ac:dyDescent="0.2">
      <c r="A39" t="s">
        <v>4</v>
      </c>
      <c r="B39">
        <v>2013</v>
      </c>
      <c r="C39" t="str">
        <f t="shared" si="0"/>
        <v>ACC2013</v>
      </c>
      <c r="D39">
        <v>5.5969481416425312E-13</v>
      </c>
      <c r="E39">
        <v>0.17331029650408639</v>
      </c>
      <c r="F39">
        <v>1.2716472420801539</v>
      </c>
      <c r="G39">
        <v>26.234555556059611</v>
      </c>
      <c r="H39">
        <v>3.046116679941981</v>
      </c>
      <c r="I39">
        <v>0.20081075479556379</v>
      </c>
      <c r="J39">
        <v>-0.10635460786602099</v>
      </c>
      <c r="K39">
        <v>0.23521806992816219</v>
      </c>
      <c r="L39">
        <v>0.1241946725459163</v>
      </c>
      <c r="M39">
        <v>5</v>
      </c>
      <c r="N39">
        <v>0</v>
      </c>
      <c r="O39">
        <v>0</v>
      </c>
      <c r="P39">
        <v>0.78460000000000008</v>
      </c>
      <c r="Q39">
        <v>5.5000000000000014E-3</v>
      </c>
      <c r="R39">
        <v>5.0900000000000001E-2</v>
      </c>
      <c r="S39">
        <v>0.73370000000000002</v>
      </c>
      <c r="T39">
        <v>0.78460000000000008</v>
      </c>
      <c r="U39">
        <v>5</v>
      </c>
      <c r="V39">
        <v>0</v>
      </c>
      <c r="W39">
        <v>0</v>
      </c>
      <c r="X39">
        <v>1</v>
      </c>
      <c r="Y39">
        <v>0.42559999999999998</v>
      </c>
      <c r="Z39">
        <v>0.8</v>
      </c>
    </row>
    <row r="40" spans="1:26" x14ac:dyDescent="0.2">
      <c r="A40" t="s">
        <v>4</v>
      </c>
      <c r="B40">
        <v>2014</v>
      </c>
      <c r="C40" t="str">
        <f t="shared" si="0"/>
        <v>ACC2014</v>
      </c>
      <c r="D40">
        <v>3.480720274237062E-13</v>
      </c>
      <c r="E40">
        <v>0.19651442129136909</v>
      </c>
      <c r="F40">
        <v>1.282398309553932</v>
      </c>
      <c r="G40">
        <v>26.540459147579799</v>
      </c>
      <c r="H40">
        <v>3.8846295046642831</v>
      </c>
      <c r="I40">
        <v>0.33307153868308459</v>
      </c>
      <c r="J40">
        <v>0.3549438742611129</v>
      </c>
      <c r="K40">
        <v>0.22671806913707609</v>
      </c>
      <c r="L40">
        <v>0.1201305495351728</v>
      </c>
      <c r="M40">
        <v>6</v>
      </c>
      <c r="N40">
        <v>0</v>
      </c>
      <c r="O40">
        <v>0</v>
      </c>
      <c r="P40">
        <v>0.81059999999999999</v>
      </c>
      <c r="Q40">
        <v>5.5000000000000014E-3</v>
      </c>
      <c r="R40">
        <v>7.690000000000001E-2</v>
      </c>
      <c r="S40">
        <v>0.73370000000000002</v>
      </c>
      <c r="T40">
        <v>0.81059999999999999</v>
      </c>
      <c r="U40">
        <v>5</v>
      </c>
      <c r="V40">
        <v>0</v>
      </c>
      <c r="W40">
        <v>0</v>
      </c>
      <c r="X40">
        <v>1</v>
      </c>
      <c r="Y40">
        <v>0.43559999999999999</v>
      </c>
      <c r="Z40">
        <v>0.8</v>
      </c>
    </row>
    <row r="41" spans="1:26" x14ac:dyDescent="0.2">
      <c r="A41" t="s">
        <v>4</v>
      </c>
      <c r="B41">
        <v>2015</v>
      </c>
      <c r="C41" t="str">
        <f t="shared" si="0"/>
        <v>ACC2015</v>
      </c>
      <c r="D41">
        <v>3.3308230460042182E-13</v>
      </c>
      <c r="E41">
        <v>0.16930647261643239</v>
      </c>
      <c r="F41">
        <v>1.035403513842118</v>
      </c>
      <c r="G41">
        <v>26.559735423745561</v>
      </c>
      <c r="H41">
        <v>2.298186573852274</v>
      </c>
      <c r="I41">
        <v>0.32605487737782513</v>
      </c>
      <c r="J41">
        <v>2.1650886842015989E-2</v>
      </c>
      <c r="K41">
        <v>0.12378193217733389</v>
      </c>
      <c r="L41">
        <v>0.1085139377560395</v>
      </c>
      <c r="M41">
        <v>7</v>
      </c>
      <c r="N41">
        <v>0</v>
      </c>
      <c r="O41">
        <v>0</v>
      </c>
      <c r="P41">
        <v>0.83360000000000001</v>
      </c>
      <c r="Q41">
        <v>7.4000000000000003E-3</v>
      </c>
      <c r="R41">
        <v>9.9900000000000003E-2</v>
      </c>
      <c r="S41">
        <v>0.73370000000000002</v>
      </c>
      <c r="T41">
        <v>0.83360000000000001</v>
      </c>
      <c r="U41">
        <v>5</v>
      </c>
      <c r="V41">
        <v>0</v>
      </c>
      <c r="W41">
        <v>0.2</v>
      </c>
      <c r="X41">
        <v>1</v>
      </c>
      <c r="Y41">
        <v>0.43440000000000001</v>
      </c>
      <c r="Z41">
        <v>0.8</v>
      </c>
    </row>
    <row r="42" spans="1:26" x14ac:dyDescent="0.2">
      <c r="A42" t="s">
        <v>4</v>
      </c>
      <c r="B42">
        <v>2016</v>
      </c>
      <c r="C42" t="str">
        <f t="shared" si="0"/>
        <v>ACC2016</v>
      </c>
      <c r="D42">
        <v>4.3844230837412662E-13</v>
      </c>
      <c r="E42">
        <v>0.2054480069801525</v>
      </c>
      <c r="F42">
        <v>1.275357522167339</v>
      </c>
      <c r="G42">
        <v>26.497939760601689</v>
      </c>
      <c r="H42">
        <v>2.0559726167900632</v>
      </c>
      <c r="I42">
        <v>0.31274241313977008</v>
      </c>
      <c r="J42">
        <v>-5.9925040871637643E-2</v>
      </c>
      <c r="K42">
        <v>-1.863377966761973E-2</v>
      </c>
      <c r="L42">
        <v>0.10678667174047771</v>
      </c>
      <c r="M42">
        <v>8</v>
      </c>
      <c r="N42">
        <v>0</v>
      </c>
      <c r="O42">
        <v>0</v>
      </c>
      <c r="P42">
        <v>0.73370000000000002</v>
      </c>
      <c r="Q42">
        <v>6.1000000000000004E-3</v>
      </c>
      <c r="R42">
        <v>0</v>
      </c>
      <c r="S42">
        <v>0.73370000000000002</v>
      </c>
      <c r="T42">
        <v>0.73370000000000002</v>
      </c>
      <c r="U42">
        <v>5</v>
      </c>
      <c r="V42">
        <v>0</v>
      </c>
      <c r="W42">
        <v>0.2</v>
      </c>
      <c r="X42">
        <v>1</v>
      </c>
      <c r="Y42">
        <v>0.44440000000000002</v>
      </c>
      <c r="Z42">
        <v>0.8</v>
      </c>
    </row>
    <row r="43" spans="1:26" x14ac:dyDescent="0.2">
      <c r="A43" t="s">
        <v>4</v>
      </c>
      <c r="B43">
        <v>2017</v>
      </c>
      <c r="C43" t="str">
        <f t="shared" si="0"/>
        <v>ACC2017</v>
      </c>
      <c r="D43">
        <v>2.3828024912398651E-13</v>
      </c>
      <c r="E43">
        <v>0.1180987678538204</v>
      </c>
      <c r="F43">
        <v>0.93519938107916478</v>
      </c>
      <c r="G43">
        <v>26.531044338823349</v>
      </c>
      <c r="H43">
        <v>2.5217914808374222</v>
      </c>
      <c r="I43">
        <v>0.32837193669552461</v>
      </c>
      <c r="J43">
        <v>3.3658631770660863E-2</v>
      </c>
      <c r="K43">
        <v>0.1184205488693805</v>
      </c>
      <c r="L43">
        <v>8.1123002810085068E-2</v>
      </c>
      <c r="M43">
        <v>9</v>
      </c>
      <c r="N43">
        <v>0</v>
      </c>
      <c r="O43">
        <v>0</v>
      </c>
      <c r="P43">
        <v>0.73370000000000002</v>
      </c>
      <c r="Q43">
        <v>6.1000000000000004E-3</v>
      </c>
      <c r="R43">
        <v>0</v>
      </c>
      <c r="S43">
        <v>0.73370000000000002</v>
      </c>
      <c r="T43">
        <v>0.73370000000000002</v>
      </c>
      <c r="U43">
        <v>5</v>
      </c>
      <c r="V43">
        <v>0</v>
      </c>
      <c r="W43">
        <v>0.2</v>
      </c>
      <c r="X43">
        <v>1</v>
      </c>
      <c r="Y43">
        <v>0.45440000000000003</v>
      </c>
      <c r="Z43">
        <v>0.8</v>
      </c>
    </row>
    <row r="44" spans="1:26" x14ac:dyDescent="0.2">
      <c r="A44" t="s">
        <v>4</v>
      </c>
      <c r="B44">
        <v>2018</v>
      </c>
      <c r="C44" t="str">
        <f t="shared" si="0"/>
        <v>ACC2018</v>
      </c>
      <c r="D44">
        <v>2.4698510911323762E-13</v>
      </c>
      <c r="E44">
        <v>0.1434398943151397</v>
      </c>
      <c r="F44">
        <v>0.96191628376338345</v>
      </c>
      <c r="G44">
        <v>26.628760004407141</v>
      </c>
      <c r="H44">
        <v>2.5271354260578991</v>
      </c>
      <c r="I44">
        <v>0.36798942742063029</v>
      </c>
      <c r="J44">
        <v>0.102649219409777</v>
      </c>
      <c r="K44">
        <v>0.1790508872284074</v>
      </c>
      <c r="L44">
        <v>7.0689556219732386E-2</v>
      </c>
      <c r="M44">
        <v>10</v>
      </c>
      <c r="N44">
        <v>0</v>
      </c>
      <c r="O44">
        <v>0</v>
      </c>
      <c r="P44">
        <v>0.73370000000000002</v>
      </c>
      <c r="Q44">
        <v>6.1000000000000004E-3</v>
      </c>
      <c r="R44">
        <v>0</v>
      </c>
      <c r="S44">
        <v>0</v>
      </c>
      <c r="T44">
        <v>0.73370000000000002</v>
      </c>
      <c r="U44">
        <v>5</v>
      </c>
      <c r="V44">
        <v>0</v>
      </c>
      <c r="W44">
        <v>0</v>
      </c>
      <c r="X44">
        <v>1</v>
      </c>
      <c r="Y44">
        <v>0.46439999999999998</v>
      </c>
      <c r="Z44">
        <v>0.8</v>
      </c>
    </row>
    <row r="45" spans="1:26" x14ac:dyDescent="0.2">
      <c r="A45" t="s">
        <v>4</v>
      </c>
      <c r="B45">
        <v>2019</v>
      </c>
      <c r="C45" t="str">
        <f t="shared" si="0"/>
        <v>ACC2019</v>
      </c>
      <c r="D45">
        <v>1.8565652555280841E-13</v>
      </c>
      <c r="E45">
        <v>0.18449594773267131</v>
      </c>
      <c r="F45">
        <v>0.89017979605299069</v>
      </c>
      <c r="G45">
        <v>26.931896135491652</v>
      </c>
      <c r="H45">
        <v>2.3296263870698519</v>
      </c>
      <c r="I45">
        <v>0.49985346345281217</v>
      </c>
      <c r="J45">
        <v>0.3540987868323795</v>
      </c>
      <c r="K45">
        <v>5.3450012623144541E-2</v>
      </c>
      <c r="L45">
        <v>4.2950795233487438E-2</v>
      </c>
      <c r="M45">
        <v>11</v>
      </c>
      <c r="N45">
        <v>0</v>
      </c>
      <c r="O45">
        <v>1</v>
      </c>
      <c r="P45">
        <v>0.73370000000000002</v>
      </c>
      <c r="Q45">
        <v>0.2487</v>
      </c>
      <c r="R45">
        <v>0</v>
      </c>
      <c r="S45">
        <v>0</v>
      </c>
      <c r="T45">
        <v>0.249</v>
      </c>
      <c r="U45">
        <v>5</v>
      </c>
      <c r="V45">
        <v>0</v>
      </c>
      <c r="W45">
        <v>0</v>
      </c>
      <c r="X45">
        <v>1</v>
      </c>
      <c r="Y45">
        <v>0.45669999999999999</v>
      </c>
      <c r="Z45">
        <v>1</v>
      </c>
    </row>
    <row r="46" spans="1:26" x14ac:dyDescent="0.2">
      <c r="A46" t="s">
        <v>4</v>
      </c>
      <c r="B46">
        <v>2020</v>
      </c>
      <c r="C46" t="str">
        <f t="shared" si="0"/>
        <v>ACC2020</v>
      </c>
      <c r="D46">
        <v>7.8013952854647533E-14</v>
      </c>
      <c r="E46">
        <v>0.12833473475249671</v>
      </c>
      <c r="F46">
        <v>0.93129651458898444</v>
      </c>
      <c r="G46">
        <v>27.54000639212191</v>
      </c>
      <c r="H46">
        <v>1.885055294383885</v>
      </c>
      <c r="I46">
        <v>0.44498991602261501</v>
      </c>
      <c r="J46">
        <v>0.83695673988916719</v>
      </c>
      <c r="K46">
        <v>-0.29651917342193512</v>
      </c>
      <c r="L46">
        <v>2.6769227114525809E-2</v>
      </c>
      <c r="M46">
        <v>12</v>
      </c>
      <c r="N46">
        <v>0</v>
      </c>
      <c r="O46">
        <v>1</v>
      </c>
      <c r="P46">
        <v>0.72699999999999998</v>
      </c>
      <c r="Q46">
        <v>0</v>
      </c>
      <c r="R46">
        <v>0</v>
      </c>
      <c r="S46">
        <v>0</v>
      </c>
      <c r="T46">
        <v>0.249</v>
      </c>
      <c r="U46">
        <v>5</v>
      </c>
      <c r="V46">
        <v>0</v>
      </c>
      <c r="W46">
        <v>0</v>
      </c>
      <c r="X46">
        <v>0</v>
      </c>
      <c r="Y46">
        <v>0.38</v>
      </c>
      <c r="Z46">
        <v>1</v>
      </c>
    </row>
    <row r="47" spans="1:26" x14ac:dyDescent="0.2">
      <c r="A47" t="s">
        <v>4</v>
      </c>
      <c r="B47">
        <v>2021</v>
      </c>
      <c r="C47" t="str">
        <f t="shared" si="0"/>
        <v>ACC2021</v>
      </c>
      <c r="D47">
        <v>2.7857336421091989E-14</v>
      </c>
      <c r="E47">
        <v>8.1032493216579585E-2</v>
      </c>
      <c r="F47">
        <v>1.4673624451926901</v>
      </c>
      <c r="G47">
        <v>27.79276831948329</v>
      </c>
      <c r="H47">
        <v>2.1262304988205218</v>
      </c>
      <c r="I47">
        <v>0.59586514756695841</v>
      </c>
      <c r="J47">
        <v>0.28757670355948722</v>
      </c>
      <c r="K47">
        <v>-0.36958643122080043</v>
      </c>
      <c r="L47">
        <v>1.055790382370584E-2</v>
      </c>
      <c r="M47">
        <v>13</v>
      </c>
      <c r="N47">
        <v>0</v>
      </c>
      <c r="O47">
        <v>0</v>
      </c>
      <c r="P47">
        <v>0.72699999999999998</v>
      </c>
      <c r="Q47">
        <v>0</v>
      </c>
      <c r="R47">
        <v>0</v>
      </c>
      <c r="S47">
        <v>0</v>
      </c>
      <c r="T47">
        <v>0.249</v>
      </c>
      <c r="U47">
        <v>5</v>
      </c>
      <c r="V47">
        <v>0</v>
      </c>
      <c r="W47">
        <v>0.2</v>
      </c>
      <c r="X47">
        <v>1</v>
      </c>
      <c r="Y47">
        <v>0.39750000000000002</v>
      </c>
      <c r="Z47">
        <v>1</v>
      </c>
    </row>
    <row r="48" spans="1:26" x14ac:dyDescent="0.2">
      <c r="A48" t="s">
        <v>4</v>
      </c>
      <c r="B48">
        <v>2022</v>
      </c>
      <c r="C48" t="str">
        <f t="shared" si="0"/>
        <v>ACC2022</v>
      </c>
      <c r="D48">
        <v>1.8505935338690369E-14</v>
      </c>
      <c r="E48">
        <v>6.7092965735285934E-2</v>
      </c>
      <c r="F48">
        <v>0.98088917024474065</v>
      </c>
      <c r="G48">
        <v>28.372851131332151</v>
      </c>
      <c r="H48">
        <v>1.807680396718198</v>
      </c>
      <c r="I48">
        <v>0.42082909993404738</v>
      </c>
      <c r="J48">
        <v>0.78618634201896742</v>
      </c>
      <c r="K48">
        <v>-0.18384255322509641</v>
      </c>
      <c r="L48">
        <v>5.7354565720339938E-3</v>
      </c>
      <c r="M48">
        <v>14</v>
      </c>
      <c r="N48">
        <v>0</v>
      </c>
      <c r="O48">
        <v>0</v>
      </c>
      <c r="P48">
        <v>0.72699999999999998</v>
      </c>
      <c r="Q48">
        <v>0</v>
      </c>
      <c r="R48">
        <v>0</v>
      </c>
      <c r="S48">
        <v>0</v>
      </c>
      <c r="T48">
        <v>0.249</v>
      </c>
      <c r="U48">
        <v>5</v>
      </c>
      <c r="V48">
        <v>0</v>
      </c>
      <c r="W48">
        <v>0.4</v>
      </c>
      <c r="X48">
        <v>1</v>
      </c>
      <c r="Y48">
        <v>0.41</v>
      </c>
      <c r="Z48">
        <v>1</v>
      </c>
    </row>
    <row r="49" spans="1:26" x14ac:dyDescent="0.2">
      <c r="A49" t="s">
        <v>4</v>
      </c>
      <c r="B49">
        <v>2023</v>
      </c>
      <c r="C49" t="str">
        <f t="shared" si="0"/>
        <v>ACC2023</v>
      </c>
      <c r="D49">
        <v>77698903117.27652</v>
      </c>
      <c r="E49">
        <v>4.4341063816966952E-2</v>
      </c>
      <c r="F49">
        <v>0.87865388101849584</v>
      </c>
      <c r="G49">
        <v>28.486305318571919</v>
      </c>
      <c r="H49">
        <v>2.1660753310098269</v>
      </c>
      <c r="I49">
        <v>0.32732465124061222</v>
      </c>
      <c r="J49">
        <v>0.12014057098547461</v>
      </c>
      <c r="K49">
        <v>-0.15539806776438961</v>
      </c>
      <c r="L49">
        <v>0.1709953381291239</v>
      </c>
      <c r="M49">
        <v>15</v>
      </c>
      <c r="N49">
        <v>0</v>
      </c>
      <c r="O49">
        <v>0</v>
      </c>
      <c r="P49">
        <v>0.72699999999999998</v>
      </c>
      <c r="Q49">
        <v>0</v>
      </c>
      <c r="R49">
        <v>0</v>
      </c>
      <c r="S49">
        <v>0</v>
      </c>
      <c r="T49">
        <v>0.249</v>
      </c>
      <c r="U49">
        <v>5</v>
      </c>
      <c r="V49">
        <v>0</v>
      </c>
      <c r="W49">
        <v>0.4</v>
      </c>
      <c r="X49">
        <v>1</v>
      </c>
      <c r="Y49">
        <v>0.41</v>
      </c>
      <c r="Z49">
        <v>1</v>
      </c>
    </row>
    <row r="50" spans="1:26" x14ac:dyDescent="0.2">
      <c r="A50" t="s">
        <v>5</v>
      </c>
      <c r="B50">
        <v>2012</v>
      </c>
      <c r="C50" t="str">
        <f t="shared" si="0"/>
        <v>ACL2012</v>
      </c>
      <c r="D50">
        <v>2.1847002830455739E-14</v>
      </c>
      <c r="E50">
        <v>5.4915312698781991E-2</v>
      </c>
      <c r="F50">
        <v>0.94783484893029879</v>
      </c>
      <c r="G50">
        <v>27.446801131841688</v>
      </c>
      <c r="H50">
        <v>1.1964268991061611</v>
      </c>
      <c r="I50">
        <v>0.66910311295586866</v>
      </c>
      <c r="J50">
        <v>4.8369297121784387E-2</v>
      </c>
      <c r="K50">
        <v>1.5373037563592609E-2</v>
      </c>
      <c r="L50">
        <v>0.2040363265394729</v>
      </c>
      <c r="M50">
        <v>5</v>
      </c>
      <c r="N50">
        <v>0</v>
      </c>
      <c r="O50">
        <v>0</v>
      </c>
      <c r="P50">
        <v>0.39369999999999999</v>
      </c>
      <c r="Q50">
        <v>0.39369999999999999</v>
      </c>
      <c r="R50">
        <v>0</v>
      </c>
      <c r="S50">
        <v>0</v>
      </c>
      <c r="T50">
        <v>0</v>
      </c>
      <c r="U50">
        <v>5</v>
      </c>
      <c r="V50">
        <v>1</v>
      </c>
      <c r="W50">
        <v>0.2</v>
      </c>
      <c r="X50">
        <v>1</v>
      </c>
      <c r="Y50">
        <v>0.38750000000000001</v>
      </c>
      <c r="Z50">
        <v>1</v>
      </c>
    </row>
    <row r="51" spans="1:26" x14ac:dyDescent="0.2">
      <c r="A51" t="s">
        <v>5</v>
      </c>
      <c r="B51">
        <v>2013</v>
      </c>
      <c r="C51" t="str">
        <f t="shared" si="0"/>
        <v>ACL2013</v>
      </c>
      <c r="D51">
        <v>9.9598204494957239E-15</v>
      </c>
      <c r="E51">
        <v>1.9138736595263842E-2</v>
      </c>
      <c r="F51">
        <v>0.86897994527397449</v>
      </c>
      <c r="G51">
        <v>27.30106688933731</v>
      </c>
      <c r="H51">
        <v>1.1127678617253061</v>
      </c>
      <c r="I51">
        <v>0.6258541399841705</v>
      </c>
      <c r="J51">
        <v>-0.13561260990918469</v>
      </c>
      <c r="K51">
        <v>0.15115372872931829</v>
      </c>
      <c r="L51">
        <v>0.2781951654430837</v>
      </c>
      <c r="M51">
        <v>6</v>
      </c>
      <c r="N51">
        <v>0</v>
      </c>
      <c r="O51">
        <v>0</v>
      </c>
      <c r="P51">
        <v>0.45090000000000002</v>
      </c>
      <c r="Q51">
        <v>0.27929999999999999</v>
      </c>
      <c r="R51">
        <v>0</v>
      </c>
      <c r="S51">
        <v>0</v>
      </c>
      <c r="T51">
        <v>0</v>
      </c>
      <c r="U51">
        <v>5</v>
      </c>
      <c r="V51">
        <v>1</v>
      </c>
      <c r="W51">
        <v>0.6</v>
      </c>
      <c r="X51">
        <v>1</v>
      </c>
      <c r="Y51">
        <v>0.37709999999999999</v>
      </c>
      <c r="Z51">
        <v>1</v>
      </c>
    </row>
    <row r="52" spans="1:26" x14ac:dyDescent="0.2">
      <c r="A52" t="s">
        <v>5</v>
      </c>
      <c r="B52">
        <v>2014</v>
      </c>
      <c r="C52" t="str">
        <f t="shared" si="0"/>
        <v>ACL2014</v>
      </c>
      <c r="D52">
        <v>1.7560279563670459E-14</v>
      </c>
      <c r="E52">
        <v>4.3911256362077558E-2</v>
      </c>
      <c r="F52">
        <v>0.9156470242188961</v>
      </c>
      <c r="G52">
        <v>27.453497128190069</v>
      </c>
      <c r="H52">
        <v>1.074491126702743</v>
      </c>
      <c r="I52">
        <v>0.66514416248316544</v>
      </c>
      <c r="J52">
        <v>0.16423139156693689</v>
      </c>
      <c r="K52">
        <v>-6.4832968442582947E-2</v>
      </c>
      <c r="L52">
        <v>0.23419353395924239</v>
      </c>
      <c r="M52">
        <v>7</v>
      </c>
      <c r="N52">
        <v>0</v>
      </c>
      <c r="O52">
        <v>0</v>
      </c>
      <c r="P52">
        <v>0.56090000000000007</v>
      </c>
      <c r="Q52">
        <v>0.33210000000000001</v>
      </c>
      <c r="R52">
        <v>0</v>
      </c>
      <c r="S52">
        <v>0</v>
      </c>
      <c r="T52">
        <v>0</v>
      </c>
      <c r="U52">
        <v>5</v>
      </c>
      <c r="V52">
        <v>1</v>
      </c>
      <c r="W52">
        <v>0.6</v>
      </c>
      <c r="X52">
        <v>1</v>
      </c>
      <c r="Y52">
        <v>0.38290000000000002</v>
      </c>
      <c r="Z52">
        <v>1</v>
      </c>
    </row>
    <row r="53" spans="1:26" x14ac:dyDescent="0.2">
      <c r="A53" t="s">
        <v>5</v>
      </c>
      <c r="B53">
        <v>2015</v>
      </c>
      <c r="C53" t="str">
        <f t="shared" si="0"/>
        <v>ACL2015</v>
      </c>
      <c r="D53">
        <v>1.9907061697753708E-14</v>
      </c>
      <c r="E53">
        <v>9.7004981352748348E-2</v>
      </c>
      <c r="F53">
        <v>0.89775818608930735</v>
      </c>
      <c r="G53">
        <v>27.821413860932481</v>
      </c>
      <c r="H53">
        <v>1.067585322518275</v>
      </c>
      <c r="I53">
        <v>0.75174406236236113</v>
      </c>
      <c r="J53">
        <v>0.44525510904818638</v>
      </c>
      <c r="K53">
        <v>-4.1076549682611527E-2</v>
      </c>
      <c r="L53">
        <v>0.26210798105085398</v>
      </c>
      <c r="M53">
        <v>8</v>
      </c>
      <c r="N53">
        <v>0</v>
      </c>
      <c r="O53">
        <v>0</v>
      </c>
      <c r="P53">
        <v>0.56090000000000007</v>
      </c>
      <c r="Q53">
        <v>0.35780000000000001</v>
      </c>
      <c r="R53">
        <v>0</v>
      </c>
      <c r="S53">
        <v>0</v>
      </c>
      <c r="T53">
        <v>0</v>
      </c>
      <c r="U53">
        <v>5</v>
      </c>
      <c r="V53">
        <v>1</v>
      </c>
      <c r="W53">
        <v>0.2</v>
      </c>
      <c r="X53">
        <v>1</v>
      </c>
      <c r="Y53">
        <v>0.39560000000000001</v>
      </c>
      <c r="Z53">
        <v>1</v>
      </c>
    </row>
    <row r="54" spans="1:26" x14ac:dyDescent="0.2">
      <c r="A54" t="s">
        <v>5</v>
      </c>
      <c r="B54">
        <v>2016</v>
      </c>
      <c r="C54" t="str">
        <f t="shared" si="0"/>
        <v>ACL2016</v>
      </c>
      <c r="D54">
        <v>1.673536380967515E-14</v>
      </c>
      <c r="E54">
        <v>6.6696242727344021E-2</v>
      </c>
      <c r="F54">
        <v>0.86617840592993323</v>
      </c>
      <c r="G54">
        <v>27.800816803427971</v>
      </c>
      <c r="H54">
        <v>1.0052659989996271</v>
      </c>
      <c r="I54">
        <v>0.70264508660921321</v>
      </c>
      <c r="J54">
        <v>-2.0386386992355621E-2</v>
      </c>
      <c r="K54">
        <v>5.2936695113126958E-2</v>
      </c>
      <c r="L54">
        <v>0.27443524319046919</v>
      </c>
      <c r="M54">
        <v>9</v>
      </c>
      <c r="N54">
        <v>0</v>
      </c>
      <c r="O54">
        <v>0</v>
      </c>
      <c r="P54">
        <v>0.49909999999999999</v>
      </c>
      <c r="Q54">
        <v>0.56720000000000004</v>
      </c>
      <c r="R54">
        <v>0</v>
      </c>
      <c r="S54">
        <v>0</v>
      </c>
      <c r="T54">
        <v>0</v>
      </c>
      <c r="U54">
        <v>5</v>
      </c>
      <c r="V54">
        <v>1</v>
      </c>
      <c r="W54">
        <v>0.2</v>
      </c>
      <c r="X54">
        <v>1</v>
      </c>
      <c r="Y54">
        <v>0.40560000000000002</v>
      </c>
      <c r="Z54">
        <v>1</v>
      </c>
    </row>
    <row r="55" spans="1:26" x14ac:dyDescent="0.2">
      <c r="A55" t="s">
        <v>5</v>
      </c>
      <c r="B55">
        <v>2017</v>
      </c>
      <c r="C55" t="str">
        <f t="shared" si="0"/>
        <v>ACL2017</v>
      </c>
      <c r="D55">
        <v>1.78452249556167E-14</v>
      </c>
      <c r="E55">
        <v>5.7701930083634841E-2</v>
      </c>
      <c r="F55">
        <v>0.82786528808124793</v>
      </c>
      <c r="G55">
        <v>27.725998676344808</v>
      </c>
      <c r="H55">
        <v>1.0261931523374761</v>
      </c>
      <c r="I55">
        <v>0.65992091990847512</v>
      </c>
      <c r="J55">
        <v>-7.2087766912734885E-2</v>
      </c>
      <c r="K55">
        <v>0.13639809736272171</v>
      </c>
      <c r="L55">
        <v>0.28318757153862101</v>
      </c>
      <c r="M55">
        <v>10</v>
      </c>
      <c r="N55">
        <v>0</v>
      </c>
      <c r="O55">
        <v>0</v>
      </c>
      <c r="P55">
        <v>0.50240000000000007</v>
      </c>
      <c r="Q55">
        <v>0.57050000000000001</v>
      </c>
      <c r="R55">
        <v>0</v>
      </c>
      <c r="S55">
        <v>0</v>
      </c>
      <c r="T55">
        <v>0</v>
      </c>
      <c r="U55">
        <v>5</v>
      </c>
      <c r="V55">
        <v>1</v>
      </c>
      <c r="W55">
        <v>0.4</v>
      </c>
      <c r="X55">
        <v>1</v>
      </c>
      <c r="Y55">
        <v>0.3871</v>
      </c>
      <c r="Z55">
        <v>1</v>
      </c>
    </row>
    <row r="56" spans="1:26" x14ac:dyDescent="0.2">
      <c r="A56" t="s">
        <v>5</v>
      </c>
      <c r="B56">
        <v>2018</v>
      </c>
      <c r="C56" t="str">
        <f t="shared" si="0"/>
        <v>ACL2018</v>
      </c>
      <c r="D56">
        <v>1.2766929200398649E-13</v>
      </c>
      <c r="E56">
        <v>0.41233946720821563</v>
      </c>
      <c r="F56">
        <v>1.093217840399175</v>
      </c>
      <c r="G56">
        <v>27.92620843800422</v>
      </c>
      <c r="H56">
        <v>1.0441469580978751</v>
      </c>
      <c r="I56">
        <v>0.58406087902792059</v>
      </c>
      <c r="J56">
        <v>0.22165898850223351</v>
      </c>
      <c r="K56">
        <v>0.1176301350468347</v>
      </c>
      <c r="L56">
        <v>0.22900442509663019</v>
      </c>
      <c r="M56">
        <v>11</v>
      </c>
      <c r="N56">
        <v>0</v>
      </c>
      <c r="O56">
        <v>0</v>
      </c>
      <c r="P56">
        <v>0.50240000000000007</v>
      </c>
      <c r="Q56">
        <v>0.57050000000000001</v>
      </c>
      <c r="R56">
        <v>0</v>
      </c>
      <c r="S56">
        <v>0</v>
      </c>
      <c r="T56">
        <v>0</v>
      </c>
      <c r="U56">
        <v>5</v>
      </c>
      <c r="V56">
        <v>1</v>
      </c>
      <c r="W56">
        <v>0.6</v>
      </c>
      <c r="X56">
        <v>1</v>
      </c>
      <c r="Y56">
        <v>0.4</v>
      </c>
      <c r="Z56">
        <v>1</v>
      </c>
    </row>
    <row r="57" spans="1:26" x14ac:dyDescent="0.2">
      <c r="A57" t="s">
        <v>5</v>
      </c>
      <c r="B57">
        <v>2019</v>
      </c>
      <c r="C57" t="str">
        <f t="shared" si="0"/>
        <v>ACL2019</v>
      </c>
      <c r="D57">
        <v>6.6373698147591334E-14</v>
      </c>
      <c r="E57">
        <v>0.2126932798113034</v>
      </c>
      <c r="F57">
        <v>0.9060189340810868</v>
      </c>
      <c r="G57">
        <v>28.010270960353179</v>
      </c>
      <c r="H57">
        <v>1.240072992265425</v>
      </c>
      <c r="I57">
        <v>0.54401730366753398</v>
      </c>
      <c r="J57">
        <v>8.7696897047902636E-2</v>
      </c>
      <c r="K57">
        <v>3.6939347113338588E-3</v>
      </c>
      <c r="L57">
        <v>0.20363037558643199</v>
      </c>
      <c r="M57">
        <v>12</v>
      </c>
      <c r="N57">
        <v>0</v>
      </c>
      <c r="O57">
        <v>1</v>
      </c>
      <c r="P57">
        <v>0.50240000000000007</v>
      </c>
      <c r="Q57">
        <v>0.60570000000000002</v>
      </c>
      <c r="R57">
        <v>0</v>
      </c>
      <c r="S57">
        <v>0</v>
      </c>
      <c r="T57">
        <v>0</v>
      </c>
      <c r="U57">
        <v>6</v>
      </c>
      <c r="V57">
        <v>1</v>
      </c>
      <c r="W57">
        <v>0.5</v>
      </c>
      <c r="X57">
        <v>1</v>
      </c>
      <c r="Y57">
        <v>0.42499999999999999</v>
      </c>
      <c r="Z57">
        <v>0.83333333333333337</v>
      </c>
    </row>
    <row r="58" spans="1:26" x14ac:dyDescent="0.2">
      <c r="A58" t="s">
        <v>5</v>
      </c>
      <c r="B58">
        <v>2020</v>
      </c>
      <c r="C58" t="str">
        <f t="shared" si="0"/>
        <v>ACL2020</v>
      </c>
      <c r="D58">
        <v>1.0233328556011461E-14</v>
      </c>
      <c r="E58">
        <v>4.0583201232662527E-2</v>
      </c>
      <c r="F58">
        <v>1.0243258380544931</v>
      </c>
      <c r="G58">
        <v>28.137562829509449</v>
      </c>
      <c r="H58">
        <v>1.3846117070250761</v>
      </c>
      <c r="I58">
        <v>0.58153524313073923</v>
      </c>
      <c r="J58">
        <v>0.135748459354921</v>
      </c>
      <c r="K58">
        <v>-0.13101350061605729</v>
      </c>
      <c r="L58">
        <v>0.1684889934100488</v>
      </c>
      <c r="M58">
        <v>13</v>
      </c>
      <c r="N58">
        <v>0</v>
      </c>
      <c r="O58">
        <v>1</v>
      </c>
      <c r="P58">
        <v>0.57469999999999999</v>
      </c>
      <c r="Q58">
        <v>0.60570000000000002</v>
      </c>
      <c r="R58">
        <v>0</v>
      </c>
      <c r="S58">
        <v>0</v>
      </c>
      <c r="T58">
        <v>0</v>
      </c>
      <c r="U58">
        <v>6</v>
      </c>
      <c r="V58">
        <v>0</v>
      </c>
      <c r="W58">
        <v>0.5</v>
      </c>
      <c r="X58">
        <v>0</v>
      </c>
      <c r="Y58">
        <v>0.44500000000000001</v>
      </c>
      <c r="Z58">
        <v>1</v>
      </c>
    </row>
    <row r="59" spans="1:26" x14ac:dyDescent="0.2">
      <c r="A59" t="s">
        <v>5</v>
      </c>
      <c r="B59">
        <v>2021</v>
      </c>
      <c r="C59" t="str">
        <f t="shared" si="0"/>
        <v>ACL2021</v>
      </c>
      <c r="D59">
        <v>1.9794212755451351E-14</v>
      </c>
      <c r="E59">
        <v>5.9576782858317218E-2</v>
      </c>
      <c r="F59">
        <v>1.136415083172158</v>
      </c>
      <c r="G59">
        <v>28.008209728807351</v>
      </c>
      <c r="H59">
        <v>1.3682300356714501</v>
      </c>
      <c r="I59">
        <v>0.51552416547794533</v>
      </c>
      <c r="J59">
        <v>-0.12133634598994961</v>
      </c>
      <c r="K59">
        <v>0.24819230560968419</v>
      </c>
      <c r="L59">
        <v>0.16566789463715639</v>
      </c>
      <c r="M59">
        <v>14</v>
      </c>
      <c r="N59">
        <v>0</v>
      </c>
      <c r="O59">
        <v>0</v>
      </c>
      <c r="P59">
        <v>0.58789999999999998</v>
      </c>
      <c r="Q59">
        <v>0.59650000000000003</v>
      </c>
      <c r="R59">
        <v>0</v>
      </c>
      <c r="S59">
        <v>0</v>
      </c>
      <c r="T59">
        <v>0</v>
      </c>
      <c r="U59">
        <v>5</v>
      </c>
      <c r="V59">
        <v>0</v>
      </c>
      <c r="W59">
        <v>0.4</v>
      </c>
      <c r="X59">
        <v>0</v>
      </c>
      <c r="Y59">
        <v>0.45500000000000002</v>
      </c>
      <c r="Z59">
        <v>1</v>
      </c>
    </row>
    <row r="60" spans="1:26" x14ac:dyDescent="0.2">
      <c r="A60" t="s">
        <v>5</v>
      </c>
      <c r="B60">
        <v>2022</v>
      </c>
      <c r="C60" t="str">
        <f t="shared" si="0"/>
        <v>ACL2022</v>
      </c>
      <c r="D60">
        <v>5.3748063995532207E-14</v>
      </c>
      <c r="E60">
        <v>0.14307103683518879</v>
      </c>
      <c r="F60">
        <v>0.80070960887179199</v>
      </c>
      <c r="G60">
        <v>28.023988496482389</v>
      </c>
      <c r="H60">
        <v>1.5409354180336681</v>
      </c>
      <c r="I60">
        <v>0.44348783005141951</v>
      </c>
      <c r="J60">
        <v>1.5903909759301449E-2</v>
      </c>
      <c r="K60">
        <v>3.5110690887574313E-2</v>
      </c>
      <c r="L60">
        <v>0.14592982631920889</v>
      </c>
      <c r="M60">
        <v>15</v>
      </c>
      <c r="N60">
        <v>0</v>
      </c>
      <c r="O60">
        <v>0</v>
      </c>
      <c r="P60">
        <v>0.58789999999999998</v>
      </c>
      <c r="Q60">
        <v>0.65599999999999992</v>
      </c>
      <c r="R60">
        <v>0</v>
      </c>
      <c r="S60">
        <v>0</v>
      </c>
      <c r="T60">
        <v>0</v>
      </c>
      <c r="U60">
        <v>5</v>
      </c>
      <c r="V60">
        <v>0</v>
      </c>
      <c r="W60">
        <v>0.4</v>
      </c>
      <c r="X60">
        <v>1</v>
      </c>
      <c r="Y60">
        <v>0.43569999999999998</v>
      </c>
      <c r="Z60">
        <v>1</v>
      </c>
    </row>
    <row r="61" spans="1:26" x14ac:dyDescent="0.2">
      <c r="A61" t="s">
        <v>5</v>
      </c>
      <c r="B61">
        <v>2023</v>
      </c>
      <c r="C61" t="str">
        <f t="shared" si="0"/>
        <v>ACL2023</v>
      </c>
      <c r="D61">
        <v>207614915417.2948</v>
      </c>
      <c r="E61">
        <v>1.041308058576746E-2</v>
      </c>
      <c r="F61">
        <v>0.79887450076762678</v>
      </c>
      <c r="G61">
        <v>28.190168322340799</v>
      </c>
      <c r="H61">
        <v>1.839101937104213</v>
      </c>
      <c r="I61">
        <v>0.45906709622469022</v>
      </c>
      <c r="J61">
        <v>0.18078541838414569</v>
      </c>
      <c r="K61">
        <v>-0.1101183354837061</v>
      </c>
      <c r="L61">
        <v>0.1206437808444341</v>
      </c>
      <c r="M61">
        <v>16</v>
      </c>
      <c r="N61">
        <v>0</v>
      </c>
      <c r="O61">
        <v>0</v>
      </c>
      <c r="P61">
        <v>0.58789999999999998</v>
      </c>
      <c r="Q61">
        <v>0.65599999999999992</v>
      </c>
      <c r="R61">
        <v>0</v>
      </c>
      <c r="S61">
        <v>0</v>
      </c>
      <c r="T61">
        <v>0</v>
      </c>
      <c r="U61">
        <v>5</v>
      </c>
      <c r="V61">
        <v>0</v>
      </c>
      <c r="W61">
        <v>0.4</v>
      </c>
      <c r="X61">
        <v>1</v>
      </c>
      <c r="Y61">
        <v>0.43569999999999998</v>
      </c>
      <c r="Z61">
        <v>1</v>
      </c>
    </row>
    <row r="62" spans="1:26" x14ac:dyDescent="0.2">
      <c r="A62" t="s">
        <v>6</v>
      </c>
      <c r="B62">
        <v>2012</v>
      </c>
      <c r="C62" t="str">
        <f t="shared" si="0"/>
        <v>ADP2012</v>
      </c>
      <c r="D62">
        <v>1.1023354500953359E-12</v>
      </c>
      <c r="E62">
        <v>0.26382497038669678</v>
      </c>
      <c r="F62">
        <v>1.0426868478133831</v>
      </c>
      <c r="G62">
        <v>25.65617158482214</v>
      </c>
      <c r="H62">
        <v>1.4086705552207941</v>
      </c>
      <c r="I62">
        <v>0.4201286896978948</v>
      </c>
      <c r="J62">
        <v>-8.9305785022766648E-2</v>
      </c>
      <c r="K62">
        <v>0.25283034688778638</v>
      </c>
      <c r="L62">
        <v>0.10481137141376019</v>
      </c>
      <c r="M62">
        <v>12</v>
      </c>
      <c r="N62">
        <v>0</v>
      </c>
      <c r="O62">
        <v>0</v>
      </c>
      <c r="P62">
        <v>0.42409999999999998</v>
      </c>
      <c r="Q62">
        <v>0.53590000000000004</v>
      </c>
      <c r="R62">
        <v>0</v>
      </c>
      <c r="S62">
        <v>0</v>
      </c>
      <c r="T62">
        <v>0</v>
      </c>
      <c r="U62">
        <v>7</v>
      </c>
      <c r="V62">
        <v>1</v>
      </c>
      <c r="W62">
        <v>0.14285714285714279</v>
      </c>
      <c r="X62">
        <v>1</v>
      </c>
      <c r="Y62">
        <v>0.54100000000000004</v>
      </c>
      <c r="Z62">
        <v>0.8571428571428571</v>
      </c>
    </row>
    <row r="63" spans="1:26" x14ac:dyDescent="0.2">
      <c r="A63" t="s">
        <v>6</v>
      </c>
      <c r="B63">
        <v>2013</v>
      </c>
      <c r="C63" t="str">
        <f t="shared" si="0"/>
        <v>ADP2013</v>
      </c>
      <c r="D63">
        <v>1.389246224758916E-12</v>
      </c>
      <c r="E63">
        <v>0.32344096864707012</v>
      </c>
      <c r="F63">
        <v>1.0373164183201711</v>
      </c>
      <c r="G63">
        <v>25.715053497293351</v>
      </c>
      <c r="H63">
        <v>1.7560971985478171</v>
      </c>
      <c r="I63">
        <v>0.36774826173343972</v>
      </c>
      <c r="J63">
        <v>6.0649983809170971E-2</v>
      </c>
      <c r="K63">
        <v>0.26070737115805642</v>
      </c>
      <c r="L63">
        <v>9.5326717771855418E-2</v>
      </c>
      <c r="M63">
        <v>13</v>
      </c>
      <c r="N63">
        <v>0</v>
      </c>
      <c r="O63">
        <v>0</v>
      </c>
      <c r="P63">
        <v>0.46179999999999988</v>
      </c>
      <c r="Q63">
        <v>0.48680000000000001</v>
      </c>
      <c r="R63">
        <v>0</v>
      </c>
      <c r="S63">
        <v>0</v>
      </c>
      <c r="T63">
        <v>0</v>
      </c>
      <c r="U63">
        <v>7</v>
      </c>
      <c r="V63">
        <v>1</v>
      </c>
      <c r="W63">
        <v>0.14285714285714279</v>
      </c>
      <c r="X63">
        <v>1</v>
      </c>
      <c r="Y63">
        <v>0.55000000000000004</v>
      </c>
      <c r="Z63">
        <v>1</v>
      </c>
    </row>
    <row r="64" spans="1:26" x14ac:dyDescent="0.2">
      <c r="A64" t="s">
        <v>6</v>
      </c>
      <c r="B64">
        <v>2014</v>
      </c>
      <c r="C64" t="str">
        <f t="shared" si="0"/>
        <v>ADP2014</v>
      </c>
      <c r="D64">
        <v>1.227567965954651E-12</v>
      </c>
      <c r="E64">
        <v>0.30706382097984591</v>
      </c>
      <c r="F64">
        <v>1.2207860680957809</v>
      </c>
      <c r="G64">
        <v>25.8441577556735</v>
      </c>
      <c r="H64">
        <v>2.0653016374646929</v>
      </c>
      <c r="I64">
        <v>0.3304361472523466</v>
      </c>
      <c r="J64">
        <v>0.13780874407863311</v>
      </c>
      <c r="K64">
        <v>0.1115742255796065</v>
      </c>
      <c r="L64">
        <v>0.1001734908231752</v>
      </c>
      <c r="M64">
        <v>14</v>
      </c>
      <c r="N64">
        <v>0</v>
      </c>
      <c r="O64">
        <v>0</v>
      </c>
      <c r="P64">
        <v>0.43359999999999999</v>
      </c>
      <c r="Q64">
        <v>0.49380000000000002</v>
      </c>
      <c r="R64">
        <v>0</v>
      </c>
      <c r="S64">
        <v>0</v>
      </c>
      <c r="T64">
        <v>0</v>
      </c>
      <c r="U64">
        <v>7</v>
      </c>
      <c r="V64">
        <v>1</v>
      </c>
      <c r="W64">
        <v>0.14285714285714279</v>
      </c>
      <c r="X64">
        <v>1</v>
      </c>
      <c r="Y64">
        <v>0.56000000000000005</v>
      </c>
      <c r="Z64">
        <v>1</v>
      </c>
    </row>
    <row r="65" spans="1:26" x14ac:dyDescent="0.2">
      <c r="A65" t="s">
        <v>6</v>
      </c>
      <c r="B65">
        <v>2015</v>
      </c>
      <c r="C65" t="str">
        <f t="shared" si="0"/>
        <v>ADP2015</v>
      </c>
      <c r="D65">
        <v>1.0146452745619031E-12</v>
      </c>
      <c r="E65">
        <v>0.36134158503588992</v>
      </c>
      <c r="F65">
        <v>1.4149866894630041</v>
      </c>
      <c r="G65">
        <v>26.15108724194921</v>
      </c>
      <c r="H65">
        <v>2.3463460824686151</v>
      </c>
      <c r="I65">
        <v>0.3607522960874277</v>
      </c>
      <c r="J65">
        <v>0.35924511925711999</v>
      </c>
      <c r="K65">
        <v>0.36906565859399387</v>
      </c>
      <c r="L65">
        <v>0.15765978464794839</v>
      </c>
      <c r="M65">
        <v>15</v>
      </c>
      <c r="N65">
        <v>0</v>
      </c>
      <c r="O65">
        <v>0</v>
      </c>
      <c r="P65">
        <v>0.4103</v>
      </c>
      <c r="Q65">
        <v>0.54949999999999999</v>
      </c>
      <c r="R65">
        <v>0</v>
      </c>
      <c r="S65">
        <v>0</v>
      </c>
      <c r="T65">
        <v>0</v>
      </c>
      <c r="U65">
        <v>7</v>
      </c>
      <c r="V65">
        <v>1</v>
      </c>
      <c r="W65">
        <v>0.14285714285714279</v>
      </c>
      <c r="X65">
        <v>1</v>
      </c>
      <c r="Y65">
        <v>0.56999999999999995</v>
      </c>
      <c r="Z65">
        <v>1</v>
      </c>
    </row>
    <row r="66" spans="1:26" x14ac:dyDescent="0.2">
      <c r="A66" t="s">
        <v>6</v>
      </c>
      <c r="B66">
        <v>2016</v>
      </c>
      <c r="C66" t="str">
        <f t="shared" si="0"/>
        <v>ADP2016</v>
      </c>
      <c r="D66">
        <v>9.8849801273292217E-13</v>
      </c>
      <c r="E66">
        <v>0.41394366361307239</v>
      </c>
      <c r="F66">
        <v>2.1510542865267039</v>
      </c>
      <c r="G66">
        <v>26.397159392170352</v>
      </c>
      <c r="H66">
        <v>2.0869415092991082</v>
      </c>
      <c r="I66">
        <v>0.30469520658210919</v>
      </c>
      <c r="J66">
        <v>0.27899184975761537</v>
      </c>
      <c r="K66">
        <v>0.22857279874867109</v>
      </c>
      <c r="L66">
        <v>0.24995819238097239</v>
      </c>
      <c r="M66">
        <v>16</v>
      </c>
      <c r="N66">
        <v>0</v>
      </c>
      <c r="O66">
        <v>0</v>
      </c>
      <c r="P66">
        <v>0.4103</v>
      </c>
      <c r="Q66">
        <v>0.53700000000000003</v>
      </c>
      <c r="R66">
        <v>0</v>
      </c>
      <c r="S66">
        <v>0</v>
      </c>
      <c r="T66">
        <v>0</v>
      </c>
      <c r="U66">
        <v>7</v>
      </c>
      <c r="V66">
        <v>1</v>
      </c>
      <c r="W66">
        <v>0.14285714285714279</v>
      </c>
      <c r="X66">
        <v>1</v>
      </c>
      <c r="Y66">
        <v>0.57999999999999996</v>
      </c>
      <c r="Z66">
        <v>1</v>
      </c>
    </row>
    <row r="67" spans="1:26" x14ac:dyDescent="0.2">
      <c r="A67" t="s">
        <v>6</v>
      </c>
      <c r="B67">
        <v>2017</v>
      </c>
      <c r="C67" t="str">
        <f t="shared" ref="C67:C130" si="1">A67&amp;B67</f>
        <v>ADP2017</v>
      </c>
      <c r="D67">
        <v>4.8983539045639957E-13</v>
      </c>
      <c r="E67">
        <v>0.21762625385278889</v>
      </c>
      <c r="F67">
        <v>1.73308673599767</v>
      </c>
      <c r="G67">
        <v>26.462677131804551</v>
      </c>
      <c r="H67">
        <v>2.237491259049913</v>
      </c>
      <c r="I67">
        <v>0.30026511186001448</v>
      </c>
      <c r="J67">
        <v>6.7711677960093031E-2</v>
      </c>
      <c r="K67">
        <v>0.15634505207930041</v>
      </c>
      <c r="L67">
        <v>0.29361286910948992</v>
      </c>
      <c r="M67">
        <v>17</v>
      </c>
      <c r="N67">
        <v>0</v>
      </c>
      <c r="O67">
        <v>0</v>
      </c>
      <c r="P67">
        <v>0.41639999999999999</v>
      </c>
      <c r="Q67">
        <v>0.54990000000000006</v>
      </c>
      <c r="R67">
        <v>0</v>
      </c>
      <c r="S67">
        <v>0</v>
      </c>
      <c r="T67">
        <v>0</v>
      </c>
      <c r="U67">
        <v>7</v>
      </c>
      <c r="V67">
        <v>1</v>
      </c>
      <c r="W67">
        <v>0.2857142857142857</v>
      </c>
      <c r="X67">
        <v>1</v>
      </c>
      <c r="Y67">
        <v>0.55600000000000005</v>
      </c>
      <c r="Z67">
        <v>1</v>
      </c>
    </row>
    <row r="68" spans="1:26" x14ac:dyDescent="0.2">
      <c r="A68" t="s">
        <v>6</v>
      </c>
      <c r="B68">
        <v>2018</v>
      </c>
      <c r="C68" t="str">
        <f t="shared" si="1"/>
        <v>ADP2018</v>
      </c>
      <c r="D68">
        <v>3.761450239110736E-13</v>
      </c>
      <c r="E68">
        <v>0.1407972939377653</v>
      </c>
      <c r="F68">
        <v>1.2213504014501011</v>
      </c>
      <c r="G68">
        <v>26.38084468573755</v>
      </c>
      <c r="H68">
        <v>2.1447342195068382</v>
      </c>
      <c r="I68">
        <v>0.2347271817907198</v>
      </c>
      <c r="J68">
        <v>-7.8573665630846001E-2</v>
      </c>
      <c r="K68">
        <v>0.1171708563875674</v>
      </c>
      <c r="L68">
        <v>0.28897135863631029</v>
      </c>
      <c r="M68">
        <v>18</v>
      </c>
      <c r="N68">
        <v>0</v>
      </c>
      <c r="O68">
        <v>0</v>
      </c>
      <c r="P68">
        <v>0.47820000000000001</v>
      </c>
      <c r="Q68">
        <v>0.54990000000000006</v>
      </c>
      <c r="R68">
        <v>0</v>
      </c>
      <c r="S68">
        <v>0</v>
      </c>
      <c r="T68">
        <v>0</v>
      </c>
      <c r="U68">
        <v>7</v>
      </c>
      <c r="V68">
        <v>1</v>
      </c>
      <c r="W68">
        <v>0.2857142857142857</v>
      </c>
      <c r="X68">
        <v>1</v>
      </c>
      <c r="Y68">
        <v>0.56600000000000006</v>
      </c>
      <c r="Z68">
        <v>1</v>
      </c>
    </row>
    <row r="69" spans="1:26" x14ac:dyDescent="0.2">
      <c r="A69" t="s">
        <v>6</v>
      </c>
      <c r="B69">
        <v>2019</v>
      </c>
      <c r="C69" t="str">
        <f t="shared" si="1"/>
        <v>ADP2019</v>
      </c>
      <c r="D69">
        <v>4.8182063546026896E-13</v>
      </c>
      <c r="E69">
        <v>0.18029162662278511</v>
      </c>
      <c r="F69">
        <v>1.0957664841941599</v>
      </c>
      <c r="G69">
        <v>26.40458661360762</v>
      </c>
      <c r="H69">
        <v>2.7478811748733771</v>
      </c>
      <c r="I69">
        <v>0.216072134298195</v>
      </c>
      <c r="J69">
        <v>2.4026011213183821E-2</v>
      </c>
      <c r="K69">
        <v>0.1048646278539431</v>
      </c>
      <c r="L69">
        <v>0.23296632563394379</v>
      </c>
      <c r="M69">
        <v>19</v>
      </c>
      <c r="N69">
        <v>0</v>
      </c>
      <c r="O69">
        <v>1</v>
      </c>
      <c r="P69">
        <v>0.53179999999999994</v>
      </c>
      <c r="Q69">
        <v>0.54990000000000006</v>
      </c>
      <c r="R69">
        <v>0</v>
      </c>
      <c r="S69">
        <v>0</v>
      </c>
      <c r="T69">
        <v>0</v>
      </c>
      <c r="U69">
        <v>7</v>
      </c>
      <c r="V69">
        <v>1</v>
      </c>
      <c r="W69">
        <v>0.2857142857142857</v>
      </c>
      <c r="X69">
        <v>1</v>
      </c>
      <c r="Y69">
        <v>0.57600000000000007</v>
      </c>
      <c r="Z69">
        <v>1</v>
      </c>
    </row>
    <row r="70" spans="1:26" x14ac:dyDescent="0.2">
      <c r="A70" t="s">
        <v>6</v>
      </c>
      <c r="B70">
        <v>2020</v>
      </c>
      <c r="C70" t="str">
        <f t="shared" si="1"/>
        <v>ADP2020</v>
      </c>
      <c r="D70">
        <v>7.2097379101057782E-13</v>
      </c>
      <c r="E70">
        <v>0.29207735326517498</v>
      </c>
      <c r="F70">
        <v>1.3505003927918571</v>
      </c>
      <c r="G70">
        <v>26.521623582106031</v>
      </c>
      <c r="H70">
        <v>3.259142259767978</v>
      </c>
      <c r="I70">
        <v>0.18601506759814701</v>
      </c>
      <c r="J70">
        <v>0.12416098746603769</v>
      </c>
      <c r="K70">
        <v>0.15876700729252891</v>
      </c>
      <c r="L70">
        <v>0.1721689126895157</v>
      </c>
      <c r="M70">
        <v>20</v>
      </c>
      <c r="N70">
        <v>0</v>
      </c>
      <c r="O70">
        <v>1</v>
      </c>
      <c r="P70">
        <v>0.59060000000000001</v>
      </c>
      <c r="Q70">
        <v>0.54990000000000006</v>
      </c>
      <c r="R70">
        <v>0</v>
      </c>
      <c r="S70">
        <v>0</v>
      </c>
      <c r="T70">
        <v>0</v>
      </c>
      <c r="U70">
        <v>6</v>
      </c>
      <c r="V70">
        <v>0</v>
      </c>
      <c r="W70">
        <v>0.33333333333333331</v>
      </c>
      <c r="X70">
        <v>1</v>
      </c>
      <c r="Y70">
        <v>0.58599999999999997</v>
      </c>
      <c r="Z70">
        <v>1</v>
      </c>
    </row>
    <row r="71" spans="1:26" x14ac:dyDescent="0.2">
      <c r="A71" t="s">
        <v>6</v>
      </c>
      <c r="B71">
        <v>2021</v>
      </c>
      <c r="C71" t="str">
        <f t="shared" si="1"/>
        <v>ADP2021</v>
      </c>
      <c r="D71">
        <v>4.5275734180723902E-13</v>
      </c>
      <c r="E71">
        <v>0.1783163519610679</v>
      </c>
      <c r="F71">
        <v>2.0116768497911002</v>
      </c>
      <c r="G71">
        <v>26.525173393985021</v>
      </c>
      <c r="H71">
        <v>4.1368528442335224</v>
      </c>
      <c r="I71">
        <v>0.1597456541746155</v>
      </c>
      <c r="J71">
        <v>3.55611992310223E-3</v>
      </c>
      <c r="K71">
        <v>0.1231237038990963</v>
      </c>
      <c r="L71">
        <v>0.12921773075611839</v>
      </c>
      <c r="M71">
        <v>21</v>
      </c>
      <c r="N71">
        <v>0</v>
      </c>
      <c r="O71">
        <v>0</v>
      </c>
      <c r="P71">
        <v>0.41639999999999999</v>
      </c>
      <c r="Q71">
        <v>0.49990000000000001</v>
      </c>
      <c r="R71">
        <v>0</v>
      </c>
      <c r="S71">
        <v>0</v>
      </c>
      <c r="T71">
        <v>0</v>
      </c>
      <c r="U71">
        <v>7</v>
      </c>
      <c r="V71">
        <v>0</v>
      </c>
      <c r="W71">
        <v>0.2857142857142857</v>
      </c>
      <c r="X71">
        <v>1</v>
      </c>
      <c r="Y71">
        <v>0.59599999999999997</v>
      </c>
      <c r="Z71">
        <v>1</v>
      </c>
    </row>
    <row r="72" spans="1:26" x14ac:dyDescent="0.2">
      <c r="A72" t="s">
        <v>6</v>
      </c>
      <c r="B72">
        <v>2022</v>
      </c>
      <c r="C72" t="str">
        <f t="shared" si="1"/>
        <v>ADP2022</v>
      </c>
      <c r="D72">
        <v>3.1158321854591581E-13</v>
      </c>
      <c r="E72">
        <v>0.1459747996181891</v>
      </c>
      <c r="F72">
        <v>1.263042436179056</v>
      </c>
      <c r="G72">
        <v>26.605204040683919</v>
      </c>
      <c r="H72">
        <v>5.1208034475895277</v>
      </c>
      <c r="I72">
        <v>0.2347744254372888</v>
      </c>
      <c r="J72">
        <v>8.332026735626652E-2</v>
      </c>
      <c r="K72">
        <v>0.12113709311205929</v>
      </c>
      <c r="L72">
        <v>9.3581007447549588E-2</v>
      </c>
      <c r="M72">
        <v>22</v>
      </c>
      <c r="N72">
        <v>0</v>
      </c>
      <c r="O72">
        <v>0</v>
      </c>
      <c r="P72">
        <v>0.48770000000000002</v>
      </c>
      <c r="Q72">
        <v>0.44409999999999988</v>
      </c>
      <c r="R72">
        <v>0</v>
      </c>
      <c r="S72">
        <v>0</v>
      </c>
      <c r="T72">
        <v>0</v>
      </c>
      <c r="U72">
        <v>7</v>
      </c>
      <c r="V72">
        <v>0</v>
      </c>
      <c r="W72">
        <v>0.42857142857142849</v>
      </c>
      <c r="X72">
        <v>0</v>
      </c>
      <c r="Y72">
        <v>0.54</v>
      </c>
      <c r="Z72">
        <v>1</v>
      </c>
    </row>
    <row r="73" spans="1:26" x14ac:dyDescent="0.2">
      <c r="A73" t="s">
        <v>6</v>
      </c>
      <c r="B73">
        <v>2023</v>
      </c>
      <c r="C73" t="str">
        <f t="shared" si="1"/>
        <v>ADP2023</v>
      </c>
      <c r="D73">
        <v>631428041964.02478</v>
      </c>
      <c r="E73">
        <v>0.15454919349338639</v>
      </c>
      <c r="F73">
        <v>1.0278632825479641</v>
      </c>
      <c r="G73">
        <v>26.666927334092389</v>
      </c>
      <c r="H73">
        <v>3.6591427571646311</v>
      </c>
      <c r="I73">
        <v>0</v>
      </c>
      <c r="J73">
        <v>6.3667980062303009E-2</v>
      </c>
      <c r="K73">
        <v>0.13669020673428409</v>
      </c>
      <c r="L73">
        <v>6.8630551625183153E-2</v>
      </c>
      <c r="M73">
        <v>23</v>
      </c>
      <c r="N73">
        <v>0</v>
      </c>
      <c r="O73">
        <v>0</v>
      </c>
      <c r="P73">
        <v>0.48770000000000002</v>
      </c>
      <c r="Q73">
        <v>0.44409999999999988</v>
      </c>
      <c r="R73">
        <v>0</v>
      </c>
      <c r="S73">
        <v>0</v>
      </c>
      <c r="T73">
        <v>0</v>
      </c>
      <c r="U73">
        <v>7</v>
      </c>
      <c r="V73">
        <v>0</v>
      </c>
      <c r="W73">
        <v>0.42857142857142849</v>
      </c>
      <c r="X73">
        <v>0</v>
      </c>
      <c r="Y73">
        <v>0.54</v>
      </c>
      <c r="Z73">
        <v>1</v>
      </c>
    </row>
    <row r="74" spans="1:26" x14ac:dyDescent="0.2">
      <c r="A74" t="s">
        <v>7</v>
      </c>
      <c r="B74">
        <v>2012</v>
      </c>
      <c r="C74" t="str">
        <f t="shared" si="1"/>
        <v>AGM2012</v>
      </c>
      <c r="D74">
        <v>3.7329309124297968E-14</v>
      </c>
      <c r="E74">
        <v>0.14175876546263941</v>
      </c>
      <c r="F74">
        <v>1.0326973871337251</v>
      </c>
      <c r="G74">
        <v>27.79022230587362</v>
      </c>
      <c r="H74">
        <v>1.1896496598379229</v>
      </c>
      <c r="I74">
        <v>0.69122635245258823</v>
      </c>
      <c r="J74">
        <v>0.27487782743759759</v>
      </c>
      <c r="K74">
        <v>9.2608606348218131E-2</v>
      </c>
      <c r="L74">
        <v>8.8133862638046651E-2</v>
      </c>
      <c r="M74">
        <v>5</v>
      </c>
      <c r="N74">
        <v>1</v>
      </c>
      <c r="O74">
        <v>0</v>
      </c>
      <c r="P74">
        <v>0.78500000000000003</v>
      </c>
      <c r="Q74">
        <v>2.6800000000000001E-2</v>
      </c>
      <c r="R74">
        <v>0</v>
      </c>
      <c r="S74">
        <v>0.28170000000000001</v>
      </c>
      <c r="T74">
        <v>0.78500000000000003</v>
      </c>
      <c r="U74">
        <v>7</v>
      </c>
      <c r="V74">
        <v>0</v>
      </c>
      <c r="W74">
        <v>0</v>
      </c>
      <c r="X74">
        <v>0</v>
      </c>
      <c r="Y74">
        <v>0.43580000000000002</v>
      </c>
      <c r="Z74">
        <v>1</v>
      </c>
    </row>
    <row r="75" spans="1:26" x14ac:dyDescent="0.2">
      <c r="A75" t="s">
        <v>7</v>
      </c>
      <c r="B75">
        <v>2013</v>
      </c>
      <c r="C75" t="str">
        <f t="shared" si="1"/>
        <v>AGM2013</v>
      </c>
      <c r="D75">
        <v>3.0833858607060462E-14</v>
      </c>
      <c r="E75">
        <v>8.7596190431443538E-2</v>
      </c>
      <c r="F75">
        <v>0.87731015359566178</v>
      </c>
      <c r="G75">
        <v>27.64944315700399</v>
      </c>
      <c r="H75">
        <v>1.072852643987755</v>
      </c>
      <c r="I75">
        <v>0.64145534860547726</v>
      </c>
      <c r="J75">
        <v>-0.13000551014080139</v>
      </c>
      <c r="K75">
        <v>-1.502907172929863E-2</v>
      </c>
      <c r="L75">
        <v>0.101639647814932</v>
      </c>
      <c r="M75">
        <v>6</v>
      </c>
      <c r="N75">
        <v>1</v>
      </c>
      <c r="O75">
        <v>0</v>
      </c>
      <c r="P75">
        <v>0.78500000000000003</v>
      </c>
      <c r="Q75">
        <v>2.3300000000000001E-2</v>
      </c>
      <c r="R75">
        <v>0</v>
      </c>
      <c r="S75">
        <v>0.28170000000000001</v>
      </c>
      <c r="T75">
        <v>0.78500000000000003</v>
      </c>
      <c r="U75">
        <v>7</v>
      </c>
      <c r="V75">
        <v>0</v>
      </c>
      <c r="W75">
        <v>0.14285714285714279</v>
      </c>
      <c r="X75">
        <v>0</v>
      </c>
      <c r="Y75">
        <v>0.45219999999999999</v>
      </c>
      <c r="Z75">
        <v>1</v>
      </c>
    </row>
    <row r="76" spans="1:26" x14ac:dyDescent="0.2">
      <c r="A76" t="s">
        <v>7</v>
      </c>
      <c r="B76">
        <v>2014</v>
      </c>
      <c r="C76" t="str">
        <f t="shared" si="1"/>
        <v>AGM2014</v>
      </c>
      <c r="D76">
        <v>9.6311043288576354E-15</v>
      </c>
      <c r="E76">
        <v>1.499868565522291E-2</v>
      </c>
      <c r="F76">
        <v>0.81400918137121148</v>
      </c>
      <c r="G76">
        <v>27.32153340256367</v>
      </c>
      <c r="H76">
        <v>1.0959915502898281</v>
      </c>
      <c r="I76">
        <v>0.52879045615681119</v>
      </c>
      <c r="J76">
        <v>-0.28065953129710253</v>
      </c>
      <c r="K76">
        <v>-0.1542485128541502</v>
      </c>
      <c r="L76">
        <v>0.1345249582747069</v>
      </c>
      <c r="M76">
        <v>7</v>
      </c>
      <c r="N76">
        <v>1</v>
      </c>
      <c r="O76">
        <v>0</v>
      </c>
      <c r="P76">
        <v>0.78500000000000003</v>
      </c>
      <c r="Q76">
        <v>1.52E-2</v>
      </c>
      <c r="R76">
        <v>0</v>
      </c>
      <c r="S76">
        <v>0.28170000000000001</v>
      </c>
      <c r="T76">
        <v>0.78500000000000003</v>
      </c>
      <c r="U76">
        <v>7</v>
      </c>
      <c r="V76">
        <v>0</v>
      </c>
      <c r="W76">
        <v>0.14285714285714279</v>
      </c>
      <c r="X76">
        <v>0</v>
      </c>
      <c r="Y76">
        <v>0.4622</v>
      </c>
      <c r="Z76">
        <v>1</v>
      </c>
    </row>
    <row r="77" spans="1:26" x14ac:dyDescent="0.2">
      <c r="A77" t="s">
        <v>7</v>
      </c>
      <c r="B77">
        <v>2015</v>
      </c>
      <c r="C77" t="str">
        <f t="shared" si="1"/>
        <v>AGM2015</v>
      </c>
      <c r="D77">
        <v>7.5568477656236855E-14</v>
      </c>
      <c r="E77">
        <v>0.12357139736541981</v>
      </c>
      <c r="F77">
        <v>0.75038755249553213</v>
      </c>
      <c r="G77">
        <v>27.397366808925309</v>
      </c>
      <c r="H77">
        <v>1.13851125499619</v>
      </c>
      <c r="I77">
        <v>0.51588566863458707</v>
      </c>
      <c r="J77">
        <v>7.8782840828022449E-2</v>
      </c>
      <c r="K77">
        <v>3.6736933284664389E-2</v>
      </c>
      <c r="L77">
        <v>0.16353721318931241</v>
      </c>
      <c r="M77">
        <v>8</v>
      </c>
      <c r="N77">
        <v>1</v>
      </c>
      <c r="O77">
        <v>0</v>
      </c>
      <c r="P77">
        <v>0.78500000000000003</v>
      </c>
      <c r="Q77">
        <v>1.47E-2</v>
      </c>
      <c r="R77">
        <v>0</v>
      </c>
      <c r="S77">
        <v>0.28170000000000001</v>
      </c>
      <c r="T77">
        <v>0.78500000000000003</v>
      </c>
      <c r="U77">
        <v>7</v>
      </c>
      <c r="V77">
        <v>0</v>
      </c>
      <c r="W77">
        <v>0</v>
      </c>
      <c r="X77">
        <v>0</v>
      </c>
      <c r="Y77">
        <v>0.46750000000000003</v>
      </c>
      <c r="Z77">
        <v>1</v>
      </c>
    </row>
    <row r="78" spans="1:26" x14ac:dyDescent="0.2">
      <c r="A78" t="s">
        <v>7</v>
      </c>
      <c r="B78">
        <v>2016</v>
      </c>
      <c r="C78" t="str">
        <f t="shared" si="1"/>
        <v>AGM2016</v>
      </c>
      <c r="D78">
        <v>1.168084612496782E-14</v>
      </c>
      <c r="E78">
        <v>1.83466898598257E-2</v>
      </c>
      <c r="F78">
        <v>0.76515514447036814</v>
      </c>
      <c r="G78">
        <v>27.33173629724816</v>
      </c>
      <c r="H78">
        <v>1.5237871068973949</v>
      </c>
      <c r="I78">
        <v>0.52800343492954394</v>
      </c>
      <c r="J78">
        <v>-6.3523182376441834E-2</v>
      </c>
      <c r="K78">
        <v>-3.651051225531065E-2</v>
      </c>
      <c r="L78">
        <v>0.17126078557592631</v>
      </c>
      <c r="M78">
        <v>9</v>
      </c>
      <c r="N78">
        <v>1</v>
      </c>
      <c r="O78">
        <v>0</v>
      </c>
      <c r="P78">
        <v>0.79969999999999997</v>
      </c>
      <c r="Q78">
        <v>1.1900000000000001E-2</v>
      </c>
      <c r="R78">
        <v>0</v>
      </c>
      <c r="S78">
        <v>0.28170000000000001</v>
      </c>
      <c r="T78">
        <v>0.79969999999999997</v>
      </c>
      <c r="U78">
        <v>5</v>
      </c>
      <c r="V78">
        <v>0</v>
      </c>
      <c r="W78">
        <v>0.4</v>
      </c>
      <c r="X78">
        <v>1</v>
      </c>
      <c r="Y78">
        <v>0.4657</v>
      </c>
      <c r="Z78">
        <v>1</v>
      </c>
    </row>
    <row r="79" spans="1:26" x14ac:dyDescent="0.2">
      <c r="A79" t="s">
        <v>7</v>
      </c>
      <c r="B79">
        <v>2017</v>
      </c>
      <c r="C79" t="str">
        <f t="shared" si="1"/>
        <v>AGM2017</v>
      </c>
      <c r="D79">
        <v>2.1787237645211171E-14</v>
      </c>
      <c r="E79">
        <v>3.1284005208287252E-2</v>
      </c>
      <c r="F79">
        <v>0.72449941354000336</v>
      </c>
      <c r="G79">
        <v>27.301195821308418</v>
      </c>
      <c r="H79">
        <v>1.478229631820505</v>
      </c>
      <c r="I79">
        <v>0.49922975535068559</v>
      </c>
      <c r="J79">
        <v>-3.0078827198247171E-2</v>
      </c>
      <c r="K79">
        <v>7.3162478943664414E-2</v>
      </c>
      <c r="L79">
        <v>0.15909869784756181</v>
      </c>
      <c r="M79">
        <v>10</v>
      </c>
      <c r="N79">
        <v>1</v>
      </c>
      <c r="O79">
        <v>0</v>
      </c>
      <c r="P79">
        <v>0.79969999999999997</v>
      </c>
      <c r="Q79">
        <v>9.300000000000001E-3</v>
      </c>
      <c r="R79">
        <v>0</v>
      </c>
      <c r="S79">
        <v>0.28170000000000001</v>
      </c>
      <c r="T79">
        <v>0.79969999999999997</v>
      </c>
      <c r="U79">
        <v>5</v>
      </c>
      <c r="V79">
        <v>0</v>
      </c>
      <c r="W79">
        <v>0.4</v>
      </c>
      <c r="X79">
        <v>1</v>
      </c>
      <c r="Y79">
        <v>0.43109999999999998</v>
      </c>
      <c r="Z79">
        <v>1</v>
      </c>
    </row>
    <row r="80" spans="1:26" x14ac:dyDescent="0.2">
      <c r="A80" t="s">
        <v>7</v>
      </c>
      <c r="B80">
        <v>2018</v>
      </c>
      <c r="C80" t="str">
        <f t="shared" si="1"/>
        <v>AGM2018</v>
      </c>
      <c r="D80">
        <v>8.9958982692909389E-14</v>
      </c>
      <c r="E80">
        <v>7.2620146665037633E-2</v>
      </c>
      <c r="F80">
        <v>0.67586531175938125</v>
      </c>
      <c r="G80">
        <v>27.036548191910772</v>
      </c>
      <c r="H80">
        <v>1.560134431272709</v>
      </c>
      <c r="I80">
        <v>0.3163857558803066</v>
      </c>
      <c r="J80">
        <v>-0.23252366156575499</v>
      </c>
      <c r="K80">
        <v>0.2137028851571933</v>
      </c>
      <c r="L80">
        <v>0.17236217046485841</v>
      </c>
      <c r="M80">
        <v>11</v>
      </c>
      <c r="N80">
        <v>1</v>
      </c>
      <c r="O80">
        <v>0</v>
      </c>
      <c r="P80">
        <v>0.79969999999999997</v>
      </c>
      <c r="Q80">
        <v>8.6999999999999994E-3</v>
      </c>
      <c r="R80">
        <v>0</v>
      </c>
      <c r="S80">
        <v>0.28170000000000001</v>
      </c>
      <c r="T80">
        <v>0.79969999999999997</v>
      </c>
      <c r="U80">
        <v>5</v>
      </c>
      <c r="V80">
        <v>0</v>
      </c>
      <c r="W80">
        <v>0.4</v>
      </c>
      <c r="X80">
        <v>1</v>
      </c>
      <c r="Y80">
        <v>0.45329999999999998</v>
      </c>
      <c r="Z80">
        <v>1</v>
      </c>
    </row>
    <row r="81" spans="1:26" x14ac:dyDescent="0.2">
      <c r="A81" t="s">
        <v>7</v>
      </c>
      <c r="B81">
        <v>2019</v>
      </c>
      <c r="C81" t="str">
        <f t="shared" si="1"/>
        <v>AGM2019</v>
      </c>
      <c r="D81">
        <v>6.7643730017272078E-14</v>
      </c>
      <c r="E81">
        <v>9.1355682527019963E-2</v>
      </c>
      <c r="F81">
        <v>0.66877852646888292</v>
      </c>
      <c r="G81">
        <v>27.372330843896361</v>
      </c>
      <c r="H81">
        <v>2.3900789421996138</v>
      </c>
      <c r="I81">
        <v>0.42833155162788777</v>
      </c>
      <c r="J81">
        <v>0.39903491430250798</v>
      </c>
      <c r="K81">
        <v>2.0616981769593552E-2</v>
      </c>
      <c r="L81">
        <v>0.1206874607821309</v>
      </c>
      <c r="M81">
        <v>12</v>
      </c>
      <c r="N81">
        <v>1</v>
      </c>
      <c r="O81">
        <v>1</v>
      </c>
      <c r="P81">
        <v>0.79969999999999997</v>
      </c>
      <c r="Q81">
        <v>8.6999999999999994E-3</v>
      </c>
      <c r="R81">
        <v>0</v>
      </c>
      <c r="S81">
        <v>0.28170000000000001</v>
      </c>
      <c r="T81">
        <v>0.79969999999999997</v>
      </c>
      <c r="U81">
        <v>5</v>
      </c>
      <c r="V81">
        <v>0</v>
      </c>
      <c r="W81">
        <v>0.4</v>
      </c>
      <c r="X81">
        <v>0</v>
      </c>
      <c r="Y81">
        <v>0.48570000000000002</v>
      </c>
      <c r="Z81">
        <v>1</v>
      </c>
    </row>
    <row r="82" spans="1:26" x14ac:dyDescent="0.2">
      <c r="A82" t="s">
        <v>7</v>
      </c>
      <c r="B82">
        <v>2020</v>
      </c>
      <c r="C82" t="str">
        <f t="shared" si="1"/>
        <v>AGM2020</v>
      </c>
      <c r="D82">
        <v>4.3011819792604983E-14</v>
      </c>
      <c r="E82">
        <v>5.6390872110948898E-2</v>
      </c>
      <c r="F82">
        <v>0.72726792395581819</v>
      </c>
      <c r="G82">
        <v>27.354747968839821</v>
      </c>
      <c r="H82">
        <v>1.8156480286895571</v>
      </c>
      <c r="I82">
        <v>0.4213777855175877</v>
      </c>
      <c r="J82">
        <v>-1.742919832004686E-2</v>
      </c>
      <c r="K82">
        <v>0.1078132795376217</v>
      </c>
      <c r="L82">
        <v>0.11803917951396641</v>
      </c>
      <c r="M82">
        <v>13</v>
      </c>
      <c r="N82">
        <v>1</v>
      </c>
      <c r="O82">
        <v>1</v>
      </c>
      <c r="P82">
        <v>0.80020000000000013</v>
      </c>
      <c r="Q82">
        <v>6.9999999999999993E-3</v>
      </c>
      <c r="R82">
        <v>0</v>
      </c>
      <c r="S82">
        <v>0.28170000000000001</v>
      </c>
      <c r="T82">
        <v>0.80020000000000013</v>
      </c>
      <c r="U82">
        <v>5</v>
      </c>
      <c r="V82">
        <v>0</v>
      </c>
      <c r="W82">
        <v>0.2</v>
      </c>
      <c r="X82">
        <v>0</v>
      </c>
      <c r="Y82">
        <v>0.48830000000000001</v>
      </c>
      <c r="Z82">
        <v>1</v>
      </c>
    </row>
    <row r="83" spans="1:26" x14ac:dyDescent="0.2">
      <c r="A83" t="s">
        <v>7</v>
      </c>
      <c r="B83">
        <v>2021</v>
      </c>
      <c r="C83" t="str">
        <f t="shared" si="1"/>
        <v>AGM2021</v>
      </c>
      <c r="D83">
        <v>1.297412298876825E-14</v>
      </c>
      <c r="E83">
        <v>9.2637881024288632E-2</v>
      </c>
      <c r="F83">
        <v>1.0939236805301089</v>
      </c>
      <c r="G83">
        <v>28.24966888671468</v>
      </c>
      <c r="H83">
        <v>1.8403966421582161</v>
      </c>
      <c r="I83">
        <v>0.74000517062164595</v>
      </c>
      <c r="J83">
        <v>1.4471422565997389</v>
      </c>
      <c r="K83">
        <v>-0.35004843849160278</v>
      </c>
      <c r="L83">
        <v>0.1102236912425163</v>
      </c>
      <c r="M83">
        <v>14</v>
      </c>
      <c r="N83">
        <v>0</v>
      </c>
      <c r="O83">
        <v>0</v>
      </c>
      <c r="P83">
        <v>0.51170000000000004</v>
      </c>
      <c r="Q83">
        <v>1.2999999999999999E-3</v>
      </c>
      <c r="R83">
        <v>0</v>
      </c>
      <c r="S83">
        <v>0.28170000000000001</v>
      </c>
      <c r="T83">
        <v>0.51170000000000004</v>
      </c>
      <c r="U83">
        <v>5</v>
      </c>
      <c r="V83">
        <v>0</v>
      </c>
      <c r="W83">
        <v>0</v>
      </c>
      <c r="X83">
        <v>0</v>
      </c>
      <c r="Y83">
        <v>0.434</v>
      </c>
      <c r="Z83">
        <v>1</v>
      </c>
    </row>
    <row r="84" spans="1:26" x14ac:dyDescent="0.2">
      <c r="A84" t="s">
        <v>7</v>
      </c>
      <c r="B84">
        <v>2022</v>
      </c>
      <c r="C84" t="str">
        <f t="shared" si="1"/>
        <v>AGM2022</v>
      </c>
      <c r="D84">
        <v>-9.3233151153816585E-14</v>
      </c>
      <c r="E84">
        <v>-0.98409478859279964</v>
      </c>
      <c r="F84">
        <v>0.92568612800944494</v>
      </c>
      <c r="G84">
        <v>28.088951664663579</v>
      </c>
      <c r="H84">
        <v>1.264104480006363</v>
      </c>
      <c r="I84">
        <v>0.81527488867320186</v>
      </c>
      <c r="J84">
        <v>-0.14846716822723111</v>
      </c>
      <c r="K84">
        <v>-3.4235961498547442E-2</v>
      </c>
      <c r="L84">
        <v>0.21867294528575121</v>
      </c>
      <c r="M84">
        <v>15</v>
      </c>
      <c r="N84">
        <v>0</v>
      </c>
      <c r="O84">
        <v>0</v>
      </c>
      <c r="P84">
        <v>7.8700000000000006E-2</v>
      </c>
      <c r="Q84">
        <v>1.5E-3</v>
      </c>
      <c r="R84">
        <v>0</v>
      </c>
      <c r="S84">
        <v>0</v>
      </c>
      <c r="T84">
        <v>7.8700000000000006E-2</v>
      </c>
      <c r="U84">
        <v>5</v>
      </c>
      <c r="V84">
        <v>0</v>
      </c>
      <c r="W84">
        <v>0</v>
      </c>
      <c r="X84">
        <v>1</v>
      </c>
      <c r="Y84">
        <v>0.41</v>
      </c>
      <c r="Z84">
        <v>1</v>
      </c>
    </row>
    <row r="85" spans="1:26" x14ac:dyDescent="0.2">
      <c r="A85" t="s">
        <v>7</v>
      </c>
      <c r="B85">
        <v>2023</v>
      </c>
      <c r="C85" t="str">
        <f t="shared" si="1"/>
        <v>AGM2023</v>
      </c>
      <c r="D85">
        <v>1015782470654.7</v>
      </c>
      <c r="E85">
        <v>-0.88181759345034216</v>
      </c>
      <c r="F85">
        <v>0.88992599979144804</v>
      </c>
      <c r="G85">
        <v>27.843774698231961</v>
      </c>
      <c r="H85">
        <v>0.76196470867629651</v>
      </c>
      <c r="I85">
        <v>0.79753422176788968</v>
      </c>
      <c r="J85">
        <v>-0.21743396193246561</v>
      </c>
      <c r="K85">
        <v>9.1827350229229554E-2</v>
      </c>
      <c r="L85">
        <v>0.20831447295032471</v>
      </c>
      <c r="M85">
        <v>16</v>
      </c>
      <c r="N85">
        <v>0</v>
      </c>
      <c r="O85">
        <v>0</v>
      </c>
      <c r="P85">
        <v>7.8700000000000006E-2</v>
      </c>
      <c r="Q85">
        <v>1.5E-3</v>
      </c>
      <c r="R85">
        <v>0</v>
      </c>
      <c r="S85">
        <v>0</v>
      </c>
      <c r="T85">
        <v>7.8700000000000006E-2</v>
      </c>
      <c r="U85">
        <v>5</v>
      </c>
      <c r="V85">
        <v>0</v>
      </c>
      <c r="W85">
        <v>0</v>
      </c>
      <c r="X85">
        <v>1</v>
      </c>
      <c r="Y85">
        <v>0.41</v>
      </c>
      <c r="Z85">
        <v>1</v>
      </c>
    </row>
    <row r="86" spans="1:26" x14ac:dyDescent="0.2">
      <c r="A86" t="s">
        <v>8</v>
      </c>
      <c r="B86">
        <v>2012</v>
      </c>
      <c r="C86" t="str">
        <f t="shared" si="1"/>
        <v>ALT2012</v>
      </c>
      <c r="D86">
        <v>-1.306144441356687E-13</v>
      </c>
      <c r="E86">
        <v>-3.5898658044828759E-2</v>
      </c>
      <c r="F86">
        <v>0.58428613374996063</v>
      </c>
      <c r="G86">
        <v>26.163902996413739</v>
      </c>
      <c r="H86">
        <v>2.8420864400021619</v>
      </c>
      <c r="I86">
        <v>0.16605379715115609</v>
      </c>
      <c r="J86">
        <v>-6.441635818533753E-2</v>
      </c>
      <c r="K86">
        <v>7.9190520359639582E-2</v>
      </c>
      <c r="L86">
        <v>0.53401981187391301</v>
      </c>
      <c r="M86">
        <v>23</v>
      </c>
      <c r="N86">
        <v>0</v>
      </c>
      <c r="O86">
        <v>0</v>
      </c>
      <c r="P86">
        <v>0.43969999999999998</v>
      </c>
      <c r="Q86">
        <v>0.18590000000000001</v>
      </c>
      <c r="R86">
        <v>0</v>
      </c>
      <c r="S86">
        <v>0.1217</v>
      </c>
      <c r="T86">
        <v>0.28999999999999998</v>
      </c>
      <c r="U86">
        <v>5</v>
      </c>
      <c r="V86">
        <v>1</v>
      </c>
      <c r="W86">
        <v>0.2</v>
      </c>
      <c r="X86">
        <v>1</v>
      </c>
      <c r="Y86">
        <v>0.50629999999999997</v>
      </c>
      <c r="Z86">
        <v>1</v>
      </c>
    </row>
    <row r="87" spans="1:26" x14ac:dyDescent="0.2">
      <c r="A87" t="s">
        <v>8</v>
      </c>
      <c r="B87">
        <v>2013</v>
      </c>
      <c r="C87" t="str">
        <f t="shared" si="1"/>
        <v>ALT2013</v>
      </c>
      <c r="D87">
        <v>4.4647623110589971E-14</v>
      </c>
      <c r="E87">
        <v>1.081571896414148E-2</v>
      </c>
      <c r="F87">
        <v>0.37811766468115737</v>
      </c>
      <c r="G87">
        <v>26.106270955402071</v>
      </c>
      <c r="H87">
        <v>2.8357557710596981</v>
      </c>
      <c r="I87">
        <v>0.1068662197282326</v>
      </c>
      <c r="J87">
        <v>-5.6002764193182841E-2</v>
      </c>
      <c r="K87">
        <v>2.2130289811506991E-2</v>
      </c>
      <c r="L87">
        <v>0.24815037195229761</v>
      </c>
      <c r="M87">
        <v>24</v>
      </c>
      <c r="N87">
        <v>0</v>
      </c>
      <c r="O87">
        <v>0</v>
      </c>
      <c r="P87">
        <v>0.43969999999999998</v>
      </c>
      <c r="Q87">
        <v>0.2198</v>
      </c>
      <c r="R87">
        <v>0</v>
      </c>
      <c r="S87">
        <v>0.1217</v>
      </c>
      <c r="T87">
        <v>0.28999999999999998</v>
      </c>
      <c r="U87">
        <v>5</v>
      </c>
      <c r="V87">
        <v>1</v>
      </c>
      <c r="W87">
        <v>0.2</v>
      </c>
      <c r="X87">
        <v>1</v>
      </c>
      <c r="Y87">
        <v>0.48</v>
      </c>
      <c r="Z87">
        <v>1</v>
      </c>
    </row>
    <row r="88" spans="1:26" x14ac:dyDescent="0.2">
      <c r="A88" t="s">
        <v>8</v>
      </c>
      <c r="B88">
        <v>2014</v>
      </c>
      <c r="C88" t="str">
        <f t="shared" si="1"/>
        <v>ALT2014</v>
      </c>
      <c r="D88">
        <v>1.9120958512168759E-14</v>
      </c>
      <c r="E88">
        <v>4.7506812414546016E-3</v>
      </c>
      <c r="F88">
        <v>0.36349219712750069</v>
      </c>
      <c r="G88">
        <v>26.124085968764611</v>
      </c>
      <c r="H88">
        <v>4.2865789540422163</v>
      </c>
      <c r="I88">
        <v>0.1081328891998914</v>
      </c>
      <c r="J88">
        <v>1.884511646006937E-2</v>
      </c>
      <c r="K88">
        <v>4.4172377710248317E-2</v>
      </c>
      <c r="L88">
        <v>0.2244528750853379</v>
      </c>
      <c r="M88">
        <v>25</v>
      </c>
      <c r="N88">
        <v>0</v>
      </c>
      <c r="O88">
        <v>0</v>
      </c>
      <c r="P88">
        <v>0.44300000000000012</v>
      </c>
      <c r="Q88">
        <v>0.20349999999999999</v>
      </c>
      <c r="R88">
        <v>0</v>
      </c>
      <c r="S88">
        <v>0.1226</v>
      </c>
      <c r="T88">
        <v>0.29220000000000002</v>
      </c>
      <c r="U88">
        <v>5</v>
      </c>
      <c r="V88">
        <v>0</v>
      </c>
      <c r="W88">
        <v>0.2</v>
      </c>
      <c r="X88">
        <v>1</v>
      </c>
      <c r="Y88">
        <v>0.51129999999999998</v>
      </c>
      <c r="Z88">
        <v>1</v>
      </c>
    </row>
    <row r="89" spans="1:26" x14ac:dyDescent="0.2">
      <c r="A89" t="s">
        <v>8</v>
      </c>
      <c r="B89">
        <v>2015</v>
      </c>
      <c r="C89" t="str">
        <f t="shared" si="1"/>
        <v>ALT2015</v>
      </c>
      <c r="D89">
        <v>1.08674477156881E-13</v>
      </c>
      <c r="E89">
        <v>2.9519867378138932E-2</v>
      </c>
      <c r="F89">
        <v>0.45172793483982793</v>
      </c>
      <c r="G89">
        <v>26.18366991872584</v>
      </c>
      <c r="H89">
        <v>4.8214594425009913</v>
      </c>
      <c r="I89">
        <v>0.13416224557623391</v>
      </c>
      <c r="J89">
        <v>6.048803893842547E-2</v>
      </c>
      <c r="K89">
        <v>9.1687854580471115E-2</v>
      </c>
      <c r="L89">
        <v>0.18714121492683949</v>
      </c>
      <c r="M89">
        <v>26</v>
      </c>
      <c r="N89">
        <v>0</v>
      </c>
      <c r="O89">
        <v>0</v>
      </c>
      <c r="P89">
        <v>0.53010000000000002</v>
      </c>
      <c r="Q89">
        <v>0.20430000000000001</v>
      </c>
      <c r="R89">
        <v>0</v>
      </c>
      <c r="S89">
        <v>0.13250000000000001</v>
      </c>
      <c r="T89">
        <v>0.31569999999999998</v>
      </c>
      <c r="U89">
        <v>5</v>
      </c>
      <c r="V89">
        <v>0</v>
      </c>
      <c r="W89">
        <v>0.2</v>
      </c>
      <c r="X89">
        <v>1</v>
      </c>
      <c r="Y89">
        <v>0.48299999999999998</v>
      </c>
      <c r="Z89">
        <v>1</v>
      </c>
    </row>
    <row r="90" spans="1:26" x14ac:dyDescent="0.2">
      <c r="A90" t="s">
        <v>8</v>
      </c>
      <c r="B90">
        <v>2016</v>
      </c>
      <c r="C90" t="str">
        <f t="shared" si="1"/>
        <v>ALT2016</v>
      </c>
      <c r="D90">
        <v>1.1489125633582991E-13</v>
      </c>
      <c r="E90">
        <v>2.817505115375812E-2</v>
      </c>
      <c r="F90">
        <v>0.40083066455589578</v>
      </c>
      <c r="G90">
        <v>26.13760523892638</v>
      </c>
      <c r="H90">
        <v>5.0231047240726729</v>
      </c>
      <c r="I90">
        <v>8.4117015433253353E-2</v>
      </c>
      <c r="J90">
        <v>-4.5019807734221651E-2</v>
      </c>
      <c r="K90">
        <v>0.10701579870616711</v>
      </c>
      <c r="L90">
        <v>0.19662558751379419</v>
      </c>
      <c r="M90">
        <v>27</v>
      </c>
      <c r="N90">
        <v>0</v>
      </c>
      <c r="O90">
        <v>0</v>
      </c>
      <c r="P90">
        <v>0.53010000000000002</v>
      </c>
      <c r="Q90">
        <v>0.2198</v>
      </c>
      <c r="R90">
        <v>0</v>
      </c>
      <c r="S90">
        <v>0.13250000000000001</v>
      </c>
      <c r="T90">
        <v>0.31569999999999998</v>
      </c>
      <c r="U90">
        <v>5</v>
      </c>
      <c r="V90">
        <v>0</v>
      </c>
      <c r="W90">
        <v>0.2</v>
      </c>
      <c r="X90">
        <v>1</v>
      </c>
      <c r="Y90">
        <v>0.49299999999999999</v>
      </c>
      <c r="Z90">
        <v>1</v>
      </c>
    </row>
    <row r="91" spans="1:26" x14ac:dyDescent="0.2">
      <c r="A91" t="s">
        <v>8</v>
      </c>
      <c r="B91">
        <v>2017</v>
      </c>
      <c r="C91" t="str">
        <f t="shared" si="1"/>
        <v>ALT2017</v>
      </c>
      <c r="D91">
        <v>1.4737656013107759E-13</v>
      </c>
      <c r="E91">
        <v>3.6762716710322947E-2</v>
      </c>
      <c r="F91">
        <v>0.46158423669424248</v>
      </c>
      <c r="G91">
        <v>26.15401329600931</v>
      </c>
      <c r="H91">
        <v>5.9667427568373954</v>
      </c>
      <c r="I91">
        <v>8.4697872046210113E-2</v>
      </c>
      <c r="J91">
        <v>1.6543408522943889E-2</v>
      </c>
      <c r="K91">
        <v>8.2187413977824905E-2</v>
      </c>
      <c r="L91">
        <v>0.1825016276272475</v>
      </c>
      <c r="M91">
        <v>28</v>
      </c>
      <c r="N91">
        <v>0</v>
      </c>
      <c r="O91">
        <v>0</v>
      </c>
      <c r="P91">
        <v>0.53010000000000002</v>
      </c>
      <c r="Q91">
        <v>0.21970000000000001</v>
      </c>
      <c r="R91">
        <v>0</v>
      </c>
      <c r="S91">
        <v>0.13250000000000001</v>
      </c>
      <c r="T91">
        <v>0.31569999999999998</v>
      </c>
      <c r="U91">
        <v>5</v>
      </c>
      <c r="V91">
        <v>0</v>
      </c>
      <c r="W91">
        <v>0.2</v>
      </c>
      <c r="X91">
        <v>1</v>
      </c>
      <c r="Y91">
        <v>0.48599999999999999</v>
      </c>
      <c r="Z91">
        <v>1</v>
      </c>
    </row>
    <row r="92" spans="1:26" x14ac:dyDescent="0.2">
      <c r="A92" t="s">
        <v>8</v>
      </c>
      <c r="B92">
        <v>2018</v>
      </c>
      <c r="C92" t="str">
        <f t="shared" si="1"/>
        <v>ALT2018</v>
      </c>
      <c r="D92">
        <v>1.188533023634948E-13</v>
      </c>
      <c r="E92">
        <v>3.5429724668425151E-2</v>
      </c>
      <c r="F92">
        <v>0.44314713484608398</v>
      </c>
      <c r="G92">
        <v>26.24919370855083</v>
      </c>
      <c r="H92">
        <v>6.3851357586302351</v>
      </c>
      <c r="I92">
        <v>0.15759010807835841</v>
      </c>
      <c r="J92">
        <v>9.9857265272255594E-2</v>
      </c>
      <c r="K92">
        <v>3.532230921241733E-2</v>
      </c>
      <c r="L92">
        <v>0.17360891471484069</v>
      </c>
      <c r="M92">
        <v>29</v>
      </c>
      <c r="N92">
        <v>0</v>
      </c>
      <c r="O92">
        <v>0</v>
      </c>
      <c r="P92">
        <v>0.59150000000000003</v>
      </c>
      <c r="Q92">
        <v>0.21970000000000001</v>
      </c>
      <c r="R92">
        <v>0</v>
      </c>
      <c r="S92">
        <v>0.13250000000000001</v>
      </c>
      <c r="T92">
        <v>0.37709999999999999</v>
      </c>
      <c r="U92">
        <v>5</v>
      </c>
      <c r="V92">
        <v>0</v>
      </c>
      <c r="W92">
        <v>0.2</v>
      </c>
      <c r="X92">
        <v>1</v>
      </c>
      <c r="Y92">
        <v>0.496</v>
      </c>
      <c r="Z92">
        <v>1</v>
      </c>
    </row>
    <row r="93" spans="1:26" x14ac:dyDescent="0.2">
      <c r="A93" t="s">
        <v>8</v>
      </c>
      <c r="B93">
        <v>2019</v>
      </c>
      <c r="C93" t="str">
        <f t="shared" si="1"/>
        <v>ALT2019</v>
      </c>
      <c r="D93">
        <v>1.3985541620947979E-13</v>
      </c>
      <c r="E93">
        <v>3.9011030645410033E-2</v>
      </c>
      <c r="F93">
        <v>0.3787972526934717</v>
      </c>
      <c r="G93">
        <v>26.224910310706381</v>
      </c>
      <c r="H93">
        <v>3.5055426195391819</v>
      </c>
      <c r="I93">
        <v>0.12133019542564211</v>
      </c>
      <c r="J93">
        <v>-2.3990928306628408E-2</v>
      </c>
      <c r="K93">
        <v>9.2340097360325696E-2</v>
      </c>
      <c r="L93">
        <v>0.20533408913185411</v>
      </c>
      <c r="M93">
        <v>30</v>
      </c>
      <c r="N93">
        <v>0</v>
      </c>
      <c r="O93">
        <v>1</v>
      </c>
      <c r="P93">
        <v>0.59160000000000001</v>
      </c>
      <c r="Q93">
        <v>0.21970000000000001</v>
      </c>
      <c r="R93">
        <v>0</v>
      </c>
      <c r="S93">
        <v>0.13250000000000001</v>
      </c>
      <c r="T93">
        <v>0.37719999999999998</v>
      </c>
      <c r="U93">
        <v>5</v>
      </c>
      <c r="V93">
        <v>0</v>
      </c>
      <c r="W93">
        <v>0.2</v>
      </c>
      <c r="X93">
        <v>1</v>
      </c>
      <c r="Y93">
        <v>0.50600000000000001</v>
      </c>
      <c r="Z93">
        <v>1</v>
      </c>
    </row>
    <row r="94" spans="1:26" x14ac:dyDescent="0.2">
      <c r="A94" t="s">
        <v>8</v>
      </c>
      <c r="B94">
        <v>2020</v>
      </c>
      <c r="C94" t="str">
        <f t="shared" si="1"/>
        <v>ALT2020</v>
      </c>
      <c r="D94">
        <v>4.7791938630240877E-14</v>
      </c>
      <c r="E94">
        <v>1.9130088332960721E-2</v>
      </c>
      <c r="F94">
        <v>0.47520606187534242</v>
      </c>
      <c r="G94">
        <v>26.401715523147139</v>
      </c>
      <c r="H94">
        <v>4.3459971700323967</v>
      </c>
      <c r="I94">
        <v>0.26926983328696869</v>
      </c>
      <c r="J94">
        <v>0.19339861128289029</v>
      </c>
      <c r="K94">
        <v>0.1573426878704591</v>
      </c>
      <c r="L94">
        <v>0.25442682236923442</v>
      </c>
      <c r="M94">
        <v>31</v>
      </c>
      <c r="N94">
        <v>0</v>
      </c>
      <c r="O94">
        <v>1</v>
      </c>
      <c r="P94">
        <v>0.64129999999999998</v>
      </c>
      <c r="Q94">
        <v>0.21970000000000001</v>
      </c>
      <c r="R94">
        <v>0</v>
      </c>
      <c r="S94">
        <v>0.13250000000000001</v>
      </c>
      <c r="T94">
        <v>0.4269</v>
      </c>
      <c r="U94">
        <v>5</v>
      </c>
      <c r="V94">
        <v>0</v>
      </c>
      <c r="W94">
        <v>0.2</v>
      </c>
      <c r="X94">
        <v>1</v>
      </c>
      <c r="Y94">
        <v>0.51600000000000001</v>
      </c>
      <c r="Z94">
        <v>1</v>
      </c>
    </row>
    <row r="95" spans="1:26" x14ac:dyDescent="0.2">
      <c r="A95" t="s">
        <v>8</v>
      </c>
      <c r="B95">
        <v>2021</v>
      </c>
      <c r="C95" t="str">
        <f t="shared" si="1"/>
        <v>ALT2021</v>
      </c>
      <c r="D95">
        <v>6.8776690701012826E-14</v>
      </c>
      <c r="E95">
        <v>2.447193750251923E-2</v>
      </c>
      <c r="F95">
        <v>0.6562112263316795</v>
      </c>
      <c r="G95">
        <v>26.345748614567189</v>
      </c>
      <c r="H95">
        <v>2.1498034814677278</v>
      </c>
      <c r="I95">
        <v>0.22270447882123429</v>
      </c>
      <c r="J95">
        <v>-5.4429574359178057E-2</v>
      </c>
      <c r="K95">
        <v>0.1172671133999675</v>
      </c>
      <c r="L95">
        <v>0.22322206582747789</v>
      </c>
      <c r="M95">
        <v>32</v>
      </c>
      <c r="N95">
        <v>0</v>
      </c>
      <c r="O95">
        <v>0</v>
      </c>
      <c r="P95">
        <v>0.64070000000000005</v>
      </c>
      <c r="Q95">
        <v>0.21970000000000001</v>
      </c>
      <c r="R95">
        <v>0</v>
      </c>
      <c r="S95">
        <v>0.13250000000000001</v>
      </c>
      <c r="T95">
        <v>0.42630000000000001</v>
      </c>
      <c r="U95">
        <v>5</v>
      </c>
      <c r="V95">
        <v>0</v>
      </c>
      <c r="W95">
        <v>0.2</v>
      </c>
      <c r="X95">
        <v>0</v>
      </c>
      <c r="Y95">
        <v>0.54110000000000003</v>
      </c>
      <c r="Z95">
        <v>1</v>
      </c>
    </row>
    <row r="96" spans="1:26" x14ac:dyDescent="0.2">
      <c r="A96" t="s">
        <v>8</v>
      </c>
      <c r="B96">
        <v>2022</v>
      </c>
      <c r="C96" t="str">
        <f t="shared" si="1"/>
        <v>ALT2022</v>
      </c>
      <c r="D96">
        <v>9.6706086726646446E-14</v>
      </c>
      <c r="E96">
        <v>4.301738910664487E-2</v>
      </c>
      <c r="F96">
        <v>0.56243436931894308</v>
      </c>
      <c r="G96">
        <v>26.46724077952938</v>
      </c>
      <c r="H96">
        <v>2.6496533685933561</v>
      </c>
      <c r="I96">
        <v>0.29792035239388648</v>
      </c>
      <c r="J96">
        <v>0.12918051871843611</v>
      </c>
      <c r="K96">
        <v>-1.2929855997062629E-2</v>
      </c>
      <c r="L96">
        <v>0.1790981066021719</v>
      </c>
      <c r="M96">
        <v>33</v>
      </c>
      <c r="N96">
        <v>0</v>
      </c>
      <c r="O96">
        <v>0</v>
      </c>
      <c r="P96">
        <v>0.59609999999999996</v>
      </c>
      <c r="Q96">
        <v>0.2213</v>
      </c>
      <c r="R96">
        <v>0</v>
      </c>
      <c r="S96">
        <v>0.13250000000000001</v>
      </c>
      <c r="T96">
        <v>0.38169999999999998</v>
      </c>
      <c r="U96">
        <v>8</v>
      </c>
      <c r="V96">
        <v>0</v>
      </c>
      <c r="W96">
        <v>0.125</v>
      </c>
      <c r="X96">
        <v>0</v>
      </c>
      <c r="Y96">
        <v>0.55549999999999999</v>
      </c>
      <c r="Z96">
        <v>1</v>
      </c>
    </row>
    <row r="97" spans="1:26" x14ac:dyDescent="0.2">
      <c r="A97" t="s">
        <v>8</v>
      </c>
      <c r="B97">
        <v>2023</v>
      </c>
      <c r="C97" t="str">
        <f t="shared" si="1"/>
        <v>ALT2023</v>
      </c>
      <c r="D97">
        <v>21141705811.006142</v>
      </c>
      <c r="E97">
        <v>2.4242636559853339E-2</v>
      </c>
      <c r="F97">
        <v>0.34909509233184699</v>
      </c>
      <c r="G97">
        <v>26.512434299522269</v>
      </c>
      <c r="H97">
        <v>2.215430786446793</v>
      </c>
      <c r="I97">
        <v>0.11382663722029029</v>
      </c>
      <c r="J97">
        <v>4.6230306800856942E-2</v>
      </c>
      <c r="K97">
        <v>9.5825431746443299E-2</v>
      </c>
      <c r="L97">
        <v>0.20588642016607411</v>
      </c>
      <c r="M97">
        <v>34</v>
      </c>
      <c r="N97">
        <v>0</v>
      </c>
      <c r="O97">
        <v>0</v>
      </c>
      <c r="P97">
        <v>0.59609999999999996</v>
      </c>
      <c r="Q97">
        <v>0.2213</v>
      </c>
      <c r="R97">
        <v>0</v>
      </c>
      <c r="S97">
        <v>0.13250000000000001</v>
      </c>
      <c r="T97">
        <v>0.38169999999999998</v>
      </c>
      <c r="U97">
        <v>8</v>
      </c>
      <c r="V97">
        <v>0</v>
      </c>
      <c r="W97">
        <v>0.125</v>
      </c>
      <c r="X97">
        <v>0</v>
      </c>
      <c r="Y97">
        <v>0.55549999999999999</v>
      </c>
      <c r="Z97">
        <v>1</v>
      </c>
    </row>
    <row r="98" spans="1:26" x14ac:dyDescent="0.2">
      <c r="A98" t="s">
        <v>9</v>
      </c>
      <c r="B98">
        <v>2012</v>
      </c>
      <c r="C98" t="str">
        <f t="shared" si="1"/>
        <v>AMV2012</v>
      </c>
      <c r="D98">
        <v>-9.2023636999635343E-13</v>
      </c>
      <c r="E98">
        <v>-2.5396141359798639E-2</v>
      </c>
      <c r="F98">
        <v>0.37750380084246338</v>
      </c>
      <c r="G98">
        <v>23.901039217305271</v>
      </c>
      <c r="H98">
        <v>2.1728794713147059</v>
      </c>
      <c r="I98">
        <v>0.13059706556021841</v>
      </c>
      <c r="J98">
        <v>-0.14620713015460371</v>
      </c>
      <c r="K98">
        <v>0.1416216851478134</v>
      </c>
      <c r="L98">
        <v>0.28761448300225501</v>
      </c>
      <c r="M98">
        <v>10</v>
      </c>
      <c r="N98">
        <v>0</v>
      </c>
      <c r="O98">
        <v>0</v>
      </c>
      <c r="P98">
        <v>0.33650000000000002</v>
      </c>
      <c r="Q98">
        <v>8.3699999999999997E-2</v>
      </c>
      <c r="R98">
        <v>7.4200000000000002E-2</v>
      </c>
      <c r="S98">
        <v>0</v>
      </c>
      <c r="T98">
        <v>0.20699999999999999</v>
      </c>
      <c r="U98">
        <v>5</v>
      </c>
      <c r="V98">
        <v>1</v>
      </c>
      <c r="W98">
        <v>0.4</v>
      </c>
      <c r="X98">
        <v>0</v>
      </c>
      <c r="Y98">
        <v>0.45889999999999997</v>
      </c>
      <c r="Z98">
        <v>0.6</v>
      </c>
    </row>
    <row r="99" spans="1:26" x14ac:dyDescent="0.2">
      <c r="A99" t="s">
        <v>9</v>
      </c>
      <c r="B99">
        <v>2013</v>
      </c>
      <c r="C99" t="str">
        <f t="shared" si="1"/>
        <v>AMV2013</v>
      </c>
      <c r="D99">
        <v>1.9788100456158771E-13</v>
      </c>
      <c r="E99">
        <v>6.8897510760001224E-3</v>
      </c>
      <c r="F99">
        <v>0.78659479034128366</v>
      </c>
      <c r="G99">
        <v>24.020697218072598</v>
      </c>
      <c r="H99">
        <v>3.1650596287193871</v>
      </c>
      <c r="I99">
        <v>0.22329369892092099</v>
      </c>
      <c r="J99">
        <v>0.12711131445175969</v>
      </c>
      <c r="K99">
        <v>0.1128170419158427</v>
      </c>
      <c r="L99">
        <v>0.29354578603246512</v>
      </c>
      <c r="M99">
        <v>11</v>
      </c>
      <c r="N99">
        <v>0</v>
      </c>
      <c r="O99">
        <v>0</v>
      </c>
      <c r="P99">
        <v>0.41370000000000012</v>
      </c>
      <c r="Q99">
        <v>8.3699999999999997E-2</v>
      </c>
      <c r="R99">
        <v>0.1772</v>
      </c>
      <c r="S99">
        <v>0</v>
      </c>
      <c r="T99">
        <v>0.21</v>
      </c>
      <c r="U99">
        <v>5</v>
      </c>
      <c r="V99">
        <v>1</v>
      </c>
      <c r="W99">
        <v>0.4</v>
      </c>
      <c r="X99">
        <v>0</v>
      </c>
      <c r="Y99">
        <v>0.46889999999999998</v>
      </c>
      <c r="Z99">
        <v>0.6</v>
      </c>
    </row>
    <row r="100" spans="1:26" x14ac:dyDescent="0.2">
      <c r="A100" t="s">
        <v>9</v>
      </c>
      <c r="B100">
        <v>2014</v>
      </c>
      <c r="C100" t="str">
        <f t="shared" si="1"/>
        <v>AMV2014</v>
      </c>
      <c r="D100">
        <v>-1.446958581719031E-11</v>
      </c>
      <c r="E100">
        <v>-0.77996931692304849</v>
      </c>
      <c r="F100">
        <v>0.85089149537980557</v>
      </c>
      <c r="G100">
        <v>23.950939801268941</v>
      </c>
      <c r="H100">
        <v>2.0893111534633029</v>
      </c>
      <c r="I100">
        <v>0.53211451380754515</v>
      </c>
      <c r="J100">
        <v>-6.7379969584647537E-2</v>
      </c>
      <c r="K100">
        <v>-0.32163435833711379</v>
      </c>
      <c r="L100">
        <v>0.3505057351066897</v>
      </c>
      <c r="M100">
        <v>12</v>
      </c>
      <c r="N100">
        <v>0</v>
      </c>
      <c r="O100">
        <v>0</v>
      </c>
      <c r="P100">
        <v>0.52410000000000001</v>
      </c>
      <c r="Q100">
        <v>8.3699999999999997E-2</v>
      </c>
      <c r="R100">
        <v>0.1777</v>
      </c>
      <c r="S100">
        <v>0</v>
      </c>
      <c r="T100">
        <v>0.21049999999999999</v>
      </c>
      <c r="U100">
        <v>5</v>
      </c>
      <c r="V100">
        <v>1</v>
      </c>
      <c r="W100">
        <v>0.6</v>
      </c>
      <c r="X100">
        <v>0</v>
      </c>
      <c r="Y100">
        <v>0.45379999999999998</v>
      </c>
      <c r="Z100">
        <v>0.8</v>
      </c>
    </row>
    <row r="101" spans="1:26" x14ac:dyDescent="0.2">
      <c r="A101" t="s">
        <v>9</v>
      </c>
      <c r="B101">
        <v>2015</v>
      </c>
      <c r="C101" t="str">
        <f t="shared" si="1"/>
        <v>AMV2015</v>
      </c>
      <c r="D101">
        <v>-1.362316174200365E-12</v>
      </c>
      <c r="E101">
        <v>-5.8210394846347872E-2</v>
      </c>
      <c r="F101">
        <v>0.81549940029891488</v>
      </c>
      <c r="G101">
        <v>23.81027635989556</v>
      </c>
      <c r="H101">
        <v>4.3168954484573199</v>
      </c>
      <c r="I101">
        <v>0.48719883473088399</v>
      </c>
      <c r="J101">
        <v>-0.13121834153920159</v>
      </c>
      <c r="K101">
        <v>9.9030144245354529E-2</v>
      </c>
      <c r="L101">
        <v>0.31349031789958298</v>
      </c>
      <c r="M101">
        <v>13</v>
      </c>
      <c r="N101">
        <v>0</v>
      </c>
      <c r="O101">
        <v>0</v>
      </c>
      <c r="P101">
        <v>0.52410000000000001</v>
      </c>
      <c r="Q101">
        <v>0.3054</v>
      </c>
      <c r="R101">
        <v>0.10349999999999999</v>
      </c>
      <c r="S101">
        <v>0</v>
      </c>
      <c r="T101">
        <v>0.21049999999999999</v>
      </c>
      <c r="U101">
        <v>5</v>
      </c>
      <c r="V101">
        <v>1</v>
      </c>
      <c r="W101">
        <v>0.6</v>
      </c>
      <c r="X101">
        <v>0</v>
      </c>
      <c r="Y101">
        <v>0.46779999999999999</v>
      </c>
      <c r="Z101">
        <v>0.8</v>
      </c>
    </row>
    <row r="102" spans="1:26" x14ac:dyDescent="0.2">
      <c r="A102" t="s">
        <v>9</v>
      </c>
      <c r="B102">
        <v>2016</v>
      </c>
      <c r="C102" t="str">
        <f t="shared" si="1"/>
        <v>AMV2016</v>
      </c>
      <c r="D102">
        <v>1.9456913855062572E-12</v>
      </c>
      <c r="E102">
        <v>6.7348227114394837E-2</v>
      </c>
      <c r="F102">
        <v>1.3528580664581511</v>
      </c>
      <c r="G102">
        <v>23.739828837209451</v>
      </c>
      <c r="H102" t="e">
        <v>#N/A</v>
      </c>
      <c r="I102">
        <v>0.41003743706324403</v>
      </c>
      <c r="J102">
        <v>0</v>
      </c>
      <c r="K102">
        <v>0.11460425592175889</v>
      </c>
      <c r="L102">
        <v>0.5694987564554439</v>
      </c>
      <c r="M102">
        <v>14</v>
      </c>
      <c r="N102">
        <v>0</v>
      </c>
      <c r="O102">
        <v>0</v>
      </c>
      <c r="P102">
        <v>0.68610000000000004</v>
      </c>
      <c r="Q102">
        <v>0.16200000000000001</v>
      </c>
      <c r="R102">
        <v>0.1777</v>
      </c>
      <c r="S102">
        <v>0</v>
      </c>
      <c r="T102">
        <v>0.21049999999999999</v>
      </c>
      <c r="U102">
        <v>5</v>
      </c>
      <c r="V102">
        <v>1</v>
      </c>
      <c r="W102">
        <v>0.6</v>
      </c>
      <c r="X102">
        <v>1</v>
      </c>
      <c r="Y102">
        <v>0.44</v>
      </c>
      <c r="Z102">
        <v>1</v>
      </c>
    </row>
    <row r="103" spans="1:26" x14ac:dyDescent="0.2">
      <c r="A103" t="s">
        <v>9</v>
      </c>
      <c r="B103">
        <v>2017</v>
      </c>
      <c r="C103" t="str">
        <f t="shared" si="1"/>
        <v>AMV2017</v>
      </c>
      <c r="D103">
        <v>2.2698247544558039E-13</v>
      </c>
      <c r="E103">
        <v>0.1113909261346073</v>
      </c>
      <c r="F103">
        <v>1.3486504719892249</v>
      </c>
      <c r="G103">
        <v>26.752233242929979</v>
      </c>
      <c r="H103" t="e">
        <v>#N/A</v>
      </c>
      <c r="I103">
        <v>0.15376732728802239</v>
      </c>
      <c r="J103">
        <v>17.95289865270945</v>
      </c>
      <c r="K103">
        <v>7.3478725754484636E-2</v>
      </c>
      <c r="L103">
        <v>7.2433482046419098E-2</v>
      </c>
      <c r="M103">
        <v>15</v>
      </c>
      <c r="N103">
        <v>0</v>
      </c>
      <c r="O103">
        <v>0</v>
      </c>
      <c r="P103">
        <v>0.92779999999999985</v>
      </c>
      <c r="Q103">
        <v>1.49E-2</v>
      </c>
      <c r="R103">
        <v>0</v>
      </c>
      <c r="S103">
        <v>0</v>
      </c>
      <c r="T103">
        <v>0</v>
      </c>
      <c r="U103">
        <v>5</v>
      </c>
      <c r="V103">
        <v>1</v>
      </c>
      <c r="W103">
        <v>0.4</v>
      </c>
      <c r="X103">
        <v>1</v>
      </c>
      <c r="Y103">
        <v>0.33429999999999999</v>
      </c>
      <c r="Z103">
        <v>1</v>
      </c>
    </row>
    <row r="104" spans="1:26" x14ac:dyDescent="0.2">
      <c r="A104" t="s">
        <v>9</v>
      </c>
      <c r="B104">
        <v>2018</v>
      </c>
      <c r="C104" t="str">
        <f t="shared" si="1"/>
        <v>AMV2018</v>
      </c>
      <c r="D104">
        <v>5.1678511339428339E-13</v>
      </c>
      <c r="E104">
        <v>0.38495163939689347</v>
      </c>
      <c r="F104">
        <v>1.7062610000133509</v>
      </c>
      <c r="G104">
        <v>27.20282824130409</v>
      </c>
      <c r="H104">
        <v>13.32782411341897</v>
      </c>
      <c r="I104">
        <v>0.1251330334082785</v>
      </c>
      <c r="J104">
        <v>0.56924560635504284</v>
      </c>
      <c r="K104">
        <v>0.24383027877207411</v>
      </c>
      <c r="L104">
        <v>0.36015260756714529</v>
      </c>
      <c r="M104">
        <v>16</v>
      </c>
      <c r="N104">
        <v>0</v>
      </c>
      <c r="O104">
        <v>0</v>
      </c>
      <c r="P104">
        <v>0.38680000000000009</v>
      </c>
      <c r="Q104">
        <v>9.1799999999999993E-2</v>
      </c>
      <c r="R104">
        <v>0</v>
      </c>
      <c r="S104">
        <v>0</v>
      </c>
      <c r="T104">
        <v>0</v>
      </c>
      <c r="U104">
        <v>5</v>
      </c>
      <c r="V104">
        <v>1</v>
      </c>
      <c r="W104">
        <v>0.2</v>
      </c>
      <c r="X104">
        <v>1</v>
      </c>
      <c r="Y104">
        <v>0.37630000000000002</v>
      </c>
      <c r="Z104">
        <v>1</v>
      </c>
    </row>
    <row r="105" spans="1:26" x14ac:dyDescent="0.2">
      <c r="A105" t="s">
        <v>9</v>
      </c>
      <c r="B105">
        <v>2019</v>
      </c>
      <c r="C105" t="str">
        <f t="shared" si="1"/>
        <v>AMV2019</v>
      </c>
      <c r="D105">
        <v>2.9505566392772512E-13</v>
      </c>
      <c r="E105">
        <v>0.28340927142705918</v>
      </c>
      <c r="F105">
        <v>1.158807223222698</v>
      </c>
      <c r="G105">
        <v>27.494031481574961</v>
      </c>
      <c r="H105">
        <v>5.3583482163798077</v>
      </c>
      <c r="I105">
        <v>9.2187705836520875E-2</v>
      </c>
      <c r="J105">
        <v>0.33803649921756768</v>
      </c>
      <c r="K105">
        <v>-2.8136483270673911E-2</v>
      </c>
      <c r="L105">
        <v>0.35490121648535039</v>
      </c>
      <c r="M105">
        <v>17</v>
      </c>
      <c r="N105">
        <v>0</v>
      </c>
      <c r="O105">
        <v>1</v>
      </c>
      <c r="P105">
        <v>0.13600000000000001</v>
      </c>
      <c r="Q105">
        <v>0.13600000000000001</v>
      </c>
      <c r="R105">
        <v>0</v>
      </c>
      <c r="S105">
        <v>0</v>
      </c>
      <c r="T105">
        <v>0</v>
      </c>
      <c r="U105">
        <v>3</v>
      </c>
      <c r="V105">
        <v>1</v>
      </c>
      <c r="W105">
        <v>0.33333333333333331</v>
      </c>
      <c r="X105">
        <v>1</v>
      </c>
      <c r="Y105">
        <v>0.3957</v>
      </c>
      <c r="Z105">
        <v>1</v>
      </c>
    </row>
    <row r="106" spans="1:26" x14ac:dyDescent="0.2">
      <c r="A106" t="s">
        <v>9</v>
      </c>
      <c r="B106">
        <v>2020</v>
      </c>
      <c r="C106" t="str">
        <f t="shared" si="1"/>
        <v>AMV2020</v>
      </c>
      <c r="D106">
        <v>1.023452997118435E-13</v>
      </c>
      <c r="E106">
        <v>0.1058499735560753</v>
      </c>
      <c r="F106">
        <v>0.98435226461179093</v>
      </c>
      <c r="G106">
        <v>27.54814187090426</v>
      </c>
      <c r="H106">
        <v>4.1381055592704286</v>
      </c>
      <c r="I106">
        <v>0.11001405222996941</v>
      </c>
      <c r="J106">
        <v>5.5601122823605083E-2</v>
      </c>
      <c r="K106">
        <v>0.1026820836054638</v>
      </c>
      <c r="L106">
        <v>0.33259473610375301</v>
      </c>
      <c r="M106">
        <v>18</v>
      </c>
      <c r="N106">
        <v>0</v>
      </c>
      <c r="O106">
        <v>1</v>
      </c>
      <c r="P106">
        <v>0.14299999999999999</v>
      </c>
      <c r="Q106">
        <v>0.1429</v>
      </c>
      <c r="R106">
        <v>0</v>
      </c>
      <c r="S106">
        <v>0</v>
      </c>
      <c r="T106">
        <v>0</v>
      </c>
      <c r="U106">
        <v>3</v>
      </c>
      <c r="V106">
        <v>0</v>
      </c>
      <c r="W106">
        <v>0.33333333333333331</v>
      </c>
      <c r="X106">
        <v>1</v>
      </c>
      <c r="Y106">
        <v>0.46</v>
      </c>
      <c r="Z106">
        <v>1</v>
      </c>
    </row>
    <row r="107" spans="1:26" x14ac:dyDescent="0.2">
      <c r="A107" t="s">
        <v>9</v>
      </c>
      <c r="B107">
        <v>2021</v>
      </c>
      <c r="C107" t="str">
        <f t="shared" si="1"/>
        <v>AMV2021</v>
      </c>
      <c r="D107">
        <v>3.3452023631205773E-14</v>
      </c>
      <c r="E107">
        <v>6.4494945663846115E-2</v>
      </c>
      <c r="F107">
        <v>1.0638781444856129</v>
      </c>
      <c r="G107">
        <v>28.05631411567192</v>
      </c>
      <c r="H107">
        <v>5.4148449148443456</v>
      </c>
      <c r="I107">
        <v>0.20640464590750329</v>
      </c>
      <c r="J107">
        <v>0.66225023016715867</v>
      </c>
      <c r="K107">
        <v>-0.27343288140714372</v>
      </c>
      <c r="L107">
        <v>0.25076817966622289</v>
      </c>
      <c r="M107">
        <v>19</v>
      </c>
      <c r="N107">
        <v>0</v>
      </c>
      <c r="O107">
        <v>0</v>
      </c>
      <c r="P107">
        <v>5.5899999999999998E-2</v>
      </c>
      <c r="Q107">
        <v>5.5899999999999998E-2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0.33333333333333331</v>
      </c>
      <c r="X107">
        <v>1</v>
      </c>
      <c r="Y107">
        <v>0.47</v>
      </c>
      <c r="Z107">
        <v>1</v>
      </c>
    </row>
    <row r="108" spans="1:26" x14ac:dyDescent="0.2">
      <c r="A108" t="s">
        <v>9</v>
      </c>
      <c r="B108">
        <v>2022</v>
      </c>
      <c r="C108" t="str">
        <f t="shared" si="1"/>
        <v>AMV2022</v>
      </c>
      <c r="D108">
        <v>1.407630877931164E-14</v>
      </c>
      <c r="E108">
        <v>3.3643650147194032E-2</v>
      </c>
      <c r="F108">
        <v>0.37852873867417552</v>
      </c>
      <c r="G108">
        <v>28.325124375511251</v>
      </c>
      <c r="H108">
        <v>6.3995496096408173</v>
      </c>
      <c r="I108">
        <v>0.1624111404828959</v>
      </c>
      <c r="J108">
        <v>0.30840686016492408</v>
      </c>
      <c r="K108">
        <v>-0.17596922071768609</v>
      </c>
      <c r="L108">
        <v>0.18687264688971769</v>
      </c>
      <c r="M108">
        <v>20</v>
      </c>
      <c r="N108">
        <v>0</v>
      </c>
      <c r="O108">
        <v>0</v>
      </c>
      <c r="P108">
        <v>5.33E-2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0</v>
      </c>
      <c r="W108">
        <v>0.33333333333333331</v>
      </c>
      <c r="X108">
        <v>1</v>
      </c>
      <c r="Y108">
        <v>0.47860000000000003</v>
      </c>
      <c r="Z108">
        <v>1</v>
      </c>
    </row>
    <row r="109" spans="1:26" x14ac:dyDescent="0.2">
      <c r="A109" t="s">
        <v>9</v>
      </c>
      <c r="B109">
        <v>2023</v>
      </c>
      <c r="C109" t="str">
        <f t="shared" si="1"/>
        <v>AMV2023</v>
      </c>
      <c r="D109">
        <v>1559539369359.407</v>
      </c>
      <c r="E109">
        <v>7.6685373469291031E-3</v>
      </c>
      <c r="F109">
        <v>0.34369126165744263</v>
      </c>
      <c r="G109">
        <v>28.31053493546856</v>
      </c>
      <c r="H109">
        <v>7.856352055151989</v>
      </c>
      <c r="I109">
        <v>8.4525925827906731E-2</v>
      </c>
      <c r="J109">
        <v>-1.4483529844725901E-2</v>
      </c>
      <c r="K109">
        <v>-6.9875327156768266E-2</v>
      </c>
      <c r="L109">
        <v>0.12314870737478741</v>
      </c>
      <c r="M109">
        <v>21</v>
      </c>
      <c r="N109">
        <v>0</v>
      </c>
      <c r="O109">
        <v>0</v>
      </c>
      <c r="P109">
        <v>5.33E-2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0</v>
      </c>
      <c r="W109">
        <v>0.33333333333333331</v>
      </c>
      <c r="X109">
        <v>1</v>
      </c>
      <c r="Y109">
        <v>0.47860000000000003</v>
      </c>
      <c r="Z109">
        <v>1</v>
      </c>
    </row>
    <row r="110" spans="1:26" x14ac:dyDescent="0.2">
      <c r="A110" t="s">
        <v>10</v>
      </c>
      <c r="B110">
        <v>2012</v>
      </c>
      <c r="C110" t="str">
        <f t="shared" si="1"/>
        <v>ANV2012</v>
      </c>
      <c r="D110">
        <v>4.2123727877396348E-15</v>
      </c>
      <c r="E110">
        <v>1.767531953353093E-2</v>
      </c>
      <c r="F110">
        <v>0.68223785947656523</v>
      </c>
      <c r="G110">
        <v>28.52229507655646</v>
      </c>
      <c r="H110">
        <v>1.931663518429634</v>
      </c>
      <c r="I110">
        <v>0.4185505022897727</v>
      </c>
      <c r="J110">
        <v>0.1322050586552419</v>
      </c>
      <c r="K110">
        <v>-0.14429765818640719</v>
      </c>
      <c r="L110">
        <v>0.17943478318248249</v>
      </c>
      <c r="M110">
        <v>19</v>
      </c>
      <c r="N110">
        <v>0</v>
      </c>
      <c r="O110">
        <v>0</v>
      </c>
      <c r="P110">
        <v>0.71840000000000004</v>
      </c>
      <c r="Q110">
        <v>0.59399999999999997</v>
      </c>
      <c r="R110">
        <v>0</v>
      </c>
      <c r="S110">
        <v>0</v>
      </c>
      <c r="T110">
        <v>0</v>
      </c>
      <c r="U110">
        <v>5</v>
      </c>
      <c r="V110">
        <v>1</v>
      </c>
      <c r="W110">
        <v>0</v>
      </c>
      <c r="X110">
        <v>1</v>
      </c>
      <c r="Y110">
        <v>0.40670000000000001</v>
      </c>
      <c r="Z110">
        <v>1</v>
      </c>
    </row>
    <row r="111" spans="1:26" x14ac:dyDescent="0.2">
      <c r="A111" t="s">
        <v>10</v>
      </c>
      <c r="B111">
        <v>2013</v>
      </c>
      <c r="C111" t="str">
        <f t="shared" si="1"/>
        <v>ANV2013</v>
      </c>
      <c r="D111">
        <v>7.9747693341433865E-16</v>
      </c>
      <c r="E111">
        <v>4.6189041930091252E-3</v>
      </c>
      <c r="F111">
        <v>0.71282302413493825</v>
      </c>
      <c r="G111">
        <v>28.664646322357179</v>
      </c>
      <c r="H111">
        <v>1.4715154757094071</v>
      </c>
      <c r="I111">
        <v>0.51446042189605001</v>
      </c>
      <c r="J111">
        <v>0.15298155735190069</v>
      </c>
      <c r="K111">
        <v>-3.0834930488758329E-2</v>
      </c>
      <c r="L111">
        <v>0.17387878583392391</v>
      </c>
      <c r="M111">
        <v>20</v>
      </c>
      <c r="N111">
        <v>0</v>
      </c>
      <c r="O111">
        <v>0</v>
      </c>
      <c r="P111">
        <v>0.72659999999999991</v>
      </c>
      <c r="Q111">
        <v>0.59399999999999997</v>
      </c>
      <c r="R111">
        <v>0</v>
      </c>
      <c r="S111">
        <v>0</v>
      </c>
      <c r="T111">
        <v>0</v>
      </c>
      <c r="U111">
        <v>5</v>
      </c>
      <c r="V111">
        <v>1</v>
      </c>
      <c r="W111">
        <v>0</v>
      </c>
      <c r="X111">
        <v>1</v>
      </c>
      <c r="Y111">
        <v>0.4078</v>
      </c>
      <c r="Z111">
        <v>1</v>
      </c>
    </row>
    <row r="112" spans="1:26" x14ac:dyDescent="0.2">
      <c r="A112" t="s">
        <v>10</v>
      </c>
      <c r="B112">
        <v>2014</v>
      </c>
      <c r="C112" t="str">
        <f t="shared" si="1"/>
        <v>ANV2014</v>
      </c>
      <c r="D112">
        <v>5.539037323798347E-15</v>
      </c>
      <c r="E112">
        <v>4.5317422804102052E-2</v>
      </c>
      <c r="F112">
        <v>0.78649638395956367</v>
      </c>
      <c r="G112">
        <v>28.833051547649191</v>
      </c>
      <c r="H112">
        <v>1.1571925061293189</v>
      </c>
      <c r="I112">
        <v>0.59324194114434425</v>
      </c>
      <c r="J112">
        <v>0.18341606361797111</v>
      </c>
      <c r="K112">
        <v>3.450146797158419E-3</v>
      </c>
      <c r="L112">
        <v>0.140085069001884</v>
      </c>
      <c r="M112">
        <v>21</v>
      </c>
      <c r="N112">
        <v>0</v>
      </c>
      <c r="O112">
        <v>0</v>
      </c>
      <c r="P112">
        <v>0.72499999999999998</v>
      </c>
      <c r="Q112">
        <v>0.59399999999999997</v>
      </c>
      <c r="R112">
        <v>0</v>
      </c>
      <c r="S112">
        <v>0</v>
      </c>
      <c r="T112">
        <v>0</v>
      </c>
      <c r="U112">
        <v>5</v>
      </c>
      <c r="V112">
        <v>1</v>
      </c>
      <c r="W112">
        <v>0</v>
      </c>
      <c r="X112">
        <v>1</v>
      </c>
      <c r="Y112">
        <v>0.40889999999999999</v>
      </c>
      <c r="Z112">
        <v>1</v>
      </c>
    </row>
    <row r="113" spans="1:26" x14ac:dyDescent="0.2">
      <c r="A113" t="s">
        <v>10</v>
      </c>
      <c r="B113">
        <v>2015</v>
      </c>
      <c r="C113" t="str">
        <f t="shared" si="1"/>
        <v>ANV2015</v>
      </c>
      <c r="D113">
        <v>1.4840695010088021E-16</v>
      </c>
      <c r="E113">
        <v>1.227724627071252E-3</v>
      </c>
      <c r="F113">
        <v>0.76453379109213604</v>
      </c>
      <c r="G113">
        <v>28.817055553969929</v>
      </c>
      <c r="H113">
        <v>1.029358221833365</v>
      </c>
      <c r="I113">
        <v>0.60423126358066759</v>
      </c>
      <c r="J113">
        <v>-1.5868737207128111E-2</v>
      </c>
      <c r="K113">
        <v>2.0244850688251229E-2</v>
      </c>
      <c r="L113">
        <v>0.11481113283778489</v>
      </c>
      <c r="M113">
        <v>22</v>
      </c>
      <c r="N113">
        <v>0</v>
      </c>
      <c r="O113">
        <v>0</v>
      </c>
      <c r="P113">
        <v>0.73089999999999999</v>
      </c>
      <c r="Q113">
        <v>0.73120000000000007</v>
      </c>
      <c r="R113">
        <v>0</v>
      </c>
      <c r="S113">
        <v>0</v>
      </c>
      <c r="T113">
        <v>0</v>
      </c>
      <c r="U113">
        <v>6</v>
      </c>
      <c r="V113">
        <v>1</v>
      </c>
      <c r="W113">
        <v>0</v>
      </c>
      <c r="X113">
        <v>1</v>
      </c>
      <c r="Y113">
        <v>0.40300000000000002</v>
      </c>
      <c r="Z113">
        <v>1</v>
      </c>
    </row>
    <row r="114" spans="1:26" x14ac:dyDescent="0.2">
      <c r="A114" t="s">
        <v>10</v>
      </c>
      <c r="B114">
        <v>2016</v>
      </c>
      <c r="C114" t="str">
        <f t="shared" si="1"/>
        <v>ANV2016</v>
      </c>
      <c r="D114">
        <v>1.474910386643817E-15</v>
      </c>
      <c r="E114">
        <v>1.0261522121314891E-2</v>
      </c>
      <c r="F114">
        <v>0.68689427088293709</v>
      </c>
      <c r="G114">
        <v>28.735557778999411</v>
      </c>
      <c r="H114">
        <v>1.112693949056323</v>
      </c>
      <c r="I114">
        <v>0.56624147227093313</v>
      </c>
      <c r="J114">
        <v>-7.826523926137352E-2</v>
      </c>
      <c r="K114">
        <v>9.2058731288267151E-2</v>
      </c>
      <c r="L114">
        <v>0.1339984778764505</v>
      </c>
      <c r="M114">
        <v>23</v>
      </c>
      <c r="N114">
        <v>0</v>
      </c>
      <c r="O114">
        <v>0</v>
      </c>
      <c r="P114">
        <v>0.73089999999999999</v>
      </c>
      <c r="Q114">
        <v>0.73120000000000007</v>
      </c>
      <c r="R114">
        <v>0</v>
      </c>
      <c r="S114">
        <v>0</v>
      </c>
      <c r="T114">
        <v>0</v>
      </c>
      <c r="U114">
        <v>6</v>
      </c>
      <c r="V114">
        <v>1</v>
      </c>
      <c r="W114">
        <v>0</v>
      </c>
      <c r="X114">
        <v>1</v>
      </c>
      <c r="Y114">
        <v>0.42180000000000001</v>
      </c>
      <c r="Z114">
        <v>1</v>
      </c>
    </row>
    <row r="115" spans="1:26" x14ac:dyDescent="0.2">
      <c r="A115" t="s">
        <v>10</v>
      </c>
      <c r="B115">
        <v>2017</v>
      </c>
      <c r="C115" t="str">
        <f t="shared" si="1"/>
        <v>ANV2017</v>
      </c>
      <c r="D115">
        <v>1.97191469892737E-14</v>
      </c>
      <c r="E115">
        <v>0.1033020670036191</v>
      </c>
      <c r="F115">
        <v>0.99386413576980381</v>
      </c>
      <c r="G115">
        <v>28.625129844535248</v>
      </c>
      <c r="H115">
        <v>1.2832643075973209</v>
      </c>
      <c r="I115">
        <v>0.48415996173161002</v>
      </c>
      <c r="J115">
        <v>-0.1045491409897203</v>
      </c>
      <c r="K115">
        <v>0.27803426882478699</v>
      </c>
      <c r="L115">
        <v>0.1263739753115089</v>
      </c>
      <c r="M115">
        <v>24</v>
      </c>
      <c r="N115">
        <v>0</v>
      </c>
      <c r="O115">
        <v>0</v>
      </c>
      <c r="P115">
        <v>0.73089999999999999</v>
      </c>
      <c r="Q115">
        <v>0.73120000000000007</v>
      </c>
      <c r="R115">
        <v>0</v>
      </c>
      <c r="S115">
        <v>0</v>
      </c>
      <c r="T115">
        <v>0</v>
      </c>
      <c r="U115">
        <v>6</v>
      </c>
      <c r="V115">
        <v>1</v>
      </c>
      <c r="W115">
        <v>0</v>
      </c>
      <c r="X115">
        <v>0</v>
      </c>
      <c r="Y115">
        <v>0.42299999999999999</v>
      </c>
      <c r="Z115">
        <v>1</v>
      </c>
    </row>
    <row r="116" spans="1:26" x14ac:dyDescent="0.2">
      <c r="A116" t="s">
        <v>10</v>
      </c>
      <c r="B116">
        <v>2018</v>
      </c>
      <c r="C116" t="str">
        <f t="shared" si="1"/>
        <v>ANV2018</v>
      </c>
      <c r="D116">
        <v>5.1501364412945639E-14</v>
      </c>
      <c r="E116">
        <v>0.32693347402576411</v>
      </c>
      <c r="F116">
        <v>1.497665571559369</v>
      </c>
      <c r="G116">
        <v>28.862142625025051</v>
      </c>
      <c r="H116">
        <v>1.0688049348328179</v>
      </c>
      <c r="I116">
        <v>0.46045381827968218</v>
      </c>
      <c r="J116">
        <v>0.26745731639707498</v>
      </c>
      <c r="K116">
        <v>0.21962208064562991</v>
      </c>
      <c r="L116">
        <v>0.18821381202996129</v>
      </c>
      <c r="M116">
        <v>25</v>
      </c>
      <c r="N116">
        <v>0</v>
      </c>
      <c r="O116">
        <v>0</v>
      </c>
      <c r="P116">
        <v>0.77199999999999991</v>
      </c>
      <c r="Q116">
        <v>0.76359999999999995</v>
      </c>
      <c r="R116">
        <v>0</v>
      </c>
      <c r="S116">
        <v>0</v>
      </c>
      <c r="T116">
        <v>0</v>
      </c>
      <c r="U116">
        <v>6</v>
      </c>
      <c r="V116">
        <v>1</v>
      </c>
      <c r="W116">
        <v>0</v>
      </c>
      <c r="X116">
        <v>1</v>
      </c>
      <c r="Y116">
        <v>0.42359999999999998</v>
      </c>
      <c r="Z116">
        <v>1</v>
      </c>
    </row>
    <row r="117" spans="1:26" x14ac:dyDescent="0.2">
      <c r="A117" t="s">
        <v>10</v>
      </c>
      <c r="B117">
        <v>2019</v>
      </c>
      <c r="C117" t="str">
        <f t="shared" si="1"/>
        <v>ANV2019</v>
      </c>
      <c r="D117">
        <v>4.1184474780970879E-14</v>
      </c>
      <c r="E117">
        <v>0.29506569169038388</v>
      </c>
      <c r="F117">
        <v>1.127018061546325</v>
      </c>
      <c r="G117">
        <v>29.05041112898844</v>
      </c>
      <c r="H117">
        <v>1.3333572148149291</v>
      </c>
      <c r="I117">
        <v>0.42290399656891581</v>
      </c>
      <c r="J117">
        <v>0.2071575984384719</v>
      </c>
      <c r="K117">
        <v>9.2883007400097181E-2</v>
      </c>
      <c r="L117">
        <v>0.2352714969376353</v>
      </c>
      <c r="M117">
        <v>26</v>
      </c>
      <c r="N117">
        <v>0</v>
      </c>
      <c r="O117">
        <v>1</v>
      </c>
      <c r="P117">
        <v>0.77740000000000009</v>
      </c>
      <c r="Q117">
        <v>0.78569999999999995</v>
      </c>
      <c r="R117">
        <v>0</v>
      </c>
      <c r="S117">
        <v>0</v>
      </c>
      <c r="T117">
        <v>0</v>
      </c>
      <c r="U117">
        <v>8</v>
      </c>
      <c r="V117">
        <v>1</v>
      </c>
      <c r="W117">
        <v>0.25</v>
      </c>
      <c r="X117">
        <v>1</v>
      </c>
      <c r="Y117">
        <v>0.43149999999999999</v>
      </c>
      <c r="Z117">
        <v>1</v>
      </c>
    </row>
    <row r="118" spans="1:26" x14ac:dyDescent="0.2">
      <c r="A118" t="s">
        <v>10</v>
      </c>
      <c r="B118">
        <v>2020</v>
      </c>
      <c r="C118" t="str">
        <f t="shared" si="1"/>
        <v>ANV2020</v>
      </c>
      <c r="D118">
        <v>8.6514665024825003E-15</v>
      </c>
      <c r="E118">
        <v>8.6620615588079736E-2</v>
      </c>
      <c r="F118">
        <v>1.1720099466040761</v>
      </c>
      <c r="G118">
        <v>29.206711877040341</v>
      </c>
      <c r="H118">
        <v>1.5567567669270661</v>
      </c>
      <c r="I118">
        <v>0.51718331763137171</v>
      </c>
      <c r="J118">
        <v>0.16917777815857329</v>
      </c>
      <c r="K118">
        <v>7.4541884949091812E-4</v>
      </c>
      <c r="L118">
        <v>0.32183127093314801</v>
      </c>
      <c r="M118">
        <v>27</v>
      </c>
      <c r="N118">
        <v>0</v>
      </c>
      <c r="O118">
        <v>1</v>
      </c>
      <c r="P118">
        <v>0.83299999999999996</v>
      </c>
      <c r="Q118">
        <v>0.83900000000000008</v>
      </c>
      <c r="R118">
        <v>0</v>
      </c>
      <c r="S118">
        <v>0</v>
      </c>
      <c r="T118">
        <v>0</v>
      </c>
      <c r="U118">
        <v>6</v>
      </c>
      <c r="V118">
        <v>0</v>
      </c>
      <c r="W118">
        <v>0.33333333333333331</v>
      </c>
      <c r="X118">
        <v>1</v>
      </c>
      <c r="Y118">
        <v>0.43690000000000001</v>
      </c>
      <c r="Z118">
        <v>1</v>
      </c>
    </row>
    <row r="119" spans="1:26" x14ac:dyDescent="0.2">
      <c r="A119" t="s">
        <v>10</v>
      </c>
      <c r="B119">
        <v>2021</v>
      </c>
      <c r="C119" t="str">
        <f t="shared" si="1"/>
        <v>ANV2021</v>
      </c>
      <c r="D119">
        <v>5.3900669174843906E-15</v>
      </c>
      <c r="E119">
        <v>5.5120735583608027E-2</v>
      </c>
      <c r="F119">
        <v>1.388316508316376</v>
      </c>
      <c r="G119">
        <v>29.21763653340442</v>
      </c>
      <c r="H119">
        <v>1.190173995868351</v>
      </c>
      <c r="I119">
        <v>0.52209951297745294</v>
      </c>
      <c r="J119">
        <v>1.098454832340034E-2</v>
      </c>
      <c r="K119">
        <v>5.6016087239045588E-2</v>
      </c>
      <c r="L119">
        <v>0.32338488770427942</v>
      </c>
      <c r="M119">
        <v>28</v>
      </c>
      <c r="N119">
        <v>0</v>
      </c>
      <c r="O119">
        <v>0</v>
      </c>
      <c r="P119">
        <v>0.79269999999999996</v>
      </c>
      <c r="Q119">
        <v>0.56909999999999994</v>
      </c>
      <c r="R119">
        <v>0</v>
      </c>
      <c r="S119">
        <v>0</v>
      </c>
      <c r="T119">
        <v>0</v>
      </c>
      <c r="U119">
        <v>5</v>
      </c>
      <c r="V119">
        <v>0</v>
      </c>
      <c r="W119">
        <v>0.4</v>
      </c>
      <c r="X119">
        <v>0</v>
      </c>
      <c r="Y119">
        <v>0.46</v>
      </c>
      <c r="Z119">
        <v>1</v>
      </c>
    </row>
    <row r="120" spans="1:26" x14ac:dyDescent="0.2">
      <c r="A120" t="s">
        <v>10</v>
      </c>
      <c r="B120">
        <v>2022</v>
      </c>
      <c r="C120" t="str">
        <f t="shared" si="1"/>
        <v>ANV2022</v>
      </c>
      <c r="D120">
        <v>2.2536880148919989E-14</v>
      </c>
      <c r="E120">
        <v>0.23376050810326721</v>
      </c>
      <c r="F120">
        <v>0.99717074147549789</v>
      </c>
      <c r="G120">
        <v>29.329870597838521</v>
      </c>
      <c r="H120">
        <v>1.2482445932645041</v>
      </c>
      <c r="I120">
        <v>0.47286286951899459</v>
      </c>
      <c r="J120">
        <v>0.1187746953667153</v>
      </c>
      <c r="K120">
        <v>5.5777214630242392E-2</v>
      </c>
      <c r="L120">
        <v>0.30106053575270991</v>
      </c>
      <c r="M120">
        <v>29</v>
      </c>
      <c r="N120">
        <v>0</v>
      </c>
      <c r="O120">
        <v>0</v>
      </c>
      <c r="P120">
        <v>0.69750000000000001</v>
      </c>
      <c r="Q120">
        <v>0.56499999999999995</v>
      </c>
      <c r="R120">
        <v>0</v>
      </c>
      <c r="S120">
        <v>0</v>
      </c>
      <c r="T120">
        <v>0</v>
      </c>
      <c r="U120">
        <v>5</v>
      </c>
      <c r="V120">
        <v>0</v>
      </c>
      <c r="W120">
        <v>0.4</v>
      </c>
      <c r="X120">
        <v>1</v>
      </c>
      <c r="Y120">
        <v>0.49</v>
      </c>
      <c r="Z120">
        <v>1</v>
      </c>
    </row>
    <row r="121" spans="1:26" x14ac:dyDescent="0.2">
      <c r="A121" t="s">
        <v>10</v>
      </c>
      <c r="B121">
        <v>2023</v>
      </c>
      <c r="C121" t="str">
        <f t="shared" si="1"/>
        <v>ANV2023</v>
      </c>
      <c r="D121">
        <v>1195016822714.7549</v>
      </c>
      <c r="E121">
        <v>1.2308559538799099E-2</v>
      </c>
      <c r="F121">
        <v>0.77611053204395064</v>
      </c>
      <c r="G121">
        <v>29.262742912663441</v>
      </c>
      <c r="H121">
        <v>1.34646899443296</v>
      </c>
      <c r="I121">
        <v>0.37721450260043837</v>
      </c>
      <c r="J121">
        <v>-6.49242016030811E-2</v>
      </c>
      <c r="K121">
        <v>-1.1636606769863859E-2</v>
      </c>
      <c r="L121">
        <v>0.31363489872186401</v>
      </c>
      <c r="M121">
        <v>30</v>
      </c>
      <c r="N121">
        <v>0</v>
      </c>
      <c r="O121">
        <v>0</v>
      </c>
      <c r="P121">
        <v>0.69750000000000001</v>
      </c>
      <c r="Q121">
        <v>0.56499999999999995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0.4</v>
      </c>
      <c r="X121">
        <v>1</v>
      </c>
      <c r="Y121">
        <v>0.49</v>
      </c>
      <c r="Z121">
        <v>1</v>
      </c>
    </row>
    <row r="122" spans="1:26" x14ac:dyDescent="0.2">
      <c r="A122" t="s">
        <v>11</v>
      </c>
      <c r="B122">
        <v>2012</v>
      </c>
      <c r="C122" t="str">
        <f t="shared" si="1"/>
        <v>ASM2012</v>
      </c>
      <c r="D122">
        <v>5.3204363757602607E-15</v>
      </c>
      <c r="E122">
        <v>1.9552577783912981E-2</v>
      </c>
      <c r="F122">
        <v>0.78880647044943142</v>
      </c>
      <c r="G122">
        <v>28.087062135677549</v>
      </c>
      <c r="H122">
        <v>1.523376423018332</v>
      </c>
      <c r="I122">
        <v>0.56970287265467012</v>
      </c>
      <c r="J122">
        <v>0.1447942004710818</v>
      </c>
      <c r="K122">
        <v>1.90343923510937E-2</v>
      </c>
      <c r="L122">
        <v>0.14677607591578221</v>
      </c>
      <c r="M122">
        <v>15</v>
      </c>
      <c r="N122">
        <v>0</v>
      </c>
      <c r="O122">
        <v>0</v>
      </c>
      <c r="P122">
        <v>0.16139999999999999</v>
      </c>
      <c r="Q122">
        <v>0.19639999999999999</v>
      </c>
      <c r="R122">
        <v>0</v>
      </c>
      <c r="S122">
        <v>0</v>
      </c>
      <c r="T122">
        <v>0</v>
      </c>
      <c r="U122">
        <v>5</v>
      </c>
      <c r="V122">
        <v>1</v>
      </c>
      <c r="W122">
        <v>0.2</v>
      </c>
      <c r="X122">
        <v>0</v>
      </c>
      <c r="Y122">
        <v>0.4158</v>
      </c>
      <c r="Z122">
        <v>0.8</v>
      </c>
    </row>
    <row r="123" spans="1:26" x14ac:dyDescent="0.2">
      <c r="A123" t="s">
        <v>11</v>
      </c>
      <c r="B123">
        <v>2013</v>
      </c>
      <c r="C123" t="str">
        <f t="shared" si="1"/>
        <v>ASM2013</v>
      </c>
      <c r="D123">
        <v>9.0994297119532075E-15</v>
      </c>
      <c r="E123">
        <v>3.6256088848336407E-2</v>
      </c>
      <c r="F123">
        <v>0.74054121367649117</v>
      </c>
      <c r="G123">
        <v>28.145945457034198</v>
      </c>
      <c r="H123">
        <v>1.313580549954906</v>
      </c>
      <c r="I123">
        <v>0.57908064881526411</v>
      </c>
      <c r="J123">
        <v>6.0651478144537092E-2</v>
      </c>
      <c r="K123">
        <v>-7.0001657934193107E-2</v>
      </c>
      <c r="L123">
        <v>0.14434471812056501</v>
      </c>
      <c r="M123">
        <v>16</v>
      </c>
      <c r="N123">
        <v>0</v>
      </c>
      <c r="O123">
        <v>0</v>
      </c>
      <c r="P123">
        <v>0.29360000000000003</v>
      </c>
      <c r="Q123">
        <v>0.1729</v>
      </c>
      <c r="R123">
        <v>0</v>
      </c>
      <c r="S123">
        <v>0</v>
      </c>
      <c r="T123">
        <v>5.0299999999999997E-2</v>
      </c>
      <c r="U123">
        <v>6</v>
      </c>
      <c r="V123">
        <v>1</v>
      </c>
      <c r="W123">
        <v>0.1666666666666666</v>
      </c>
      <c r="X123">
        <v>0</v>
      </c>
      <c r="Y123">
        <v>0.43149999999999999</v>
      </c>
      <c r="Z123">
        <v>0.83333333333333337</v>
      </c>
    </row>
    <row r="124" spans="1:26" x14ac:dyDescent="0.2">
      <c r="A124" t="s">
        <v>11</v>
      </c>
      <c r="B124">
        <v>2014</v>
      </c>
      <c r="C124" t="str">
        <f t="shared" si="1"/>
        <v>ASM2014</v>
      </c>
      <c r="D124">
        <v>1.4481163727510401E-14</v>
      </c>
      <c r="E124">
        <v>7.0355039367839795E-2</v>
      </c>
      <c r="F124">
        <v>0.85691239447674583</v>
      </c>
      <c r="G124">
        <v>28.539781361705089</v>
      </c>
      <c r="H124">
        <v>1.8886139339775641</v>
      </c>
      <c r="I124">
        <v>0.48505280272193829</v>
      </c>
      <c r="J124">
        <v>0.48265723158532842</v>
      </c>
      <c r="K124">
        <v>-9.3152281327730221E-2</v>
      </c>
      <c r="L124">
        <v>4.8740008815260097E-2</v>
      </c>
      <c r="M124">
        <v>17</v>
      </c>
      <c r="N124">
        <v>0</v>
      </c>
      <c r="O124">
        <v>0</v>
      </c>
      <c r="P124">
        <v>0.17879999999999999</v>
      </c>
      <c r="Q124">
        <v>0.14710000000000001</v>
      </c>
      <c r="R124">
        <v>0</v>
      </c>
      <c r="S124">
        <v>0</v>
      </c>
      <c r="T124">
        <v>0</v>
      </c>
      <c r="U124">
        <v>6</v>
      </c>
      <c r="V124">
        <v>1</v>
      </c>
      <c r="W124">
        <v>0.1666666666666666</v>
      </c>
      <c r="X124">
        <v>1</v>
      </c>
      <c r="Y124">
        <v>0.41930000000000001</v>
      </c>
      <c r="Z124">
        <v>0.83333333333333337</v>
      </c>
    </row>
    <row r="125" spans="1:26" x14ac:dyDescent="0.2">
      <c r="A125" t="s">
        <v>11</v>
      </c>
      <c r="B125">
        <v>2015</v>
      </c>
      <c r="C125" t="str">
        <f t="shared" si="1"/>
        <v>ASM2015</v>
      </c>
      <c r="D125">
        <v>5.6198669649896076E-15</v>
      </c>
      <c r="E125">
        <v>3.5240429216200457E-2</v>
      </c>
      <c r="F125">
        <v>1.305193526370704</v>
      </c>
      <c r="G125">
        <v>28.994175279569699</v>
      </c>
      <c r="H125">
        <v>2.507890123207047</v>
      </c>
      <c r="I125">
        <v>0.37670279865516282</v>
      </c>
      <c r="J125">
        <v>0.57521838193804653</v>
      </c>
      <c r="K125">
        <v>-0.1862738119269734</v>
      </c>
      <c r="L125">
        <v>4.1690553553280711E-2</v>
      </c>
      <c r="M125">
        <v>18</v>
      </c>
      <c r="N125">
        <v>0</v>
      </c>
      <c r="O125">
        <v>0</v>
      </c>
      <c r="P125">
        <v>0.34979999999999989</v>
      </c>
      <c r="Q125">
        <v>0.26569999999999999</v>
      </c>
      <c r="R125">
        <v>0</v>
      </c>
      <c r="S125">
        <v>0</v>
      </c>
      <c r="T125">
        <v>0</v>
      </c>
      <c r="U125">
        <v>9</v>
      </c>
      <c r="V125">
        <v>1</v>
      </c>
      <c r="W125">
        <v>0.22222222222222221</v>
      </c>
      <c r="X125">
        <v>1</v>
      </c>
      <c r="Y125">
        <v>0.42930000000000001</v>
      </c>
      <c r="Z125">
        <v>0.88888888888888884</v>
      </c>
    </row>
    <row r="126" spans="1:26" x14ac:dyDescent="0.2">
      <c r="A126" t="s">
        <v>11</v>
      </c>
      <c r="B126">
        <v>2016</v>
      </c>
      <c r="C126" t="str">
        <f t="shared" si="1"/>
        <v>ASM2016</v>
      </c>
      <c r="D126">
        <v>7.2959021349814126E-15</v>
      </c>
      <c r="E126">
        <v>6.5713700239495534E-2</v>
      </c>
      <c r="F126">
        <v>1.1205899917978639</v>
      </c>
      <c r="G126">
        <v>29.216273386825531</v>
      </c>
      <c r="H126">
        <v>3.2752736464341652</v>
      </c>
      <c r="I126">
        <v>0.45813713216343083</v>
      </c>
      <c r="J126">
        <v>0.2486938777848344</v>
      </c>
      <c r="K126">
        <v>0.15192147537977849</v>
      </c>
      <c r="L126">
        <v>4.4049538070803883E-2</v>
      </c>
      <c r="M126">
        <v>19</v>
      </c>
      <c r="N126">
        <v>0</v>
      </c>
      <c r="O126">
        <v>0</v>
      </c>
      <c r="P126">
        <v>0.34979999999999989</v>
      </c>
      <c r="Q126">
        <v>0.26700000000000002</v>
      </c>
      <c r="R126">
        <v>0</v>
      </c>
      <c r="S126">
        <v>0</v>
      </c>
      <c r="T126">
        <v>0</v>
      </c>
      <c r="U126">
        <v>9</v>
      </c>
      <c r="V126">
        <v>1</v>
      </c>
      <c r="W126">
        <v>0.22222222222222221</v>
      </c>
      <c r="X126">
        <v>1</v>
      </c>
      <c r="Y126">
        <v>0.44269999999999998</v>
      </c>
      <c r="Z126">
        <v>0.88888888888888884</v>
      </c>
    </row>
    <row r="127" spans="1:26" x14ac:dyDescent="0.2">
      <c r="A127" t="s">
        <v>11</v>
      </c>
      <c r="B127">
        <v>2017</v>
      </c>
      <c r="C127" t="str">
        <f t="shared" si="1"/>
        <v>ASM2017</v>
      </c>
      <c r="D127">
        <v>5.3281692548115759E-15</v>
      </c>
      <c r="E127">
        <v>5.9030718829050637E-2</v>
      </c>
      <c r="F127">
        <v>0.95062979590895991</v>
      </c>
      <c r="G127">
        <v>29.355713139383742</v>
      </c>
      <c r="H127">
        <v>1.9206776191392021</v>
      </c>
      <c r="I127">
        <v>0.49356446727072067</v>
      </c>
      <c r="J127">
        <v>0.14962954139271181</v>
      </c>
      <c r="K127">
        <v>-3.142027432612772E-2</v>
      </c>
      <c r="L127">
        <v>4.9894629127410418E-2</v>
      </c>
      <c r="M127">
        <v>20</v>
      </c>
      <c r="N127">
        <v>0</v>
      </c>
      <c r="O127">
        <v>0</v>
      </c>
      <c r="P127">
        <v>0.34979999999999989</v>
      </c>
      <c r="Q127">
        <v>0.27050000000000002</v>
      </c>
      <c r="R127">
        <v>0</v>
      </c>
      <c r="S127">
        <v>0</v>
      </c>
      <c r="T127">
        <v>0</v>
      </c>
      <c r="U127">
        <v>9</v>
      </c>
      <c r="V127">
        <v>1</v>
      </c>
      <c r="W127">
        <v>0.22222222222222221</v>
      </c>
      <c r="X127">
        <v>1</v>
      </c>
      <c r="Y127">
        <v>0.45569999999999999</v>
      </c>
      <c r="Z127">
        <v>0.88888888888888884</v>
      </c>
    </row>
    <row r="128" spans="1:26" x14ac:dyDescent="0.2">
      <c r="A128" t="s">
        <v>11</v>
      </c>
      <c r="B128">
        <v>2018</v>
      </c>
      <c r="C128" t="str">
        <f t="shared" si="1"/>
        <v>ASM2018</v>
      </c>
      <c r="D128">
        <v>8.3527090028175715E-15</v>
      </c>
      <c r="E128">
        <v>0.20878397618175321</v>
      </c>
      <c r="F128">
        <v>0.67848343436973613</v>
      </c>
      <c r="G128">
        <v>30.113880654130192</v>
      </c>
      <c r="H128">
        <v>1.749670179131031</v>
      </c>
      <c r="I128">
        <v>0.52090417755315099</v>
      </c>
      <c r="J128">
        <v>1.134361448830894</v>
      </c>
      <c r="K128">
        <v>4.5576090934443501E-2</v>
      </c>
      <c r="L128">
        <v>0.1607187321626817</v>
      </c>
      <c r="M128">
        <v>21</v>
      </c>
      <c r="N128">
        <v>0</v>
      </c>
      <c r="O128">
        <v>0</v>
      </c>
      <c r="P128">
        <v>0.4239</v>
      </c>
      <c r="Q128">
        <v>0.2697</v>
      </c>
      <c r="R128">
        <v>0</v>
      </c>
      <c r="S128">
        <v>0</v>
      </c>
      <c r="T128">
        <v>0</v>
      </c>
      <c r="U128">
        <v>9</v>
      </c>
      <c r="V128">
        <v>1</v>
      </c>
      <c r="W128">
        <v>0.22222222222222221</v>
      </c>
      <c r="X128">
        <v>1</v>
      </c>
      <c r="Y128">
        <v>0.4657</v>
      </c>
      <c r="Z128">
        <v>0.88888888888888884</v>
      </c>
    </row>
    <row r="129" spans="1:26" x14ac:dyDescent="0.2">
      <c r="A129" t="s">
        <v>11</v>
      </c>
      <c r="B129">
        <v>2019</v>
      </c>
      <c r="C129" t="str">
        <f t="shared" si="1"/>
        <v>ASM2019</v>
      </c>
      <c r="D129">
        <v>3.3848494922479789E-15</v>
      </c>
      <c r="E129">
        <v>0.13065124973851749</v>
      </c>
      <c r="F129">
        <v>0.70697902213825647</v>
      </c>
      <c r="G129">
        <v>30.378055572434789</v>
      </c>
      <c r="H129">
        <v>1.3623280749088089</v>
      </c>
      <c r="I129">
        <v>0.59593828740199362</v>
      </c>
      <c r="J129">
        <v>0.30235598227875288</v>
      </c>
      <c r="K129">
        <v>5.9519230374006242E-2</v>
      </c>
      <c r="L129">
        <v>0.30097255143834911</v>
      </c>
      <c r="M129">
        <v>22</v>
      </c>
      <c r="N129">
        <v>0</v>
      </c>
      <c r="O129">
        <v>1</v>
      </c>
      <c r="P129">
        <v>0.46239999999999992</v>
      </c>
      <c r="Q129">
        <v>0.26469999999999999</v>
      </c>
      <c r="R129">
        <v>0</v>
      </c>
      <c r="S129">
        <v>0</v>
      </c>
      <c r="T129">
        <v>0</v>
      </c>
      <c r="U129">
        <v>5</v>
      </c>
      <c r="V129">
        <v>0</v>
      </c>
      <c r="W129">
        <v>0.4</v>
      </c>
      <c r="X129">
        <v>1</v>
      </c>
      <c r="Y129">
        <v>0.4647</v>
      </c>
      <c r="Z129">
        <v>0.8</v>
      </c>
    </row>
    <row r="130" spans="1:26" x14ac:dyDescent="0.2">
      <c r="A130" t="s">
        <v>11</v>
      </c>
      <c r="B130">
        <v>2020</v>
      </c>
      <c r="C130" t="str">
        <f t="shared" si="1"/>
        <v>ASM2020</v>
      </c>
      <c r="D130">
        <v>1.8467798379730689E-15</v>
      </c>
      <c r="E130">
        <v>8.3286995131340386E-2</v>
      </c>
      <c r="F130">
        <v>0.85814829270261428</v>
      </c>
      <c r="G130">
        <v>30.499181063920091</v>
      </c>
      <c r="H130">
        <v>1.147443522272624</v>
      </c>
      <c r="I130">
        <v>0.60964120429690005</v>
      </c>
      <c r="J130">
        <v>0.1287665540711771</v>
      </c>
      <c r="K130">
        <v>1.5283977613320201E-2</v>
      </c>
      <c r="L130">
        <v>0.38149300112370182</v>
      </c>
      <c r="M130">
        <v>23</v>
      </c>
      <c r="N130">
        <v>0</v>
      </c>
      <c r="O130">
        <v>1</v>
      </c>
      <c r="P130">
        <v>0.51239999999999997</v>
      </c>
      <c r="Q130">
        <v>0.26469999999999999</v>
      </c>
      <c r="R130">
        <v>0</v>
      </c>
      <c r="S130">
        <v>0</v>
      </c>
      <c r="T130">
        <v>0</v>
      </c>
      <c r="U130">
        <v>4</v>
      </c>
      <c r="V130">
        <v>0</v>
      </c>
      <c r="W130">
        <v>0.5</v>
      </c>
      <c r="X130">
        <v>1</v>
      </c>
      <c r="Y130">
        <v>0.45140000000000002</v>
      </c>
      <c r="Z130">
        <v>1</v>
      </c>
    </row>
    <row r="131" spans="1:26" x14ac:dyDescent="0.2">
      <c r="A131" t="s">
        <v>11</v>
      </c>
      <c r="B131">
        <v>2021</v>
      </c>
      <c r="C131" t="str">
        <f t="shared" ref="C131:C194" si="2">A131&amp;B131</f>
        <v>ASM2021</v>
      </c>
      <c r="D131">
        <v>2.1322387399484909E-15</v>
      </c>
      <c r="E131">
        <v>9.2906026101503184E-2</v>
      </c>
      <c r="F131">
        <v>0.90856959744032895</v>
      </c>
      <c r="G131">
        <v>30.530744231621959</v>
      </c>
      <c r="H131">
        <v>1.273674602213744</v>
      </c>
      <c r="I131">
        <v>0.58300994866995126</v>
      </c>
      <c r="J131">
        <v>3.2066566809832553E-2</v>
      </c>
      <c r="K131">
        <v>6.5842407027972394E-2</v>
      </c>
      <c r="L131">
        <v>0.34852405009541321</v>
      </c>
      <c r="M131">
        <v>24</v>
      </c>
      <c r="N131">
        <v>0</v>
      </c>
      <c r="O131">
        <v>0</v>
      </c>
      <c r="P131">
        <v>0.51899999999999991</v>
      </c>
      <c r="Q131">
        <v>0.37659999999999999</v>
      </c>
      <c r="R131">
        <v>0</v>
      </c>
      <c r="S131">
        <v>0</v>
      </c>
      <c r="T131">
        <v>0</v>
      </c>
      <c r="U131">
        <v>4</v>
      </c>
      <c r="V131">
        <v>0</v>
      </c>
      <c r="W131">
        <v>0.5</v>
      </c>
      <c r="X131">
        <v>1</v>
      </c>
      <c r="Y131">
        <v>0.44869999999999999</v>
      </c>
      <c r="Z131">
        <v>1</v>
      </c>
    </row>
    <row r="132" spans="1:26" x14ac:dyDescent="0.2">
      <c r="A132" t="s">
        <v>11</v>
      </c>
      <c r="B132">
        <v>2022</v>
      </c>
      <c r="C132" t="str">
        <f t="shared" si="2"/>
        <v>ASM2022</v>
      </c>
      <c r="D132">
        <v>2.642368742440741E-15</v>
      </c>
      <c r="E132">
        <v>0.1227815132620076</v>
      </c>
      <c r="F132">
        <v>0.72500957300583169</v>
      </c>
      <c r="G132">
        <v>30.579994287710271</v>
      </c>
      <c r="H132">
        <v>1.420580428241192</v>
      </c>
      <c r="I132">
        <v>0.5892446607373657</v>
      </c>
      <c r="J132">
        <v>5.0482997569645693E-2</v>
      </c>
      <c r="K132">
        <v>-1.0647970225651549E-2</v>
      </c>
      <c r="L132">
        <v>0.34347177758485259</v>
      </c>
      <c r="M132">
        <v>25</v>
      </c>
      <c r="N132">
        <v>0</v>
      </c>
      <c r="O132">
        <v>0</v>
      </c>
      <c r="P132">
        <v>0.46239999999999992</v>
      </c>
      <c r="Q132">
        <v>0.37659999999999999</v>
      </c>
      <c r="R132">
        <v>0</v>
      </c>
      <c r="S132">
        <v>0</v>
      </c>
      <c r="T132">
        <v>0</v>
      </c>
      <c r="U132">
        <v>4</v>
      </c>
      <c r="V132">
        <v>0</v>
      </c>
      <c r="W132">
        <v>0.5</v>
      </c>
      <c r="X132">
        <v>1</v>
      </c>
      <c r="Y132">
        <v>0.4587</v>
      </c>
      <c r="Z132">
        <v>1</v>
      </c>
    </row>
    <row r="133" spans="1:26" x14ac:dyDescent="0.2">
      <c r="A133" t="s">
        <v>11</v>
      </c>
      <c r="B133">
        <v>2023</v>
      </c>
      <c r="C133" t="str">
        <f t="shared" si="2"/>
        <v>ASM2023</v>
      </c>
      <c r="D133">
        <v>4444921834218.0947</v>
      </c>
      <c r="E133">
        <v>2.6423204352044809E-2</v>
      </c>
      <c r="F133">
        <v>0.70327070616039511</v>
      </c>
      <c r="G133">
        <v>30.64200908526189</v>
      </c>
      <c r="H133">
        <v>1.217307539489995</v>
      </c>
      <c r="I133">
        <v>0.53092618843728245</v>
      </c>
      <c r="J133">
        <v>6.3978088882244322E-2</v>
      </c>
      <c r="K133">
        <v>-1.0859498777759651E-2</v>
      </c>
      <c r="L133">
        <v>0.30365177007885757</v>
      </c>
      <c r="M133">
        <v>26</v>
      </c>
      <c r="N133">
        <v>0</v>
      </c>
      <c r="O133">
        <v>0</v>
      </c>
      <c r="P133">
        <v>0.46239999999999992</v>
      </c>
      <c r="Q133">
        <v>0.37659999999999999</v>
      </c>
      <c r="R133">
        <v>0</v>
      </c>
      <c r="S133">
        <v>0</v>
      </c>
      <c r="T133">
        <v>0</v>
      </c>
      <c r="U133">
        <v>4</v>
      </c>
      <c r="V133">
        <v>0</v>
      </c>
      <c r="W133">
        <v>0.5</v>
      </c>
      <c r="X133">
        <v>1</v>
      </c>
      <c r="Y133">
        <v>0.4587</v>
      </c>
      <c r="Z133">
        <v>1</v>
      </c>
    </row>
    <row r="134" spans="1:26" x14ac:dyDescent="0.2">
      <c r="A134" t="s">
        <v>12</v>
      </c>
      <c r="B134">
        <v>2012</v>
      </c>
      <c r="C134" t="str">
        <f t="shared" si="2"/>
        <v>BBC2012</v>
      </c>
      <c r="D134">
        <v>4.3843797230244337E-14</v>
      </c>
      <c r="E134">
        <v>4.4703343626907713E-2</v>
      </c>
      <c r="F134">
        <v>0.58556682338891552</v>
      </c>
      <c r="G134">
        <v>27.367547609650369</v>
      </c>
      <c r="H134">
        <v>2.0147225643878461</v>
      </c>
      <c r="I134">
        <v>0.2463962292284857</v>
      </c>
      <c r="J134">
        <v>-2.266614554579216E-2</v>
      </c>
      <c r="K134">
        <v>9.1935403721036868E-2</v>
      </c>
      <c r="L134">
        <v>0.48377806479780999</v>
      </c>
      <c r="M134">
        <v>4</v>
      </c>
      <c r="N134">
        <v>0</v>
      </c>
      <c r="O134">
        <v>0</v>
      </c>
      <c r="P134">
        <v>0.58599999999999997</v>
      </c>
      <c r="Q134">
        <v>3.0499999999999999E-2</v>
      </c>
      <c r="R134">
        <v>0.38600000000000001</v>
      </c>
      <c r="S134">
        <v>0</v>
      </c>
      <c r="T134">
        <v>0.58599999999999997</v>
      </c>
      <c r="U134">
        <v>6</v>
      </c>
      <c r="V134">
        <v>0</v>
      </c>
      <c r="W134">
        <v>0</v>
      </c>
      <c r="X134">
        <v>0</v>
      </c>
      <c r="Y134">
        <v>0.44109999999999999</v>
      </c>
      <c r="Z134">
        <v>1</v>
      </c>
    </row>
    <row r="135" spans="1:26" x14ac:dyDescent="0.2">
      <c r="A135" t="s">
        <v>12</v>
      </c>
      <c r="B135">
        <v>2013</v>
      </c>
      <c r="C135" t="str">
        <f t="shared" si="2"/>
        <v>BBC2013</v>
      </c>
      <c r="D135">
        <v>6.8693524593913072E-14</v>
      </c>
      <c r="E135">
        <v>7.5443951082523053E-2</v>
      </c>
      <c r="F135">
        <v>0.82492752066132047</v>
      </c>
      <c r="G135">
        <v>27.418191731576819</v>
      </c>
      <c r="H135">
        <v>2.0085054958268458</v>
      </c>
      <c r="I135">
        <v>0.26402892156865171</v>
      </c>
      <c r="J135">
        <v>5.0337632955222762E-2</v>
      </c>
      <c r="K135">
        <v>0.19010269724076559</v>
      </c>
      <c r="L135">
        <v>0.41950327047027902</v>
      </c>
      <c r="M135">
        <v>5</v>
      </c>
      <c r="N135">
        <v>1</v>
      </c>
      <c r="O135">
        <v>0</v>
      </c>
      <c r="P135">
        <v>0.748</v>
      </c>
      <c r="Q135">
        <v>3.0499999999999999E-2</v>
      </c>
      <c r="R135">
        <v>0.43</v>
      </c>
      <c r="S135">
        <v>0</v>
      </c>
      <c r="T135">
        <v>0.748</v>
      </c>
      <c r="U135">
        <v>5</v>
      </c>
      <c r="V135">
        <v>0</v>
      </c>
      <c r="W135">
        <v>0</v>
      </c>
      <c r="X135">
        <v>0</v>
      </c>
      <c r="Y135">
        <v>0.45500000000000002</v>
      </c>
      <c r="Z135">
        <v>1</v>
      </c>
    </row>
    <row r="136" spans="1:26" x14ac:dyDescent="0.2">
      <c r="A136" t="s">
        <v>12</v>
      </c>
      <c r="B136">
        <v>2014</v>
      </c>
      <c r="C136" t="str">
        <f t="shared" si="2"/>
        <v>BBC2014</v>
      </c>
      <c r="D136">
        <v>7.2451485309690131E-14</v>
      </c>
      <c r="E136">
        <v>9.0135464603403326E-2</v>
      </c>
      <c r="F136">
        <v>1.248997485799616</v>
      </c>
      <c r="G136">
        <v>27.51799480840382</v>
      </c>
      <c r="H136">
        <v>2.1348630142194871</v>
      </c>
      <c r="I136">
        <v>0.2820984517525788</v>
      </c>
      <c r="J136">
        <v>0.1066478942356701</v>
      </c>
      <c r="K136">
        <v>0.15501001441659379</v>
      </c>
      <c r="L136">
        <v>0.30590949897850572</v>
      </c>
      <c r="M136">
        <v>6</v>
      </c>
      <c r="N136">
        <v>1</v>
      </c>
      <c r="O136">
        <v>0</v>
      </c>
      <c r="P136">
        <v>0.86950000000000005</v>
      </c>
      <c r="Q136">
        <v>3.0499999999999999E-2</v>
      </c>
      <c r="R136">
        <v>0.44030000000000002</v>
      </c>
      <c r="S136">
        <v>0</v>
      </c>
      <c r="T136">
        <v>0.86950000000000005</v>
      </c>
      <c r="U136">
        <v>5</v>
      </c>
      <c r="V136">
        <v>0</v>
      </c>
      <c r="W136">
        <v>0</v>
      </c>
      <c r="X136">
        <v>0</v>
      </c>
      <c r="Y136">
        <v>0.44869999999999999</v>
      </c>
      <c r="Z136">
        <v>1</v>
      </c>
    </row>
    <row r="137" spans="1:26" x14ac:dyDescent="0.2">
      <c r="A137" t="s">
        <v>12</v>
      </c>
      <c r="B137">
        <v>2015</v>
      </c>
      <c r="C137" t="str">
        <f t="shared" si="2"/>
        <v>BBC2015</v>
      </c>
      <c r="D137">
        <v>8.464282368390571E-14</v>
      </c>
      <c r="E137">
        <v>0.12162068311863029</v>
      </c>
      <c r="F137">
        <v>1.149225276104862</v>
      </c>
      <c r="G137">
        <v>27.637899755216331</v>
      </c>
      <c r="H137">
        <v>2.3815753275880689</v>
      </c>
      <c r="I137">
        <v>0.29923878063708481</v>
      </c>
      <c r="J137">
        <v>0.12738968450312149</v>
      </c>
      <c r="K137">
        <v>0.16091637080324381</v>
      </c>
      <c r="L137">
        <v>0.2355458516239686</v>
      </c>
      <c r="M137">
        <v>7</v>
      </c>
      <c r="N137">
        <v>1</v>
      </c>
      <c r="O137">
        <v>0</v>
      </c>
      <c r="P137">
        <v>0.86280000000000001</v>
      </c>
      <c r="Q137">
        <v>3.0499999999999999E-2</v>
      </c>
      <c r="R137">
        <v>0.44030000000000002</v>
      </c>
      <c r="S137">
        <v>0</v>
      </c>
      <c r="T137">
        <v>0.86280000000000001</v>
      </c>
      <c r="U137">
        <v>5</v>
      </c>
      <c r="V137">
        <v>0</v>
      </c>
      <c r="W137">
        <v>0</v>
      </c>
      <c r="X137">
        <v>0</v>
      </c>
      <c r="Y137">
        <v>0.44900000000000001</v>
      </c>
      <c r="Z137">
        <v>1</v>
      </c>
    </row>
    <row r="138" spans="1:26" x14ac:dyDescent="0.2">
      <c r="A138" t="s">
        <v>12</v>
      </c>
      <c r="B138">
        <v>2016</v>
      </c>
      <c r="C138" t="str">
        <f t="shared" si="2"/>
        <v>BBC2016</v>
      </c>
      <c r="D138">
        <v>7.4983465145423315E-14</v>
      </c>
      <c r="E138">
        <v>0.1079637851241818</v>
      </c>
      <c r="F138">
        <v>1.6587940359986311</v>
      </c>
      <c r="G138">
        <v>27.671345124953969</v>
      </c>
      <c r="H138">
        <v>2.5643416011631368</v>
      </c>
      <c r="I138">
        <v>0.27689744068231942</v>
      </c>
      <c r="J138">
        <v>3.4010953893566682E-2</v>
      </c>
      <c r="K138">
        <v>0.18035854900482801</v>
      </c>
      <c r="L138">
        <v>0.19720230779891451</v>
      </c>
      <c r="M138">
        <v>8</v>
      </c>
      <c r="N138">
        <v>1</v>
      </c>
      <c r="O138">
        <v>0</v>
      </c>
      <c r="P138">
        <v>0.87759999999999994</v>
      </c>
      <c r="Q138">
        <v>2.92E-2</v>
      </c>
      <c r="R138">
        <v>0.44030000000000002</v>
      </c>
      <c r="S138">
        <v>0</v>
      </c>
      <c r="T138">
        <v>0.87759999999999994</v>
      </c>
      <c r="U138">
        <v>5</v>
      </c>
      <c r="V138">
        <v>0</v>
      </c>
      <c r="W138">
        <v>0</v>
      </c>
      <c r="X138">
        <v>0</v>
      </c>
      <c r="Y138">
        <v>0.4763</v>
      </c>
      <c r="Z138">
        <v>1</v>
      </c>
    </row>
    <row r="139" spans="1:26" x14ac:dyDescent="0.2">
      <c r="A139" t="s">
        <v>12</v>
      </c>
      <c r="B139">
        <v>2017</v>
      </c>
      <c r="C139" t="str">
        <f t="shared" si="2"/>
        <v>BBC2017</v>
      </c>
      <c r="D139">
        <v>7.7665073799427775E-14</v>
      </c>
      <c r="E139">
        <v>0.1187737582880062</v>
      </c>
      <c r="F139">
        <v>1.4939895963898779</v>
      </c>
      <c r="G139">
        <v>27.743866665024399</v>
      </c>
      <c r="H139">
        <v>2.9501293580695021</v>
      </c>
      <c r="I139">
        <v>0.26799599076168817</v>
      </c>
      <c r="J139">
        <v>7.5215966068363116E-2</v>
      </c>
      <c r="K139">
        <v>8.9250615191956414E-2</v>
      </c>
      <c r="L139">
        <v>0.22885076598437709</v>
      </c>
      <c r="M139">
        <v>9</v>
      </c>
      <c r="N139">
        <v>1</v>
      </c>
      <c r="O139">
        <v>0</v>
      </c>
      <c r="P139">
        <v>0.94099999999999995</v>
      </c>
      <c r="Q139">
        <v>2.9999999999999997E-4</v>
      </c>
      <c r="R139">
        <v>0.44</v>
      </c>
      <c r="S139">
        <v>0</v>
      </c>
      <c r="T139">
        <v>0.94099999999999995</v>
      </c>
      <c r="U139">
        <v>5</v>
      </c>
      <c r="V139">
        <v>0</v>
      </c>
      <c r="W139">
        <v>0</v>
      </c>
      <c r="X139">
        <v>0</v>
      </c>
      <c r="Y139">
        <v>0.48110000000000003</v>
      </c>
      <c r="Z139">
        <v>1</v>
      </c>
    </row>
    <row r="140" spans="1:26" x14ac:dyDescent="0.2">
      <c r="A140" t="s">
        <v>12</v>
      </c>
      <c r="B140">
        <v>2018</v>
      </c>
      <c r="C140" t="str">
        <f t="shared" si="2"/>
        <v>BBC2018</v>
      </c>
      <c r="D140">
        <v>6.9577644236563255E-14</v>
      </c>
      <c r="E140">
        <v>0.11936319759052059</v>
      </c>
      <c r="F140">
        <v>1.125348199938671</v>
      </c>
      <c r="G140">
        <v>27.857867370844851</v>
      </c>
      <c r="H140">
        <v>2.9283106049025172</v>
      </c>
      <c r="I140">
        <v>0.26866332562430562</v>
      </c>
      <c r="J140">
        <v>0.1207529159342</v>
      </c>
      <c r="K140">
        <v>0.12984230579155601</v>
      </c>
      <c r="L140">
        <v>0.27159706002296591</v>
      </c>
      <c r="M140">
        <v>10</v>
      </c>
      <c r="N140">
        <v>1</v>
      </c>
      <c r="O140">
        <v>0</v>
      </c>
      <c r="P140">
        <v>0.94090000000000007</v>
      </c>
      <c r="Q140">
        <v>2.9999999999999997E-4</v>
      </c>
      <c r="R140">
        <v>0.44030000000000002</v>
      </c>
      <c r="S140">
        <v>0</v>
      </c>
      <c r="T140">
        <v>0.94090000000000007</v>
      </c>
      <c r="U140">
        <v>5</v>
      </c>
      <c r="V140">
        <v>1</v>
      </c>
      <c r="W140">
        <v>0</v>
      </c>
      <c r="X140">
        <v>0</v>
      </c>
      <c r="Y140">
        <v>0.49109999999999998</v>
      </c>
      <c r="Z140">
        <v>1</v>
      </c>
    </row>
    <row r="141" spans="1:26" x14ac:dyDescent="0.2">
      <c r="A141" t="s">
        <v>12</v>
      </c>
      <c r="B141">
        <v>2019</v>
      </c>
      <c r="C141" t="str">
        <f t="shared" si="2"/>
        <v>BBC2019</v>
      </c>
      <c r="D141">
        <v>3.8695232180970178E-14</v>
      </c>
      <c r="E141">
        <v>9.5065753821260576E-2</v>
      </c>
      <c r="F141">
        <v>0.9322563742000971</v>
      </c>
      <c r="G141">
        <v>28.08238225779149</v>
      </c>
      <c r="H141">
        <v>2.338429656006825</v>
      </c>
      <c r="I141">
        <v>0.36077019870466182</v>
      </c>
      <c r="J141">
        <v>0.25171534542887031</v>
      </c>
      <c r="K141">
        <v>0.20287551928393979</v>
      </c>
      <c r="L141">
        <v>0.35687036688777563</v>
      </c>
      <c r="M141">
        <v>11</v>
      </c>
      <c r="N141">
        <v>1</v>
      </c>
      <c r="O141">
        <v>1</v>
      </c>
      <c r="P141">
        <v>0.94099999999999995</v>
      </c>
      <c r="Q141">
        <v>2.9999999999999997E-4</v>
      </c>
      <c r="R141">
        <v>0.44030000000000002</v>
      </c>
      <c r="S141">
        <v>0</v>
      </c>
      <c r="T141">
        <v>0.94099999999999995</v>
      </c>
      <c r="U141">
        <v>5</v>
      </c>
      <c r="V141">
        <v>1</v>
      </c>
      <c r="W141">
        <v>0</v>
      </c>
      <c r="X141">
        <v>0</v>
      </c>
      <c r="Y141">
        <v>0.50109999999999999</v>
      </c>
      <c r="Z141">
        <v>1</v>
      </c>
    </row>
    <row r="142" spans="1:26" x14ac:dyDescent="0.2">
      <c r="A142" t="s">
        <v>12</v>
      </c>
      <c r="B142">
        <v>2020</v>
      </c>
      <c r="C142" t="str">
        <f t="shared" si="2"/>
        <v>BBC2020</v>
      </c>
      <c r="D142">
        <v>4.0575275204492419E-14</v>
      </c>
      <c r="E142">
        <v>8.8176008912924611E-2</v>
      </c>
      <c r="F142">
        <v>0.99045737957374624</v>
      </c>
      <c r="G142">
        <v>28.064815906205329</v>
      </c>
      <c r="H142">
        <v>1.535185654095836</v>
      </c>
      <c r="I142">
        <v>0.28992255111215282</v>
      </c>
      <c r="J142">
        <v>-1.7412962706378491E-2</v>
      </c>
      <c r="K142">
        <v>-0.26530084764324707</v>
      </c>
      <c r="L142">
        <v>0.3072513383590198</v>
      </c>
      <c r="M142">
        <v>12</v>
      </c>
      <c r="N142">
        <v>1</v>
      </c>
      <c r="O142">
        <v>1</v>
      </c>
      <c r="P142">
        <v>0.94099999999999995</v>
      </c>
      <c r="Q142">
        <v>2.9999999999999997E-4</v>
      </c>
      <c r="R142">
        <v>0.44030000000000002</v>
      </c>
      <c r="S142">
        <v>0</v>
      </c>
      <c r="T142">
        <v>0.94099999999999995</v>
      </c>
      <c r="U142">
        <v>5</v>
      </c>
      <c r="V142">
        <v>0</v>
      </c>
      <c r="W142">
        <v>0</v>
      </c>
      <c r="X142">
        <v>0</v>
      </c>
      <c r="Y142">
        <v>0.503</v>
      </c>
      <c r="Z142">
        <v>1</v>
      </c>
    </row>
    <row r="143" spans="1:26" x14ac:dyDescent="0.2">
      <c r="A143" t="s">
        <v>12</v>
      </c>
      <c r="B143">
        <v>2021</v>
      </c>
      <c r="C143" t="str">
        <f t="shared" si="2"/>
        <v>BBC2021</v>
      </c>
      <c r="D143">
        <v>8.3331740305017886E-15</v>
      </c>
      <c r="E143">
        <v>2.282332978418242E-2</v>
      </c>
      <c r="F143">
        <v>0.9948687243377996</v>
      </c>
      <c r="G143">
        <v>28.125435694007241</v>
      </c>
      <c r="H143">
        <v>1.665543652602314</v>
      </c>
      <c r="I143">
        <v>0.40137759256972261</v>
      </c>
      <c r="J143">
        <v>6.2494863871987549E-2</v>
      </c>
      <c r="K143">
        <v>0.31940663754024962</v>
      </c>
      <c r="L143">
        <v>0.49171192076622</v>
      </c>
      <c r="M143">
        <v>13</v>
      </c>
      <c r="N143">
        <v>1</v>
      </c>
      <c r="O143">
        <v>0</v>
      </c>
      <c r="P143">
        <v>0.58939999999999992</v>
      </c>
      <c r="Q143">
        <v>2.0000000000000001E-4</v>
      </c>
      <c r="R143">
        <v>0</v>
      </c>
      <c r="S143">
        <v>0</v>
      </c>
      <c r="T143">
        <v>0.58939999999999992</v>
      </c>
      <c r="U143">
        <v>3</v>
      </c>
      <c r="V143">
        <v>0</v>
      </c>
      <c r="W143">
        <v>0.33333333333333331</v>
      </c>
      <c r="X143">
        <v>0</v>
      </c>
      <c r="Y143">
        <v>0.495</v>
      </c>
      <c r="Z143">
        <v>1</v>
      </c>
    </row>
    <row r="144" spans="1:26" x14ac:dyDescent="0.2">
      <c r="A144" t="s">
        <v>12</v>
      </c>
      <c r="B144">
        <v>2022</v>
      </c>
      <c r="C144" t="str">
        <f t="shared" si="2"/>
        <v>BBC2022</v>
      </c>
      <c r="D144">
        <v>5.6344172800544853E-14</v>
      </c>
      <c r="E144">
        <v>0.14150491837598089</v>
      </c>
      <c r="F144">
        <v>0.80845699376711244</v>
      </c>
      <c r="G144">
        <v>28.24641093558548</v>
      </c>
      <c r="H144">
        <v>1.11146906992223</v>
      </c>
      <c r="I144">
        <v>0.26321992081267992</v>
      </c>
      <c r="J144">
        <v>0.12859696974166759</v>
      </c>
      <c r="K144">
        <v>-3.4567100006633572E-2</v>
      </c>
      <c r="L144">
        <v>0.39086947495768237</v>
      </c>
      <c r="M144">
        <v>14</v>
      </c>
      <c r="N144">
        <v>1</v>
      </c>
      <c r="O144">
        <v>0</v>
      </c>
      <c r="P144">
        <v>0.98299999999999998</v>
      </c>
      <c r="Q144">
        <v>1E-4</v>
      </c>
      <c r="R144">
        <v>0</v>
      </c>
      <c r="S144">
        <v>0</v>
      </c>
      <c r="T144">
        <v>0.98299999999999998</v>
      </c>
      <c r="U144">
        <v>5</v>
      </c>
      <c r="V144">
        <v>0</v>
      </c>
      <c r="W144">
        <v>0.2</v>
      </c>
      <c r="X144">
        <v>0</v>
      </c>
      <c r="Y144">
        <v>0.51</v>
      </c>
      <c r="Z144">
        <v>1</v>
      </c>
    </row>
    <row r="145" spans="1:26" x14ac:dyDescent="0.2">
      <c r="A145" t="s">
        <v>12</v>
      </c>
      <c r="B145">
        <v>2023</v>
      </c>
      <c r="C145" t="str">
        <f t="shared" si="2"/>
        <v>BBC2023</v>
      </c>
      <c r="D145">
        <v>-5548532978170.8389</v>
      </c>
      <c r="E145">
        <v>5.5716590695304803E-2</v>
      </c>
      <c r="F145">
        <v>0.25855891398213438</v>
      </c>
      <c r="G145">
        <v>28.475940740852199</v>
      </c>
      <c r="H145">
        <v>1.470450875449298</v>
      </c>
      <c r="I145">
        <v>0.25855891398213438</v>
      </c>
      <c r="J145">
        <v>0.25800836193928461</v>
      </c>
      <c r="K145">
        <v>5.8379006062115692E-2</v>
      </c>
      <c r="L145">
        <v>0.28342312557215288</v>
      </c>
      <c r="M145">
        <v>15</v>
      </c>
      <c r="N145">
        <v>0</v>
      </c>
      <c r="O145">
        <v>0</v>
      </c>
      <c r="P145">
        <v>0.98299999999999998</v>
      </c>
      <c r="Q145">
        <v>1E-4</v>
      </c>
      <c r="R145">
        <v>0</v>
      </c>
      <c r="S145">
        <v>0</v>
      </c>
      <c r="T145">
        <v>0.98299999999999998</v>
      </c>
      <c r="U145">
        <v>5</v>
      </c>
      <c r="V145">
        <v>0</v>
      </c>
      <c r="W145">
        <v>0.2</v>
      </c>
      <c r="X145">
        <v>0</v>
      </c>
      <c r="Y145">
        <v>0.51</v>
      </c>
      <c r="Z145">
        <v>1</v>
      </c>
    </row>
    <row r="146" spans="1:26" x14ac:dyDescent="0.2">
      <c r="A146" t="s">
        <v>13</v>
      </c>
      <c r="B146">
        <v>2012</v>
      </c>
      <c r="C146" t="str">
        <f t="shared" si="2"/>
        <v>BBS2012</v>
      </c>
      <c r="D146">
        <v>2.6935647665353062E-13</v>
      </c>
      <c r="E146">
        <v>0.1149037973078282</v>
      </c>
      <c r="F146">
        <v>0.74757743306909807</v>
      </c>
      <c r="G146">
        <v>25.907530518841561</v>
      </c>
      <c r="H146">
        <v>1.740304907067465</v>
      </c>
      <c r="I146">
        <v>0.58169737948340905</v>
      </c>
      <c r="J146">
        <v>0.194003650758614</v>
      </c>
      <c r="K146">
        <v>-6.59718841411292E-2</v>
      </c>
      <c r="L146">
        <v>0.15166162762176449</v>
      </c>
      <c r="M146">
        <v>9</v>
      </c>
      <c r="N146">
        <v>0</v>
      </c>
      <c r="O146">
        <v>0</v>
      </c>
      <c r="P146">
        <v>0.55620000000000003</v>
      </c>
      <c r="Q146">
        <v>3.5200000000000002E-2</v>
      </c>
      <c r="R146">
        <v>0</v>
      </c>
      <c r="S146">
        <v>0.55620000000000003</v>
      </c>
      <c r="T146">
        <v>0.55620000000000003</v>
      </c>
      <c r="U146">
        <v>5</v>
      </c>
      <c r="V146">
        <v>1</v>
      </c>
      <c r="W146">
        <v>0</v>
      </c>
      <c r="X146">
        <v>0</v>
      </c>
      <c r="Y146">
        <v>0.45400000000000001</v>
      </c>
      <c r="Z146">
        <v>1</v>
      </c>
    </row>
    <row r="147" spans="1:26" x14ac:dyDescent="0.2">
      <c r="A147" t="s">
        <v>13</v>
      </c>
      <c r="B147">
        <v>2013</v>
      </c>
      <c r="C147" t="str">
        <f t="shared" si="2"/>
        <v>BBS2013</v>
      </c>
      <c r="D147">
        <v>1.681416288355886E-13</v>
      </c>
      <c r="E147">
        <v>0.1034574509295673</v>
      </c>
      <c r="F147">
        <v>0.88625799752435053</v>
      </c>
      <c r="G147">
        <v>26.104344083939221</v>
      </c>
      <c r="H147">
        <v>1.44432264904311</v>
      </c>
      <c r="I147">
        <v>0.64690947317664116</v>
      </c>
      <c r="J147">
        <v>0.21751703187645249</v>
      </c>
      <c r="K147">
        <v>1.2582660000023541E-3</v>
      </c>
      <c r="L147">
        <v>0.18102005456645631</v>
      </c>
      <c r="M147">
        <v>10</v>
      </c>
      <c r="N147">
        <v>0</v>
      </c>
      <c r="O147">
        <v>0</v>
      </c>
      <c r="P147">
        <v>0.55620000000000003</v>
      </c>
      <c r="Q147">
        <v>3.5999999999999997E-2</v>
      </c>
      <c r="R147">
        <v>0</v>
      </c>
      <c r="S147">
        <v>0.55620000000000003</v>
      </c>
      <c r="T147">
        <v>0.55620000000000003</v>
      </c>
      <c r="U147">
        <v>5</v>
      </c>
      <c r="V147">
        <v>0</v>
      </c>
      <c r="W147">
        <v>0</v>
      </c>
      <c r="X147">
        <v>0</v>
      </c>
      <c r="Y147">
        <v>0.43830000000000002</v>
      </c>
      <c r="Z147">
        <v>1</v>
      </c>
    </row>
    <row r="148" spans="1:26" x14ac:dyDescent="0.2">
      <c r="A148" t="s">
        <v>13</v>
      </c>
      <c r="B148">
        <v>2014</v>
      </c>
      <c r="C148" t="str">
        <f t="shared" si="2"/>
        <v>BBS2014</v>
      </c>
      <c r="D148">
        <v>1.8449720021667631E-13</v>
      </c>
      <c r="E148">
        <v>0.103351539655007</v>
      </c>
      <c r="F148">
        <v>0.92843504413341238</v>
      </c>
      <c r="G148">
        <v>26.08300997535661</v>
      </c>
      <c r="H148">
        <v>1.3724562637631099</v>
      </c>
      <c r="I148">
        <v>0.62035285965050913</v>
      </c>
      <c r="J148">
        <v>-2.11081462425502E-2</v>
      </c>
      <c r="K148">
        <v>0.16537211375913469</v>
      </c>
      <c r="L148">
        <v>0.2743901032838898</v>
      </c>
      <c r="M148">
        <v>11</v>
      </c>
      <c r="N148">
        <v>0</v>
      </c>
      <c r="O148">
        <v>0</v>
      </c>
      <c r="P148">
        <v>0.52969999999999995</v>
      </c>
      <c r="Q148">
        <v>3.9699999999999999E-2</v>
      </c>
      <c r="R148">
        <v>0</v>
      </c>
      <c r="S148">
        <v>0.52969999999999995</v>
      </c>
      <c r="T148">
        <v>0.52969999999999995</v>
      </c>
      <c r="U148">
        <v>4</v>
      </c>
      <c r="V148">
        <v>0</v>
      </c>
      <c r="W148">
        <v>0</v>
      </c>
      <c r="X148">
        <v>0</v>
      </c>
      <c r="Y148">
        <v>0.41830000000000001</v>
      </c>
      <c r="Z148">
        <v>1</v>
      </c>
    </row>
    <row r="149" spans="1:26" x14ac:dyDescent="0.2">
      <c r="A149" t="s">
        <v>13</v>
      </c>
      <c r="B149">
        <v>2015</v>
      </c>
      <c r="C149" t="str">
        <f t="shared" si="2"/>
        <v>BBS2015</v>
      </c>
      <c r="D149">
        <v>1.6566505435688449E-13</v>
      </c>
      <c r="E149">
        <v>0.10073541377941971</v>
      </c>
      <c r="F149">
        <v>0.92997083008975567</v>
      </c>
      <c r="G149">
        <v>26.137378088782349</v>
      </c>
      <c r="H149">
        <v>1.3166585017309551</v>
      </c>
      <c r="I149">
        <v>0.63070977851219856</v>
      </c>
      <c r="J149">
        <v>5.5873211729599692E-2</v>
      </c>
      <c r="K149">
        <v>-1.237711200311733E-5</v>
      </c>
      <c r="L149">
        <v>0.2473913437780951</v>
      </c>
      <c r="M149">
        <v>12</v>
      </c>
      <c r="N149">
        <v>0</v>
      </c>
      <c r="O149">
        <v>0</v>
      </c>
      <c r="P149">
        <v>0.4899</v>
      </c>
      <c r="Q149">
        <v>3.9699999999999999E-2</v>
      </c>
      <c r="R149">
        <v>0</v>
      </c>
      <c r="S149">
        <v>0.4899</v>
      </c>
      <c r="T149">
        <v>0.4899</v>
      </c>
      <c r="U149">
        <v>5</v>
      </c>
      <c r="V149">
        <v>0</v>
      </c>
      <c r="W149">
        <v>0</v>
      </c>
      <c r="X149">
        <v>0</v>
      </c>
      <c r="Y149">
        <v>0.42830000000000001</v>
      </c>
      <c r="Z149">
        <v>1</v>
      </c>
    </row>
    <row r="150" spans="1:26" x14ac:dyDescent="0.2">
      <c r="A150" t="s">
        <v>13</v>
      </c>
      <c r="B150">
        <v>2016</v>
      </c>
      <c r="C150" t="str">
        <f t="shared" si="2"/>
        <v>BBS2016</v>
      </c>
      <c r="D150">
        <v>1.267939216468512E-13</v>
      </c>
      <c r="E150">
        <v>8.138628065972256E-2</v>
      </c>
      <c r="F150">
        <v>0.90514263294947506</v>
      </c>
      <c r="G150">
        <v>26.28901237039176</v>
      </c>
      <c r="H150">
        <v>1.23630193736075</v>
      </c>
      <c r="I150">
        <v>0.592882060453503</v>
      </c>
      <c r="J150">
        <v>0.1637345594677517</v>
      </c>
      <c r="K150">
        <v>2.0493439216350891E-2</v>
      </c>
      <c r="L150">
        <v>0.23612951117132441</v>
      </c>
      <c r="M150">
        <v>13</v>
      </c>
      <c r="N150">
        <v>0</v>
      </c>
      <c r="O150">
        <v>0</v>
      </c>
      <c r="P150">
        <v>0.34289999999999998</v>
      </c>
      <c r="Q150">
        <v>0.16589999999999999</v>
      </c>
      <c r="R150">
        <v>0</v>
      </c>
      <c r="S150">
        <v>0.34289999999999998</v>
      </c>
      <c r="T150">
        <v>0.34289999999999998</v>
      </c>
      <c r="U150">
        <v>5</v>
      </c>
      <c r="V150">
        <v>0</v>
      </c>
      <c r="W150">
        <v>0</v>
      </c>
      <c r="X150">
        <v>0</v>
      </c>
      <c r="Y150">
        <v>0.46</v>
      </c>
      <c r="Z150">
        <v>1</v>
      </c>
    </row>
    <row r="151" spans="1:26" x14ac:dyDescent="0.2">
      <c r="A151" t="s">
        <v>13</v>
      </c>
      <c r="B151">
        <v>2017</v>
      </c>
      <c r="C151" t="str">
        <f t="shared" si="2"/>
        <v>BBS2017</v>
      </c>
      <c r="D151">
        <v>2.9739043938150127E-14</v>
      </c>
      <c r="E151">
        <v>3.8262242544889129E-2</v>
      </c>
      <c r="F151">
        <v>0.92391814912570835</v>
      </c>
      <c r="G151">
        <v>26.622168034492471</v>
      </c>
      <c r="H151">
        <v>1.259396077573627</v>
      </c>
      <c r="I151">
        <v>0.7165886388696584</v>
      </c>
      <c r="J151">
        <v>0.39536448972338678</v>
      </c>
      <c r="K151">
        <v>0.1439592191790654</v>
      </c>
      <c r="L151">
        <v>0.51821855838462094</v>
      </c>
      <c r="M151">
        <v>14</v>
      </c>
      <c r="N151">
        <v>0</v>
      </c>
      <c r="O151">
        <v>0</v>
      </c>
      <c r="P151">
        <v>0.49950000000000011</v>
      </c>
      <c r="Q151">
        <v>0.27850000000000003</v>
      </c>
      <c r="R151">
        <v>0</v>
      </c>
      <c r="S151">
        <v>0.34289999999999998</v>
      </c>
      <c r="T151">
        <v>0.34289999999999998</v>
      </c>
      <c r="U151">
        <v>5</v>
      </c>
      <c r="V151">
        <v>0</v>
      </c>
      <c r="W151">
        <v>0</v>
      </c>
      <c r="X151">
        <v>0</v>
      </c>
      <c r="Y151">
        <v>0.46800000000000003</v>
      </c>
      <c r="Z151">
        <v>1</v>
      </c>
    </row>
    <row r="152" spans="1:26" x14ac:dyDescent="0.2">
      <c r="A152" t="s">
        <v>13</v>
      </c>
      <c r="B152">
        <v>2018</v>
      </c>
      <c r="C152" t="str">
        <f t="shared" si="2"/>
        <v>BBS2018</v>
      </c>
      <c r="D152">
        <v>2.7178913208589109E-14</v>
      </c>
      <c r="E152">
        <v>4.7597929981676917E-2</v>
      </c>
      <c r="F152">
        <v>0.91978817875671071</v>
      </c>
      <c r="G152">
        <v>26.78199250511085</v>
      </c>
      <c r="H152">
        <v>0.7942822470189036</v>
      </c>
      <c r="I152">
        <v>0.7557044363633908</v>
      </c>
      <c r="J152">
        <v>0.17330490343150989</v>
      </c>
      <c r="K152">
        <v>-2.0461589769659162E-2</v>
      </c>
      <c r="L152">
        <v>0.3968239410056561</v>
      </c>
      <c r="M152">
        <v>15</v>
      </c>
      <c r="N152">
        <v>0</v>
      </c>
      <c r="O152">
        <v>0</v>
      </c>
      <c r="P152">
        <v>0.5927</v>
      </c>
      <c r="Q152">
        <v>0.2515</v>
      </c>
      <c r="R152">
        <v>0</v>
      </c>
      <c r="S152">
        <v>0.34289999999999998</v>
      </c>
      <c r="T152">
        <v>0.34289999999999998</v>
      </c>
      <c r="U152">
        <v>5</v>
      </c>
      <c r="V152">
        <v>0</v>
      </c>
      <c r="W152">
        <v>0</v>
      </c>
      <c r="X152">
        <v>0</v>
      </c>
      <c r="Y152">
        <v>0.46829999999999999</v>
      </c>
      <c r="Z152">
        <v>1</v>
      </c>
    </row>
    <row r="153" spans="1:26" x14ac:dyDescent="0.2">
      <c r="A153" t="s">
        <v>13</v>
      </c>
      <c r="B153">
        <v>2019</v>
      </c>
      <c r="C153" t="str">
        <f t="shared" si="2"/>
        <v>BBS2019</v>
      </c>
      <c r="D153">
        <v>3.0519769476260802E-14</v>
      </c>
      <c r="E153">
        <v>5.3249271967187942E-2</v>
      </c>
      <c r="F153">
        <v>0.91666145223444384</v>
      </c>
      <c r="G153">
        <v>26.783976271109541</v>
      </c>
      <c r="H153">
        <v>0.88443685244970782</v>
      </c>
      <c r="I153">
        <v>0.7543025367649866</v>
      </c>
      <c r="J153">
        <v>1.985734964227603E-3</v>
      </c>
      <c r="K153">
        <v>2.7638838506153771E-2</v>
      </c>
      <c r="L153">
        <v>0.38225375531186062</v>
      </c>
      <c r="M153">
        <v>16</v>
      </c>
      <c r="N153">
        <v>0</v>
      </c>
      <c r="O153">
        <v>1</v>
      </c>
      <c r="P153">
        <v>0.5927</v>
      </c>
      <c r="Q153">
        <v>0.2515</v>
      </c>
      <c r="R153">
        <v>0</v>
      </c>
      <c r="S153">
        <v>0.34289999999999998</v>
      </c>
      <c r="T153">
        <v>0.34289999999999998</v>
      </c>
      <c r="U153">
        <v>5</v>
      </c>
      <c r="V153">
        <v>0</v>
      </c>
      <c r="W153">
        <v>0</v>
      </c>
      <c r="X153">
        <v>0</v>
      </c>
      <c r="Y153">
        <v>0.4783</v>
      </c>
      <c r="Z153">
        <v>1</v>
      </c>
    </row>
    <row r="154" spans="1:26" x14ac:dyDescent="0.2">
      <c r="A154" t="s">
        <v>13</v>
      </c>
      <c r="B154">
        <v>2020</v>
      </c>
      <c r="C154" t="str">
        <f t="shared" si="2"/>
        <v>BBS2020</v>
      </c>
      <c r="D154">
        <v>4.5303265817840663E-14</v>
      </c>
      <c r="E154">
        <v>6.3242426457396458E-2</v>
      </c>
      <c r="F154">
        <v>0.90104942055490211</v>
      </c>
      <c r="G154">
        <v>26.678319107080512</v>
      </c>
      <c r="H154">
        <v>0.90374999000699974</v>
      </c>
      <c r="I154">
        <v>0.72370834950236074</v>
      </c>
      <c r="J154">
        <v>-0.1002669439378827</v>
      </c>
      <c r="K154">
        <v>6.166813111249278E-2</v>
      </c>
      <c r="L154">
        <v>0.37191551395307137</v>
      </c>
      <c r="M154">
        <v>17</v>
      </c>
      <c r="N154">
        <v>0</v>
      </c>
      <c r="O154">
        <v>1</v>
      </c>
      <c r="P154">
        <v>0.5927</v>
      </c>
      <c r="Q154">
        <v>0.25</v>
      </c>
      <c r="R154">
        <v>0</v>
      </c>
      <c r="S154">
        <v>0.34289999999999998</v>
      </c>
      <c r="T154">
        <v>0.34289999999999998</v>
      </c>
      <c r="U154">
        <v>5</v>
      </c>
      <c r="V154">
        <v>0</v>
      </c>
      <c r="W154">
        <v>0</v>
      </c>
      <c r="X154">
        <v>0</v>
      </c>
      <c r="Y154">
        <v>0.46600000000000003</v>
      </c>
      <c r="Z154">
        <v>1</v>
      </c>
    </row>
    <row r="155" spans="1:26" x14ac:dyDescent="0.2">
      <c r="A155" t="s">
        <v>13</v>
      </c>
      <c r="B155">
        <v>2021</v>
      </c>
      <c r="C155" t="str">
        <f t="shared" si="2"/>
        <v>BBS2021</v>
      </c>
      <c r="D155">
        <v>6.5572435469438379E-14</v>
      </c>
      <c r="E155">
        <v>9.2353474785655018E-2</v>
      </c>
      <c r="F155">
        <v>0.91753860282986732</v>
      </c>
      <c r="G155">
        <v>26.701049798510422</v>
      </c>
      <c r="H155">
        <v>0.9272334209775781</v>
      </c>
      <c r="I155">
        <v>0.71985255720318075</v>
      </c>
      <c r="J155">
        <v>2.2991002202577659E-2</v>
      </c>
      <c r="K155">
        <v>8.0693829827231695E-2</v>
      </c>
      <c r="L155">
        <v>0.28745968703284669</v>
      </c>
      <c r="M155">
        <v>18</v>
      </c>
      <c r="N155">
        <v>0</v>
      </c>
      <c r="O155">
        <v>0</v>
      </c>
      <c r="P155">
        <v>0.66590000000000005</v>
      </c>
      <c r="Q155">
        <v>0.3231</v>
      </c>
      <c r="R155">
        <v>0</v>
      </c>
      <c r="S155">
        <v>0.34289999999999998</v>
      </c>
      <c r="T155">
        <v>0.34289999999999998</v>
      </c>
      <c r="U155">
        <v>5</v>
      </c>
      <c r="V155">
        <v>0</v>
      </c>
      <c r="W155">
        <v>0</v>
      </c>
      <c r="X155">
        <v>0</v>
      </c>
      <c r="Y155">
        <v>0.47599999999999998</v>
      </c>
      <c r="Z155">
        <v>1</v>
      </c>
    </row>
    <row r="156" spans="1:26" x14ac:dyDescent="0.2">
      <c r="A156" t="s">
        <v>13</v>
      </c>
      <c r="B156">
        <v>2022</v>
      </c>
      <c r="C156" t="str">
        <f t="shared" si="2"/>
        <v>BBS2022</v>
      </c>
      <c r="D156">
        <v>6.6208242114302427E-14</v>
      </c>
      <c r="E156">
        <v>7.164855625607626E-2</v>
      </c>
      <c r="F156">
        <v>0.86597096466480794</v>
      </c>
      <c r="G156">
        <v>26.562487475788579</v>
      </c>
      <c r="H156">
        <v>0.99969464668984953</v>
      </c>
      <c r="I156">
        <v>0.68257118351422219</v>
      </c>
      <c r="J156">
        <v>-0.12939100914365881</v>
      </c>
      <c r="K156">
        <v>8.1639437550257862E-2</v>
      </c>
      <c r="L156">
        <v>0.32531571773484952</v>
      </c>
      <c r="M156">
        <v>19</v>
      </c>
      <c r="N156">
        <v>0</v>
      </c>
      <c r="O156">
        <v>0</v>
      </c>
      <c r="P156">
        <v>0.74170000000000003</v>
      </c>
      <c r="Q156">
        <v>0.2326</v>
      </c>
      <c r="R156">
        <v>0</v>
      </c>
      <c r="S156">
        <v>0.34289999999999998</v>
      </c>
      <c r="T156">
        <v>0.5091</v>
      </c>
      <c r="U156">
        <v>4</v>
      </c>
      <c r="V156">
        <v>0</v>
      </c>
      <c r="W156">
        <v>0</v>
      </c>
      <c r="X156">
        <v>0</v>
      </c>
      <c r="Y156">
        <v>0.45250000000000001</v>
      </c>
      <c r="Z156">
        <v>1</v>
      </c>
    </row>
    <row r="157" spans="1:26" x14ac:dyDescent="0.2">
      <c r="A157" t="s">
        <v>13</v>
      </c>
      <c r="B157">
        <v>2023</v>
      </c>
      <c r="C157" t="str">
        <f t="shared" si="2"/>
        <v>BBS2023</v>
      </c>
      <c r="D157">
        <v>-67214857412.780083</v>
      </c>
      <c r="E157">
        <v>3.2920271123344072E-2</v>
      </c>
      <c r="F157">
        <v>0.62831100481473157</v>
      </c>
      <c r="G157">
        <v>26.424901826073281</v>
      </c>
      <c r="H157">
        <v>1.000624381965276</v>
      </c>
      <c r="I157">
        <v>0.42587690897131009</v>
      </c>
      <c r="J157">
        <v>-0.12854029347515039</v>
      </c>
      <c r="K157">
        <v>0.14864992905502081</v>
      </c>
      <c r="L157">
        <v>0.27720516233539289</v>
      </c>
      <c r="M157">
        <v>20</v>
      </c>
      <c r="N157">
        <v>0</v>
      </c>
      <c r="O157">
        <v>0</v>
      </c>
      <c r="P157">
        <v>0.74170000000000003</v>
      </c>
      <c r="Q157">
        <v>0.2326</v>
      </c>
      <c r="R157">
        <v>0</v>
      </c>
      <c r="S157">
        <v>0.34289999999999998</v>
      </c>
      <c r="T157">
        <v>0.5091</v>
      </c>
      <c r="U157">
        <v>4</v>
      </c>
      <c r="V157">
        <v>0</v>
      </c>
      <c r="W157">
        <v>0</v>
      </c>
      <c r="X157">
        <v>0</v>
      </c>
      <c r="Y157">
        <v>0.45250000000000001</v>
      </c>
      <c r="Z157">
        <v>1</v>
      </c>
    </row>
    <row r="158" spans="1:26" x14ac:dyDescent="0.2">
      <c r="A158" t="s">
        <v>14</v>
      </c>
      <c r="B158">
        <v>2012</v>
      </c>
      <c r="C158" t="str">
        <f t="shared" si="2"/>
        <v>BCC2012</v>
      </c>
      <c r="D158">
        <v>2.100225706623737E-15</v>
      </c>
      <c r="E158">
        <v>6.0247853668642881E-2</v>
      </c>
      <c r="F158">
        <v>0.87048420610153043</v>
      </c>
      <c r="G158">
        <v>29.376320366059801</v>
      </c>
      <c r="H158">
        <v>0.69670642236615521</v>
      </c>
      <c r="I158">
        <v>0.8003367096710523</v>
      </c>
      <c r="J158">
        <v>-5.3722162730264637E-2</v>
      </c>
      <c r="K158">
        <v>8.0269451491462682E-2</v>
      </c>
      <c r="L158">
        <v>0.77291644930590941</v>
      </c>
      <c r="M158">
        <v>19</v>
      </c>
      <c r="N158">
        <v>1</v>
      </c>
      <c r="O158">
        <v>0</v>
      </c>
      <c r="P158">
        <v>0.73150000000000004</v>
      </c>
      <c r="Q158">
        <v>2.0000000000000001E-4</v>
      </c>
      <c r="R158">
        <v>0</v>
      </c>
      <c r="S158">
        <v>0.73150000000000004</v>
      </c>
      <c r="T158">
        <v>0.73150000000000004</v>
      </c>
      <c r="U158">
        <v>5</v>
      </c>
      <c r="V158">
        <v>0</v>
      </c>
      <c r="W158">
        <v>0</v>
      </c>
      <c r="X158">
        <v>0</v>
      </c>
      <c r="Y158">
        <v>0.50580000000000003</v>
      </c>
      <c r="Z158">
        <v>1</v>
      </c>
    </row>
    <row r="159" spans="1:26" x14ac:dyDescent="0.2">
      <c r="A159" t="s">
        <v>14</v>
      </c>
      <c r="B159">
        <v>2013</v>
      </c>
      <c r="C159" t="str">
        <f t="shared" si="2"/>
        <v>BCC2013</v>
      </c>
      <c r="D159">
        <v>-1.1775931727937679E-15</v>
      </c>
      <c r="E159">
        <v>-3.5033870818731543E-2</v>
      </c>
      <c r="F159">
        <v>0.89568278941480728</v>
      </c>
      <c r="G159">
        <v>29.386268713026219</v>
      </c>
      <c r="H159">
        <v>0.64282310952329125</v>
      </c>
      <c r="I159">
        <v>0.80142500466864075</v>
      </c>
      <c r="J159">
        <v>1.0143040061914471E-2</v>
      </c>
      <c r="K159">
        <v>8.3541087600609312E-2</v>
      </c>
      <c r="L159">
        <v>0.77746619814603013</v>
      </c>
      <c r="M159">
        <v>20</v>
      </c>
      <c r="N159">
        <v>1</v>
      </c>
      <c r="O159">
        <v>0</v>
      </c>
      <c r="P159">
        <v>0.73150000000000004</v>
      </c>
      <c r="Q159">
        <v>2.0000000000000001E-4</v>
      </c>
      <c r="R159">
        <v>0</v>
      </c>
      <c r="S159">
        <v>0.73150000000000004</v>
      </c>
      <c r="T159">
        <v>0.73150000000000004</v>
      </c>
      <c r="U159">
        <v>5</v>
      </c>
      <c r="V159">
        <v>0</v>
      </c>
      <c r="W159">
        <v>0</v>
      </c>
      <c r="X159">
        <v>0</v>
      </c>
      <c r="Y159">
        <v>0.51580000000000004</v>
      </c>
      <c r="Z159">
        <v>1</v>
      </c>
    </row>
    <row r="160" spans="1:26" x14ac:dyDescent="0.2">
      <c r="A160" t="s">
        <v>14</v>
      </c>
      <c r="B160">
        <v>2014</v>
      </c>
      <c r="C160" t="str">
        <f t="shared" si="2"/>
        <v>BCC2014</v>
      </c>
      <c r="D160">
        <v>5.1499747487063922E-15</v>
      </c>
      <c r="E160">
        <v>0.11212975115533221</v>
      </c>
      <c r="F160">
        <v>0.9918463505827424</v>
      </c>
      <c r="G160">
        <v>29.356124757624681</v>
      </c>
      <c r="H160">
        <v>0.4751707233757958</v>
      </c>
      <c r="I160">
        <v>0.73791285274383844</v>
      </c>
      <c r="J160">
        <v>-2.983348094011018E-2</v>
      </c>
      <c r="K160">
        <v>9.775784146364061E-2</v>
      </c>
      <c r="L160">
        <v>0.75637631977583841</v>
      </c>
      <c r="M160">
        <v>21</v>
      </c>
      <c r="N160">
        <v>1</v>
      </c>
      <c r="O160">
        <v>0</v>
      </c>
      <c r="P160">
        <v>0.73140000000000005</v>
      </c>
      <c r="Q160">
        <v>2.0000000000000001E-4</v>
      </c>
      <c r="R160">
        <v>0</v>
      </c>
      <c r="S160">
        <v>0.73140000000000005</v>
      </c>
      <c r="T160">
        <v>0.73140000000000005</v>
      </c>
      <c r="U160">
        <v>5</v>
      </c>
      <c r="V160">
        <v>0</v>
      </c>
      <c r="W160">
        <v>0</v>
      </c>
      <c r="X160">
        <v>0</v>
      </c>
      <c r="Y160">
        <v>0.52579999999999993</v>
      </c>
      <c r="Z160">
        <v>1</v>
      </c>
    </row>
    <row r="161" spans="1:26" x14ac:dyDescent="0.2">
      <c r="A161" t="s">
        <v>14</v>
      </c>
      <c r="B161">
        <v>2015</v>
      </c>
      <c r="C161" t="str">
        <f t="shared" si="2"/>
        <v>BCC2015</v>
      </c>
      <c r="D161">
        <v>1.009133657968737E-14</v>
      </c>
      <c r="E161">
        <v>0.15599913356172729</v>
      </c>
      <c r="F161">
        <v>0.91806273479555511</v>
      </c>
      <c r="G161">
        <v>29.26606054750556</v>
      </c>
      <c r="H161">
        <v>0.46831858044147051</v>
      </c>
      <c r="I161">
        <v>0.66817041173318115</v>
      </c>
      <c r="J161">
        <v>-8.4510340202014422E-2</v>
      </c>
      <c r="K161">
        <v>0.13960573404535701</v>
      </c>
      <c r="L161">
        <v>0.76948469005018194</v>
      </c>
      <c r="M161">
        <v>22</v>
      </c>
      <c r="N161">
        <v>1</v>
      </c>
      <c r="O161">
        <v>0</v>
      </c>
      <c r="P161">
        <v>0.73140000000000005</v>
      </c>
      <c r="Q161">
        <v>1E-4</v>
      </c>
      <c r="R161">
        <v>0</v>
      </c>
      <c r="S161">
        <v>0.73140000000000005</v>
      </c>
      <c r="T161">
        <v>0.73140000000000005</v>
      </c>
      <c r="U161">
        <v>5</v>
      </c>
      <c r="V161">
        <v>0</v>
      </c>
      <c r="W161">
        <v>0</v>
      </c>
      <c r="X161">
        <v>0</v>
      </c>
      <c r="Y161">
        <v>0.49730000000000002</v>
      </c>
      <c r="Z161">
        <v>1</v>
      </c>
    </row>
    <row r="162" spans="1:26" x14ac:dyDescent="0.2">
      <c r="A162" t="s">
        <v>14</v>
      </c>
      <c r="B162">
        <v>2016</v>
      </c>
      <c r="C162" t="str">
        <f t="shared" si="2"/>
        <v>BCC2016</v>
      </c>
      <c r="D162">
        <v>9.4453797714689463E-15</v>
      </c>
      <c r="E162">
        <v>0.14549175650367879</v>
      </c>
      <c r="F162">
        <v>0.98751110540559128</v>
      </c>
      <c r="G162">
        <v>29.267828548097999</v>
      </c>
      <c r="H162">
        <v>0.4134952990419159</v>
      </c>
      <c r="I162">
        <v>0.66639121924247624</v>
      </c>
      <c r="J162">
        <v>-7.7336052576501224E-2</v>
      </c>
      <c r="K162">
        <v>0.16701714095275799</v>
      </c>
      <c r="L162">
        <v>0.77943578412943715</v>
      </c>
      <c r="M162">
        <v>23</v>
      </c>
      <c r="N162">
        <v>1</v>
      </c>
      <c r="O162">
        <v>0</v>
      </c>
      <c r="P162">
        <v>0.73140000000000005</v>
      </c>
      <c r="Q162">
        <v>1E-4</v>
      </c>
      <c r="R162">
        <v>0</v>
      </c>
      <c r="S162">
        <v>0.73140000000000005</v>
      </c>
      <c r="T162">
        <v>0.73140000000000005</v>
      </c>
      <c r="U162">
        <v>5</v>
      </c>
      <c r="V162">
        <v>0</v>
      </c>
      <c r="W162">
        <v>0</v>
      </c>
      <c r="X162">
        <v>0</v>
      </c>
      <c r="Y162">
        <v>0.51450000000000007</v>
      </c>
      <c r="Z162">
        <v>1</v>
      </c>
    </row>
    <row r="163" spans="1:26" x14ac:dyDescent="0.2">
      <c r="A163" t="s">
        <v>14</v>
      </c>
      <c r="B163">
        <v>2017</v>
      </c>
      <c r="C163" t="str">
        <f t="shared" si="2"/>
        <v>BCC2017</v>
      </c>
      <c r="D163">
        <v>-1.48611002804657E-16</v>
      </c>
      <c r="E163">
        <v>-1.9325425524278721E-3</v>
      </c>
      <c r="F163">
        <v>0.80052513216977095</v>
      </c>
      <c r="G163">
        <v>29.207983058958011</v>
      </c>
      <c r="H163">
        <v>0.35818398282317221</v>
      </c>
      <c r="I163">
        <v>0.62779022930193107</v>
      </c>
      <c r="J163">
        <v>2.085928501350676E-2</v>
      </c>
      <c r="K163">
        <v>4.8544247476464318E-2</v>
      </c>
      <c r="L163">
        <v>0.74373225809435839</v>
      </c>
      <c r="M163">
        <v>24</v>
      </c>
      <c r="N163">
        <v>1</v>
      </c>
      <c r="O163">
        <v>0</v>
      </c>
      <c r="P163">
        <v>0.73140000000000005</v>
      </c>
      <c r="Q163">
        <v>2.9999999999999997E-4</v>
      </c>
      <c r="R163">
        <v>0</v>
      </c>
      <c r="S163">
        <v>0.73140000000000005</v>
      </c>
      <c r="T163">
        <v>0.73140000000000005</v>
      </c>
      <c r="U163">
        <v>4</v>
      </c>
      <c r="V163">
        <v>0</v>
      </c>
      <c r="W163">
        <v>0</v>
      </c>
      <c r="X163">
        <v>0</v>
      </c>
      <c r="Y163">
        <v>0.52100000000000002</v>
      </c>
      <c r="Z163">
        <v>1</v>
      </c>
    </row>
    <row r="164" spans="1:26" x14ac:dyDescent="0.2">
      <c r="A164" t="s">
        <v>14</v>
      </c>
      <c r="B164">
        <v>2018</v>
      </c>
      <c r="C164" t="str">
        <f t="shared" si="2"/>
        <v>BCC2018</v>
      </c>
      <c r="D164">
        <v>4.7590695473785958E-15</v>
      </c>
      <c r="E164">
        <v>5.2385437621362482E-2</v>
      </c>
      <c r="F164">
        <v>0.74364994294972597</v>
      </c>
      <c r="G164">
        <v>29.14641578545805</v>
      </c>
      <c r="H164">
        <v>0.44305854066204542</v>
      </c>
      <c r="I164">
        <v>0.58653474691744256</v>
      </c>
      <c r="J164">
        <v>-5.5595815765338667E-2</v>
      </c>
      <c r="K164">
        <v>9.8504014948165353E-2</v>
      </c>
      <c r="L164">
        <v>0.74987778531306948</v>
      </c>
      <c r="M164">
        <v>25</v>
      </c>
      <c r="N164">
        <v>1</v>
      </c>
      <c r="O164">
        <v>0</v>
      </c>
      <c r="P164">
        <v>0.73140000000000005</v>
      </c>
      <c r="Q164">
        <v>2.9999999999999997E-4</v>
      </c>
      <c r="R164">
        <v>0</v>
      </c>
      <c r="S164">
        <v>0.73140000000000005</v>
      </c>
      <c r="T164">
        <v>0.73140000000000005</v>
      </c>
      <c r="U164">
        <v>5</v>
      </c>
      <c r="V164">
        <v>0</v>
      </c>
      <c r="W164">
        <v>0</v>
      </c>
      <c r="X164">
        <v>0</v>
      </c>
      <c r="Y164">
        <v>0.47560000000000002</v>
      </c>
      <c r="Z164">
        <v>1</v>
      </c>
    </row>
    <row r="165" spans="1:26" x14ac:dyDescent="0.2">
      <c r="A165" t="s">
        <v>14</v>
      </c>
      <c r="B165">
        <v>2019</v>
      </c>
      <c r="C165" t="str">
        <f t="shared" si="2"/>
        <v>BCC2019</v>
      </c>
      <c r="D165">
        <v>5.9799510418892827E-15</v>
      </c>
      <c r="E165">
        <v>6.1395395784858531E-2</v>
      </c>
      <c r="F165">
        <v>0.72998790079252696</v>
      </c>
      <c r="G165">
        <v>29.143712595548418</v>
      </c>
      <c r="H165">
        <v>0.39476537657002642</v>
      </c>
      <c r="I165">
        <v>0.55790521957877082</v>
      </c>
      <c r="J165">
        <v>-7.0444906330554558E-3</v>
      </c>
      <c r="K165">
        <v>0.1146259926278152</v>
      </c>
      <c r="L165">
        <v>0.82777618544779863</v>
      </c>
      <c r="M165">
        <v>26</v>
      </c>
      <c r="N165">
        <v>1</v>
      </c>
      <c r="O165">
        <v>1</v>
      </c>
      <c r="P165">
        <v>0.73150000000000004</v>
      </c>
      <c r="Q165">
        <v>5.9999999999999995E-4</v>
      </c>
      <c r="R165">
        <v>0</v>
      </c>
      <c r="S165">
        <v>0.73150000000000004</v>
      </c>
      <c r="T165">
        <v>0.73150000000000004</v>
      </c>
      <c r="U165">
        <v>5</v>
      </c>
      <c r="V165">
        <v>0</v>
      </c>
      <c r="W165">
        <v>0</v>
      </c>
      <c r="X165">
        <v>0</v>
      </c>
      <c r="Y165">
        <v>0.47599999999999998</v>
      </c>
      <c r="Z165">
        <v>1</v>
      </c>
    </row>
    <row r="166" spans="1:26" x14ac:dyDescent="0.2">
      <c r="A166" t="s">
        <v>14</v>
      </c>
      <c r="B166">
        <v>2020</v>
      </c>
      <c r="C166" t="str">
        <f t="shared" si="2"/>
        <v>BCC2020</v>
      </c>
      <c r="D166">
        <v>8.506290823246723E-15</v>
      </c>
      <c r="E166">
        <v>6.8506285606742393E-2</v>
      </c>
      <c r="F166">
        <v>0.77399878529044885</v>
      </c>
      <c r="G166">
        <v>29.04877662106783</v>
      </c>
      <c r="H166">
        <v>0.25263447962090579</v>
      </c>
      <c r="I166">
        <v>0.48745358693360957</v>
      </c>
      <c r="J166">
        <v>-9.0568840593380884E-2</v>
      </c>
      <c r="K166">
        <v>0.10606281665802531</v>
      </c>
      <c r="L166">
        <v>0.84182946411391635</v>
      </c>
      <c r="M166">
        <v>27</v>
      </c>
      <c r="N166">
        <v>1</v>
      </c>
      <c r="O166">
        <v>1</v>
      </c>
      <c r="P166">
        <v>0.73150000000000004</v>
      </c>
      <c r="Q166">
        <v>5.9999999999999995E-4</v>
      </c>
      <c r="R166">
        <v>0</v>
      </c>
      <c r="S166">
        <v>0.73150000000000004</v>
      </c>
      <c r="T166">
        <v>0.73150000000000004</v>
      </c>
      <c r="U166">
        <v>5</v>
      </c>
      <c r="V166">
        <v>0</v>
      </c>
      <c r="W166">
        <v>0</v>
      </c>
      <c r="X166">
        <v>0</v>
      </c>
      <c r="Y166">
        <v>0.49299999999999999</v>
      </c>
      <c r="Z166">
        <v>1</v>
      </c>
    </row>
    <row r="167" spans="1:26" x14ac:dyDescent="0.2">
      <c r="A167" t="s">
        <v>14</v>
      </c>
      <c r="B167">
        <v>2021</v>
      </c>
      <c r="C167" t="str">
        <f t="shared" si="2"/>
        <v>BCC2021</v>
      </c>
      <c r="D167">
        <v>5.0561447081835327E-15</v>
      </c>
      <c r="E167">
        <v>3.6062605964574078E-2</v>
      </c>
      <c r="F167">
        <v>1.1583171744387399</v>
      </c>
      <c r="G167">
        <v>28.99903603995385</v>
      </c>
      <c r="H167">
        <v>0.27201256781762301</v>
      </c>
      <c r="I167">
        <v>0.4493397582062667</v>
      </c>
      <c r="J167">
        <v>-6.0915771409164488E-2</v>
      </c>
      <c r="K167">
        <v>0.1090316032285344</v>
      </c>
      <c r="L167">
        <v>0.83158994531128261</v>
      </c>
      <c r="M167">
        <v>28</v>
      </c>
      <c r="N167">
        <v>1</v>
      </c>
      <c r="O167">
        <v>0</v>
      </c>
      <c r="P167">
        <v>0.73150000000000004</v>
      </c>
      <c r="Q167">
        <v>0.73180000000000012</v>
      </c>
      <c r="R167">
        <v>0</v>
      </c>
      <c r="S167">
        <v>0.73150000000000004</v>
      </c>
      <c r="T167">
        <v>0.73150000000000004</v>
      </c>
      <c r="U167">
        <v>7</v>
      </c>
      <c r="V167">
        <v>0</v>
      </c>
      <c r="W167">
        <v>0.14285714285714279</v>
      </c>
      <c r="X167">
        <v>0</v>
      </c>
      <c r="Y167">
        <v>0.47539999999999999</v>
      </c>
      <c r="Z167">
        <v>1</v>
      </c>
    </row>
    <row r="168" spans="1:26" x14ac:dyDescent="0.2">
      <c r="A168" t="s">
        <v>14</v>
      </c>
      <c r="B168">
        <v>2022</v>
      </c>
      <c r="C168" t="str">
        <f t="shared" si="2"/>
        <v>BCC2022</v>
      </c>
      <c r="D168">
        <v>3.7572788341670177E-15</v>
      </c>
      <c r="E168">
        <v>2.9743458189693199E-2</v>
      </c>
      <c r="F168">
        <v>0.72864797331304132</v>
      </c>
      <c r="G168">
        <v>29.041809097242361</v>
      </c>
      <c r="H168">
        <v>0.31669222201351971</v>
      </c>
      <c r="I168">
        <v>0.48217930880234572</v>
      </c>
      <c r="J168">
        <v>5.7473507549140157E-2</v>
      </c>
      <c r="K168">
        <v>4.3459631624382933E-2</v>
      </c>
      <c r="L168">
        <v>0.769660570882016</v>
      </c>
      <c r="M168">
        <v>29</v>
      </c>
      <c r="N168">
        <v>1</v>
      </c>
      <c r="O168">
        <v>0</v>
      </c>
      <c r="P168">
        <v>0.73150000000000004</v>
      </c>
      <c r="Q168">
        <v>2.9999999999999997E-4</v>
      </c>
      <c r="R168">
        <v>0</v>
      </c>
      <c r="S168">
        <v>0.73150000000000004</v>
      </c>
      <c r="T168">
        <v>0.73150000000000004</v>
      </c>
      <c r="U168">
        <v>7</v>
      </c>
      <c r="V168">
        <v>0</v>
      </c>
      <c r="W168">
        <v>0.14285714285714279</v>
      </c>
      <c r="X168">
        <v>0</v>
      </c>
      <c r="Y168">
        <v>0.4854</v>
      </c>
      <c r="Z168">
        <v>1</v>
      </c>
    </row>
    <row r="169" spans="1:26" x14ac:dyDescent="0.2">
      <c r="A169" t="s">
        <v>14</v>
      </c>
      <c r="B169">
        <v>2023</v>
      </c>
      <c r="C169" t="str">
        <f t="shared" si="2"/>
        <v>BCC2023</v>
      </c>
      <c r="D169">
        <v>-1600325051512.1721</v>
      </c>
      <c r="E169">
        <v>-8.2576623481403447E-2</v>
      </c>
      <c r="F169">
        <v>0.53658160775869534</v>
      </c>
      <c r="G169">
        <v>28.927585893099401</v>
      </c>
      <c r="H169">
        <v>0.42387906701553651</v>
      </c>
      <c r="I169">
        <v>0.22659552638726321</v>
      </c>
      <c r="J169">
        <v>-0.1079411775653961</v>
      </c>
      <c r="K169">
        <v>7.8412875152632441E-3</v>
      </c>
      <c r="L169">
        <v>0.79583113678611517</v>
      </c>
      <c r="M169">
        <v>30</v>
      </c>
      <c r="N169">
        <v>0</v>
      </c>
      <c r="O169">
        <v>0</v>
      </c>
      <c r="P169">
        <v>0.73150000000000004</v>
      </c>
      <c r="Q169">
        <v>2.9999999999999997E-4</v>
      </c>
      <c r="R169">
        <v>0</v>
      </c>
      <c r="S169">
        <v>0.73150000000000004</v>
      </c>
      <c r="T169">
        <v>0.73150000000000004</v>
      </c>
      <c r="U169">
        <v>7</v>
      </c>
      <c r="V169">
        <v>0</v>
      </c>
      <c r="W169">
        <v>0.14285714285714279</v>
      </c>
      <c r="X169">
        <v>0</v>
      </c>
      <c r="Y169">
        <v>0.4854</v>
      </c>
      <c r="Z169">
        <v>1</v>
      </c>
    </row>
    <row r="170" spans="1:26" x14ac:dyDescent="0.2">
      <c r="A170" t="s">
        <v>15</v>
      </c>
      <c r="B170">
        <v>2015</v>
      </c>
      <c r="C170" t="str">
        <f t="shared" si="2"/>
        <v>BCF2015</v>
      </c>
      <c r="D170">
        <v>8.1450141394171322E-13</v>
      </c>
      <c r="E170">
        <v>0.34050551322614048</v>
      </c>
      <c r="F170">
        <v>2.347100781227871</v>
      </c>
      <c r="G170">
        <v>26.134159647541601</v>
      </c>
      <c r="H170" t="e">
        <v>#N/A</v>
      </c>
      <c r="I170">
        <v>0.46458686835408702</v>
      </c>
      <c r="J170">
        <v>0</v>
      </c>
      <c r="K170">
        <v>0.18347915661219091</v>
      </c>
      <c r="L170">
        <v>0.43313793385388127</v>
      </c>
      <c r="M170">
        <v>15</v>
      </c>
      <c r="N170">
        <v>0</v>
      </c>
      <c r="O170">
        <v>0</v>
      </c>
      <c r="P170">
        <v>0.55000000000000004</v>
      </c>
      <c r="Q170">
        <v>0.39560000000000001</v>
      </c>
      <c r="R170">
        <v>0</v>
      </c>
      <c r="S170">
        <v>0</v>
      </c>
      <c r="T170">
        <v>0</v>
      </c>
      <c r="U170">
        <v>5</v>
      </c>
      <c r="V170">
        <v>1</v>
      </c>
      <c r="W170">
        <v>0</v>
      </c>
      <c r="X170">
        <v>0</v>
      </c>
      <c r="Y170">
        <v>0.52249999999999996</v>
      </c>
      <c r="Z170">
        <v>0.6</v>
      </c>
    </row>
    <row r="171" spans="1:26" x14ac:dyDescent="0.2">
      <c r="A171" t="s">
        <v>15</v>
      </c>
      <c r="B171">
        <v>2016</v>
      </c>
      <c r="C171" t="str">
        <f t="shared" si="2"/>
        <v>BCF2016</v>
      </c>
      <c r="D171">
        <v>6.6835542014836142E-13</v>
      </c>
      <c r="E171">
        <v>0.29363406594958802</v>
      </c>
      <c r="F171">
        <v>2.6022204313613351</v>
      </c>
      <c r="G171">
        <v>26.287102701388879</v>
      </c>
      <c r="H171">
        <v>1.2179304803755571</v>
      </c>
      <c r="I171">
        <v>0.40633057307213549</v>
      </c>
      <c r="J171">
        <v>0.16525862005797529</v>
      </c>
      <c r="K171">
        <v>0.135105571957536</v>
      </c>
      <c r="L171">
        <v>0.38065010735529481</v>
      </c>
      <c r="M171">
        <v>16</v>
      </c>
      <c r="N171">
        <v>0</v>
      </c>
      <c r="O171">
        <v>0</v>
      </c>
      <c r="P171">
        <v>0.55200000000000005</v>
      </c>
      <c r="Q171">
        <v>0.39560000000000001</v>
      </c>
      <c r="R171">
        <v>0</v>
      </c>
      <c r="S171">
        <v>0</v>
      </c>
      <c r="T171">
        <v>0</v>
      </c>
      <c r="U171">
        <v>5</v>
      </c>
      <c r="V171">
        <v>1</v>
      </c>
      <c r="W171">
        <v>0</v>
      </c>
      <c r="X171">
        <v>0</v>
      </c>
      <c r="Y171">
        <v>0.52249999999999996</v>
      </c>
      <c r="Z171">
        <v>0.6</v>
      </c>
    </row>
    <row r="172" spans="1:26" x14ac:dyDescent="0.2">
      <c r="A172" t="s">
        <v>15</v>
      </c>
      <c r="B172">
        <v>2017</v>
      </c>
      <c r="C172" t="str">
        <f t="shared" si="2"/>
        <v>BCF2017</v>
      </c>
      <c r="D172">
        <v>5.8530131698768493E-13</v>
      </c>
      <c r="E172">
        <v>0.2346664217593768</v>
      </c>
      <c r="F172">
        <v>2.5969237515056149</v>
      </c>
      <c r="G172">
        <v>26.305362084663759</v>
      </c>
      <c r="H172">
        <v>1.513271205184052</v>
      </c>
      <c r="I172">
        <v>0.33747518731482601</v>
      </c>
      <c r="J172">
        <v>1.8427105090773391E-2</v>
      </c>
      <c r="K172">
        <v>9.171779709584732E-2</v>
      </c>
      <c r="L172">
        <v>0.3457899046310936</v>
      </c>
      <c r="M172">
        <v>17</v>
      </c>
      <c r="N172">
        <v>0</v>
      </c>
      <c r="O172">
        <v>0</v>
      </c>
      <c r="P172">
        <v>0.50840000000000007</v>
      </c>
      <c r="Q172">
        <v>0.38469999999999999</v>
      </c>
      <c r="R172">
        <v>0</v>
      </c>
      <c r="S172">
        <v>0</v>
      </c>
      <c r="T172">
        <v>6.8400000000000002E-2</v>
      </c>
      <c r="U172">
        <v>5</v>
      </c>
      <c r="V172">
        <v>1</v>
      </c>
      <c r="W172">
        <v>0</v>
      </c>
      <c r="X172">
        <v>0</v>
      </c>
      <c r="Y172">
        <v>0.53</v>
      </c>
      <c r="Z172">
        <v>0.6</v>
      </c>
    </row>
    <row r="173" spans="1:26" x14ac:dyDescent="0.2">
      <c r="A173" t="s">
        <v>15</v>
      </c>
      <c r="B173">
        <v>2018</v>
      </c>
      <c r="C173" t="str">
        <f t="shared" si="2"/>
        <v>BCF2018</v>
      </c>
      <c r="D173">
        <v>4.9360472210525988E-13</v>
      </c>
      <c r="E173">
        <v>0.2070921287478919</v>
      </c>
      <c r="F173">
        <v>2.474660606294603</v>
      </c>
      <c r="G173">
        <v>26.3594015145116</v>
      </c>
      <c r="H173">
        <v>1.921156520918299</v>
      </c>
      <c r="I173">
        <v>0.33172019465842612</v>
      </c>
      <c r="J173">
        <v>5.5526220572840852E-2</v>
      </c>
      <c r="K173">
        <v>0.1087115200882588</v>
      </c>
      <c r="L173">
        <v>0.31302271260702319</v>
      </c>
      <c r="M173">
        <v>18</v>
      </c>
      <c r="N173">
        <v>0</v>
      </c>
      <c r="O173">
        <v>0</v>
      </c>
      <c r="P173">
        <v>0.6</v>
      </c>
      <c r="Q173">
        <v>0.39589999999999997</v>
      </c>
      <c r="R173">
        <v>0</v>
      </c>
      <c r="S173">
        <v>0</v>
      </c>
      <c r="T173">
        <v>0</v>
      </c>
      <c r="U173">
        <v>6</v>
      </c>
      <c r="V173">
        <v>1</v>
      </c>
      <c r="W173">
        <v>0</v>
      </c>
      <c r="X173">
        <v>0</v>
      </c>
      <c r="Y173">
        <v>0.51</v>
      </c>
      <c r="Z173">
        <v>0.66666666666666663</v>
      </c>
    </row>
    <row r="174" spans="1:26" x14ac:dyDescent="0.2">
      <c r="A174" t="s">
        <v>15</v>
      </c>
      <c r="B174">
        <v>2019</v>
      </c>
      <c r="C174" t="str">
        <f t="shared" si="2"/>
        <v>BCF2019</v>
      </c>
      <c r="D174">
        <v>6.468411918360444E-13</v>
      </c>
      <c r="E174">
        <v>0.28964313915024281</v>
      </c>
      <c r="F174">
        <v>2.4491486412812562</v>
      </c>
      <c r="G174">
        <v>26.481305866628791</v>
      </c>
      <c r="H174">
        <v>2.049401721458485</v>
      </c>
      <c r="I174">
        <v>0.29267430592157068</v>
      </c>
      <c r="J174">
        <v>0.12980794533789911</v>
      </c>
      <c r="K174">
        <v>0.33825898416796729</v>
      </c>
      <c r="L174">
        <v>0.2693863146966442</v>
      </c>
      <c r="M174">
        <v>19</v>
      </c>
      <c r="N174">
        <v>0</v>
      </c>
      <c r="O174">
        <v>1</v>
      </c>
      <c r="P174">
        <v>0.57889999999999997</v>
      </c>
      <c r="Q174">
        <v>0.71609999999999996</v>
      </c>
      <c r="R174">
        <v>0</v>
      </c>
      <c r="S174">
        <v>0</v>
      </c>
      <c r="T174">
        <v>0</v>
      </c>
      <c r="U174">
        <v>7</v>
      </c>
      <c r="V174">
        <v>0</v>
      </c>
      <c r="W174">
        <v>0.14285714285714279</v>
      </c>
      <c r="X174">
        <v>1</v>
      </c>
      <c r="Y174">
        <v>0.48549999999999999</v>
      </c>
      <c r="Z174">
        <v>0.8571428571428571</v>
      </c>
    </row>
    <row r="175" spans="1:26" x14ac:dyDescent="0.2">
      <c r="A175" t="s">
        <v>15</v>
      </c>
      <c r="B175">
        <v>2020</v>
      </c>
      <c r="C175" t="str">
        <f t="shared" si="2"/>
        <v>BCF2020</v>
      </c>
      <c r="D175">
        <v>5.9967314789086242E-13</v>
      </c>
      <c r="E175">
        <v>0.33846182279506692</v>
      </c>
      <c r="F175">
        <v>2.5511965013346418</v>
      </c>
      <c r="G175">
        <v>26.69901719786839</v>
      </c>
      <c r="H175">
        <v>2.4812316696273791</v>
      </c>
      <c r="I175">
        <v>0.30234492992756179</v>
      </c>
      <c r="J175">
        <v>0.24304998505144829</v>
      </c>
      <c r="K175">
        <v>0.18751442544930341</v>
      </c>
      <c r="L175">
        <v>0.1887359906502237</v>
      </c>
      <c r="M175">
        <v>20</v>
      </c>
      <c r="N175">
        <v>0</v>
      </c>
      <c r="O175">
        <v>1</v>
      </c>
      <c r="P175">
        <v>0.53969999999999996</v>
      </c>
      <c r="Q175">
        <v>0.46060000000000001</v>
      </c>
      <c r="R175">
        <v>0</v>
      </c>
      <c r="S175">
        <v>0</v>
      </c>
      <c r="T175">
        <v>0</v>
      </c>
      <c r="U175">
        <v>7</v>
      </c>
      <c r="V175">
        <v>1</v>
      </c>
      <c r="W175">
        <v>0.14285714285714279</v>
      </c>
      <c r="X175">
        <v>0</v>
      </c>
      <c r="Y175">
        <v>0.5091</v>
      </c>
      <c r="Z175">
        <v>0.8571428571428571</v>
      </c>
    </row>
    <row r="176" spans="1:26" x14ac:dyDescent="0.2">
      <c r="A176" t="s">
        <v>15</v>
      </c>
      <c r="B176">
        <v>2021</v>
      </c>
      <c r="C176" t="str">
        <f t="shared" si="2"/>
        <v>BCF2021</v>
      </c>
      <c r="D176">
        <v>3.254639123806232E-13</v>
      </c>
      <c r="E176">
        <v>0.17771907018957109</v>
      </c>
      <c r="F176">
        <v>2.6637497474555589</v>
      </c>
      <c r="G176">
        <v>26.73100384089561</v>
      </c>
      <c r="H176">
        <v>2.6649530985118139</v>
      </c>
      <c r="I176">
        <v>0.25544587817246578</v>
      </c>
      <c r="J176">
        <v>3.2503714089008318E-2</v>
      </c>
      <c r="K176">
        <v>0.17429536067902279</v>
      </c>
      <c r="L176">
        <v>0.20133547178743541</v>
      </c>
      <c r="M176">
        <v>21</v>
      </c>
      <c r="N176">
        <v>0</v>
      </c>
      <c r="O176">
        <v>0</v>
      </c>
      <c r="P176">
        <v>0.48010000000000003</v>
      </c>
      <c r="Q176">
        <v>0.4239</v>
      </c>
      <c r="R176">
        <v>0</v>
      </c>
      <c r="S176">
        <v>0</v>
      </c>
      <c r="T176">
        <v>0</v>
      </c>
      <c r="U176">
        <v>7</v>
      </c>
      <c r="V176">
        <v>0</v>
      </c>
      <c r="W176">
        <v>0.2857142857142857</v>
      </c>
      <c r="X176">
        <v>1</v>
      </c>
      <c r="Y176">
        <v>0.50919999999999999</v>
      </c>
      <c r="Z176">
        <v>0.7142857142857143</v>
      </c>
    </row>
    <row r="177" spans="1:26" x14ac:dyDescent="0.2">
      <c r="A177" t="s">
        <v>15</v>
      </c>
      <c r="B177">
        <v>2022</v>
      </c>
      <c r="C177" t="str">
        <f t="shared" si="2"/>
        <v>BCF2022</v>
      </c>
      <c r="D177">
        <v>5.2923089894596023E-13</v>
      </c>
      <c r="E177">
        <v>0.31904304949477041</v>
      </c>
      <c r="F177">
        <v>2.4970420687553991</v>
      </c>
      <c r="G177">
        <v>26.837129674308891</v>
      </c>
      <c r="H177">
        <v>3.119765506555559</v>
      </c>
      <c r="I177">
        <v>0.25008294216939359</v>
      </c>
      <c r="J177">
        <v>0.1119617896508998</v>
      </c>
      <c r="K177">
        <v>0.19579547726321339</v>
      </c>
      <c r="L177">
        <v>0.20434032448371989</v>
      </c>
      <c r="M177">
        <v>22</v>
      </c>
      <c r="N177">
        <v>0</v>
      </c>
      <c r="O177">
        <v>0</v>
      </c>
      <c r="P177">
        <v>0.49769999999999998</v>
      </c>
      <c r="Q177">
        <v>0.59060000000000001</v>
      </c>
      <c r="R177">
        <v>0</v>
      </c>
      <c r="S177">
        <v>0</v>
      </c>
      <c r="T177">
        <v>0</v>
      </c>
      <c r="U177">
        <v>7</v>
      </c>
      <c r="V177">
        <v>0</v>
      </c>
      <c r="W177">
        <v>0.14285714285714279</v>
      </c>
      <c r="X177">
        <v>1</v>
      </c>
      <c r="Y177">
        <v>0.52229999999999999</v>
      </c>
      <c r="Z177">
        <v>0.8571428571428571</v>
      </c>
    </row>
    <row r="178" spans="1:26" x14ac:dyDescent="0.2">
      <c r="A178" t="s">
        <v>15</v>
      </c>
      <c r="B178">
        <v>2023</v>
      </c>
      <c r="C178" t="str">
        <f t="shared" si="2"/>
        <v>BCF2023</v>
      </c>
      <c r="D178">
        <v>382552184544.74847</v>
      </c>
      <c r="E178">
        <v>0.14824605287473699</v>
      </c>
      <c r="F178">
        <v>2.328362708696591</v>
      </c>
      <c r="G178">
        <v>26.89998961183743</v>
      </c>
      <c r="H178">
        <v>3.181196987090547</v>
      </c>
      <c r="I178">
        <v>0.11037489037385011</v>
      </c>
      <c r="J178">
        <v>6.4877679386129428E-2</v>
      </c>
      <c r="K178">
        <v>0.18363314946634829</v>
      </c>
      <c r="L178">
        <v>0.27975416509130219</v>
      </c>
      <c r="M178">
        <v>23</v>
      </c>
      <c r="N178">
        <v>0</v>
      </c>
      <c r="O178">
        <v>0</v>
      </c>
      <c r="P178">
        <v>0.49769999999999998</v>
      </c>
      <c r="Q178">
        <v>0.59060000000000001</v>
      </c>
      <c r="R178">
        <v>0</v>
      </c>
      <c r="S178">
        <v>0</v>
      </c>
      <c r="T178">
        <v>0</v>
      </c>
      <c r="U178">
        <v>7</v>
      </c>
      <c r="V178">
        <v>0</v>
      </c>
      <c r="W178">
        <v>0.14285714285714279</v>
      </c>
      <c r="X178">
        <v>1</v>
      </c>
      <c r="Y178">
        <v>0.52229999999999999</v>
      </c>
      <c r="Z178">
        <v>0.8571428571428571</v>
      </c>
    </row>
    <row r="179" spans="1:26" x14ac:dyDescent="0.2">
      <c r="A179" t="s">
        <v>16</v>
      </c>
      <c r="B179">
        <v>2012</v>
      </c>
      <c r="C179" t="str">
        <f t="shared" si="2"/>
        <v>BFC2012</v>
      </c>
      <c r="D179">
        <v>2.4304818229540791E-14</v>
      </c>
      <c r="E179">
        <v>0.25089594108919572</v>
      </c>
      <c r="F179">
        <v>1.0606129482640521</v>
      </c>
      <c r="G179">
        <v>28.569716971825759</v>
      </c>
      <c r="H179" t="e">
        <v>#N/A</v>
      </c>
      <c r="I179">
        <v>0.75233241331553657</v>
      </c>
      <c r="J179">
        <v>0</v>
      </c>
      <c r="K179">
        <v>0.1143082100518269</v>
      </c>
      <c r="L179">
        <v>7.7189082818857058E-2</v>
      </c>
      <c r="M179">
        <v>9</v>
      </c>
      <c r="N179">
        <v>0</v>
      </c>
      <c r="O179">
        <v>0</v>
      </c>
      <c r="P179">
        <v>0.65</v>
      </c>
      <c r="Q179">
        <v>3.2000000000000002E-3</v>
      </c>
      <c r="R179">
        <v>0</v>
      </c>
      <c r="S179">
        <v>0.65</v>
      </c>
      <c r="T179">
        <v>0.65</v>
      </c>
      <c r="U179">
        <v>5</v>
      </c>
      <c r="V179">
        <v>0</v>
      </c>
      <c r="W179">
        <v>0</v>
      </c>
      <c r="X179">
        <v>0</v>
      </c>
      <c r="Y179">
        <v>0.47899999999999998</v>
      </c>
      <c r="Z179">
        <v>1</v>
      </c>
    </row>
    <row r="180" spans="1:26" x14ac:dyDescent="0.2">
      <c r="A180" t="s">
        <v>16</v>
      </c>
      <c r="B180">
        <v>2013</v>
      </c>
      <c r="C180" t="str">
        <f t="shared" si="2"/>
        <v>BFC2013</v>
      </c>
      <c r="D180">
        <v>3.074257513620463E-14</v>
      </c>
      <c r="E180">
        <v>0.39109095125670179</v>
      </c>
      <c r="F180">
        <v>1.1863860645841471</v>
      </c>
      <c r="G180">
        <v>28.701765500953019</v>
      </c>
      <c r="H180">
        <v>1.1045248386012381</v>
      </c>
      <c r="I180">
        <v>0.73086899307576048</v>
      </c>
      <c r="J180">
        <v>0.14116369760141101</v>
      </c>
      <c r="K180">
        <v>-1.420370990707785E-2</v>
      </c>
      <c r="L180">
        <v>7.8903739827376279E-2</v>
      </c>
      <c r="M180">
        <v>10</v>
      </c>
      <c r="N180">
        <v>0</v>
      </c>
      <c r="O180">
        <v>0</v>
      </c>
      <c r="P180">
        <v>0.65</v>
      </c>
      <c r="Q180">
        <v>3.2000000000000002E-3</v>
      </c>
      <c r="R180">
        <v>0</v>
      </c>
      <c r="S180">
        <v>0.65</v>
      </c>
      <c r="T180">
        <v>0.65</v>
      </c>
      <c r="U180">
        <v>5</v>
      </c>
      <c r="V180">
        <v>0</v>
      </c>
      <c r="W180">
        <v>0</v>
      </c>
      <c r="X180">
        <v>0</v>
      </c>
      <c r="Y180">
        <v>0.47899999999999998</v>
      </c>
      <c r="Z180">
        <v>1</v>
      </c>
    </row>
    <row r="181" spans="1:26" x14ac:dyDescent="0.2">
      <c r="A181" t="s">
        <v>16</v>
      </c>
      <c r="B181">
        <v>2014</v>
      </c>
      <c r="C181" t="str">
        <f t="shared" si="2"/>
        <v>BFC2014</v>
      </c>
      <c r="D181">
        <v>3.2364184930905577E-14</v>
      </c>
      <c r="E181">
        <v>0.28693019433547629</v>
      </c>
      <c r="F181">
        <v>1.08161518486334</v>
      </c>
      <c r="G181">
        <v>28.724927327398319</v>
      </c>
      <c r="H181">
        <v>1.1519951103723249</v>
      </c>
      <c r="I181">
        <v>0.66320483127971608</v>
      </c>
      <c r="J181">
        <v>2.3432144533523491E-2</v>
      </c>
      <c r="K181">
        <v>5.5180276956981349E-2</v>
      </c>
      <c r="L181">
        <v>7.2850275457439634E-2</v>
      </c>
      <c r="M181">
        <v>11</v>
      </c>
      <c r="N181">
        <v>0</v>
      </c>
      <c r="O181">
        <v>0</v>
      </c>
      <c r="P181">
        <v>0.65</v>
      </c>
      <c r="Q181">
        <v>3.2000000000000002E-3</v>
      </c>
      <c r="R181">
        <v>0</v>
      </c>
      <c r="S181">
        <v>0.65</v>
      </c>
      <c r="T181">
        <v>0.65</v>
      </c>
      <c r="U181">
        <v>5</v>
      </c>
      <c r="V181">
        <v>0</v>
      </c>
      <c r="W181">
        <v>0</v>
      </c>
      <c r="X181">
        <v>0</v>
      </c>
      <c r="Y181">
        <v>0.47899999999999998</v>
      </c>
      <c r="Z181">
        <v>1</v>
      </c>
    </row>
    <row r="182" spans="1:26" x14ac:dyDescent="0.2">
      <c r="A182" t="s">
        <v>16</v>
      </c>
      <c r="B182">
        <v>2015</v>
      </c>
      <c r="C182" t="str">
        <f t="shared" si="2"/>
        <v>BFC2015</v>
      </c>
      <c r="D182">
        <v>2.199354090681104E-14</v>
      </c>
      <c r="E182">
        <v>0.25305454939754968</v>
      </c>
      <c r="F182">
        <v>1.0501118299644081</v>
      </c>
      <c r="G182">
        <v>28.903458389594729</v>
      </c>
      <c r="H182">
        <v>1.285690144641169</v>
      </c>
      <c r="I182">
        <v>0.68976307120413338</v>
      </c>
      <c r="J182">
        <v>0.19546001631058529</v>
      </c>
      <c r="K182">
        <v>6.1256831276969313E-2</v>
      </c>
      <c r="L182">
        <v>0.14150072187899521</v>
      </c>
      <c r="M182">
        <v>12</v>
      </c>
      <c r="N182">
        <v>0</v>
      </c>
      <c r="O182">
        <v>0</v>
      </c>
      <c r="P182">
        <v>0.65</v>
      </c>
      <c r="Q182">
        <v>3.2000000000000002E-3</v>
      </c>
      <c r="R182">
        <v>0</v>
      </c>
      <c r="S182">
        <v>0.65</v>
      </c>
      <c r="T182">
        <v>0.65</v>
      </c>
      <c r="U182">
        <v>5</v>
      </c>
      <c r="V182">
        <v>0</v>
      </c>
      <c r="W182">
        <v>0</v>
      </c>
      <c r="X182">
        <v>0</v>
      </c>
      <c r="Y182">
        <v>0.47899999999999998</v>
      </c>
      <c r="Z182">
        <v>1</v>
      </c>
    </row>
    <row r="183" spans="1:26" x14ac:dyDescent="0.2">
      <c r="A183" t="s">
        <v>16</v>
      </c>
      <c r="B183">
        <v>2016</v>
      </c>
      <c r="C183" t="str">
        <f t="shared" si="2"/>
        <v>BFC2016</v>
      </c>
      <c r="D183">
        <v>2.9833804675414737E-14</v>
      </c>
      <c r="E183">
        <v>0.31046824760000757</v>
      </c>
      <c r="F183">
        <v>1.163123592729556</v>
      </c>
      <c r="G183">
        <v>28.86231000372333</v>
      </c>
      <c r="H183">
        <v>1.1971273971671521</v>
      </c>
      <c r="I183">
        <v>0.67082001486636411</v>
      </c>
      <c r="J183">
        <v>-4.0313284567625063E-2</v>
      </c>
      <c r="K183">
        <v>0.15687932005356481</v>
      </c>
      <c r="L183">
        <v>0.15420444594284999</v>
      </c>
      <c r="M183">
        <v>13</v>
      </c>
      <c r="N183">
        <v>0</v>
      </c>
      <c r="O183">
        <v>0</v>
      </c>
      <c r="P183">
        <v>0.65</v>
      </c>
      <c r="Q183">
        <v>3.2000000000000002E-3</v>
      </c>
      <c r="R183">
        <v>0</v>
      </c>
      <c r="S183">
        <v>0.65</v>
      </c>
      <c r="T183">
        <v>0.65</v>
      </c>
      <c r="U183">
        <v>5</v>
      </c>
      <c r="V183">
        <v>0</v>
      </c>
      <c r="W183">
        <v>0</v>
      </c>
      <c r="X183">
        <v>0</v>
      </c>
      <c r="Y183">
        <v>0.46910000000000002</v>
      </c>
      <c r="Z183">
        <v>1</v>
      </c>
    </row>
    <row r="184" spans="1:26" x14ac:dyDescent="0.2">
      <c r="A184" t="s">
        <v>16</v>
      </c>
      <c r="B184">
        <v>2017</v>
      </c>
      <c r="C184" t="str">
        <f t="shared" si="2"/>
        <v>BFC2017</v>
      </c>
      <c r="D184">
        <v>2.3661446526581771E-14</v>
      </c>
      <c r="E184">
        <v>0.28591245363752432</v>
      </c>
      <c r="F184">
        <v>1.182993375043994</v>
      </c>
      <c r="G184">
        <v>28.976715181234539</v>
      </c>
      <c r="H184">
        <v>1.2408296306672539</v>
      </c>
      <c r="I184">
        <v>0.682140112215043</v>
      </c>
      <c r="J184">
        <v>0.1212063204494964</v>
      </c>
      <c r="K184">
        <v>-5.9219364406836814E-3</v>
      </c>
      <c r="L184">
        <v>0.1362710708765752</v>
      </c>
      <c r="M184">
        <v>14</v>
      </c>
      <c r="N184">
        <v>0</v>
      </c>
      <c r="O184">
        <v>0</v>
      </c>
      <c r="P184">
        <v>0.65</v>
      </c>
      <c r="Q184">
        <v>3.2000000000000002E-3</v>
      </c>
      <c r="R184">
        <v>0</v>
      </c>
      <c r="S184">
        <v>0.65</v>
      </c>
      <c r="T184">
        <v>0.65</v>
      </c>
      <c r="U184">
        <v>5</v>
      </c>
      <c r="V184">
        <v>0</v>
      </c>
      <c r="W184">
        <v>0</v>
      </c>
      <c r="X184">
        <v>0</v>
      </c>
      <c r="Y184">
        <v>0.47910000000000003</v>
      </c>
      <c r="Z184">
        <v>1</v>
      </c>
    </row>
    <row r="185" spans="1:26" x14ac:dyDescent="0.2">
      <c r="A185" t="s">
        <v>16</v>
      </c>
      <c r="B185">
        <v>2018</v>
      </c>
      <c r="C185" t="str">
        <f t="shared" si="2"/>
        <v>BFC2018</v>
      </c>
      <c r="D185">
        <v>1.832874939718726E-14</v>
      </c>
      <c r="E185">
        <v>0.21306511595354091</v>
      </c>
      <c r="F185">
        <v>1.073883570380699</v>
      </c>
      <c r="G185">
        <v>28.944072933386082</v>
      </c>
      <c r="H185">
        <v>1.225218296220304</v>
      </c>
      <c r="I185">
        <v>0.68020502057500343</v>
      </c>
      <c r="J185">
        <v>-3.2115239486208202E-2</v>
      </c>
      <c r="K185">
        <v>0.10519767339839139</v>
      </c>
      <c r="L185">
        <v>0.14339621656496479</v>
      </c>
      <c r="M185">
        <v>15</v>
      </c>
      <c r="N185">
        <v>0</v>
      </c>
      <c r="O185">
        <v>0</v>
      </c>
      <c r="P185">
        <v>0.65</v>
      </c>
      <c r="Q185">
        <v>3.2000000000000002E-3</v>
      </c>
      <c r="R185">
        <v>0</v>
      </c>
      <c r="S185">
        <v>0.65</v>
      </c>
      <c r="T185">
        <v>0.65</v>
      </c>
      <c r="U185">
        <v>5</v>
      </c>
      <c r="V185">
        <v>0</v>
      </c>
      <c r="W185">
        <v>0</v>
      </c>
      <c r="X185">
        <v>0</v>
      </c>
      <c r="Y185">
        <v>0.48909999999999998</v>
      </c>
      <c r="Z185">
        <v>1</v>
      </c>
    </row>
    <row r="186" spans="1:26" x14ac:dyDescent="0.2">
      <c r="A186" t="s">
        <v>16</v>
      </c>
      <c r="B186">
        <v>2019</v>
      </c>
      <c r="C186" t="str">
        <f t="shared" si="2"/>
        <v>BFC2019</v>
      </c>
      <c r="D186">
        <v>8.910461997615812E-15</v>
      </c>
      <c r="E186">
        <v>8.6050888271960321E-2</v>
      </c>
      <c r="F186">
        <v>0.84710256938425488</v>
      </c>
      <c r="G186">
        <v>28.836251637516039</v>
      </c>
      <c r="H186">
        <v>1.2249814348491621</v>
      </c>
      <c r="I186">
        <v>0.65440310692448278</v>
      </c>
      <c r="J186">
        <v>-0.102211979477123</v>
      </c>
      <c r="K186">
        <v>0.18623148459192329</v>
      </c>
      <c r="L186">
        <v>0.17712111004211101</v>
      </c>
      <c r="M186">
        <v>16</v>
      </c>
      <c r="N186">
        <v>0</v>
      </c>
      <c r="O186">
        <v>1</v>
      </c>
      <c r="P186">
        <v>0.65</v>
      </c>
      <c r="Q186">
        <v>3.2000000000000002E-3</v>
      </c>
      <c r="R186">
        <v>0</v>
      </c>
      <c r="S186">
        <v>0.65</v>
      </c>
      <c r="T186">
        <v>0.65</v>
      </c>
      <c r="U186">
        <v>5</v>
      </c>
      <c r="V186">
        <v>0</v>
      </c>
      <c r="W186">
        <v>0</v>
      </c>
      <c r="X186">
        <v>0</v>
      </c>
      <c r="Y186">
        <v>0.49909999999999999</v>
      </c>
      <c r="Z186">
        <v>1</v>
      </c>
    </row>
    <row r="187" spans="1:26" x14ac:dyDescent="0.2">
      <c r="A187" t="s">
        <v>16</v>
      </c>
      <c r="B187">
        <v>2020</v>
      </c>
      <c r="C187" t="str">
        <f t="shared" si="2"/>
        <v>BFC2020</v>
      </c>
      <c r="D187">
        <v>1.7760126309086382E-14</v>
      </c>
      <c r="E187">
        <v>0.13745260563561801</v>
      </c>
      <c r="F187">
        <v>0.93140672123239765</v>
      </c>
      <c r="G187">
        <v>28.748355387132381</v>
      </c>
      <c r="H187">
        <v>1.216487223909289</v>
      </c>
      <c r="I187">
        <v>0.60504721412735518</v>
      </c>
      <c r="J187">
        <v>-8.4144108508268159E-2</v>
      </c>
      <c r="K187">
        <v>0.14793766787955401</v>
      </c>
      <c r="L187">
        <v>0.19207689497064501</v>
      </c>
      <c r="M187">
        <v>17</v>
      </c>
      <c r="N187">
        <v>0</v>
      </c>
      <c r="O187">
        <v>1</v>
      </c>
      <c r="P187">
        <v>0.73939999999999995</v>
      </c>
      <c r="Q187">
        <v>3.0999999999999999E-3</v>
      </c>
      <c r="R187">
        <v>8.9399999999999993E-2</v>
      </c>
      <c r="S187">
        <v>0.65</v>
      </c>
      <c r="T187">
        <v>0.73939999999999995</v>
      </c>
      <c r="U187">
        <v>5</v>
      </c>
      <c r="V187">
        <v>0</v>
      </c>
      <c r="W187">
        <v>0</v>
      </c>
      <c r="X187">
        <v>0</v>
      </c>
      <c r="Y187">
        <v>0.52700000000000002</v>
      </c>
      <c r="Z187">
        <v>1</v>
      </c>
    </row>
    <row r="188" spans="1:26" x14ac:dyDescent="0.2">
      <c r="A188" t="s">
        <v>16</v>
      </c>
      <c r="B188">
        <v>2021</v>
      </c>
      <c r="C188" t="str">
        <f t="shared" si="2"/>
        <v>BFC2021</v>
      </c>
      <c r="D188">
        <v>1.9978313196391739E-14</v>
      </c>
      <c r="E188">
        <v>0.2178875850616715</v>
      </c>
      <c r="F188">
        <v>1.1316585444800791</v>
      </c>
      <c r="G188">
        <v>28.980153459934051</v>
      </c>
      <c r="H188">
        <v>1.273816912708968</v>
      </c>
      <c r="I188">
        <v>0.64661585203053029</v>
      </c>
      <c r="J188">
        <v>0.26086510016382908</v>
      </c>
      <c r="K188">
        <v>-6.191124798996684E-2</v>
      </c>
      <c r="L188">
        <v>0.14320301217160381</v>
      </c>
      <c r="M188">
        <v>18</v>
      </c>
      <c r="N188">
        <v>0</v>
      </c>
      <c r="O188">
        <v>0</v>
      </c>
      <c r="P188">
        <v>0.65</v>
      </c>
      <c r="Q188">
        <v>3.0999999999999999E-3</v>
      </c>
      <c r="R188">
        <v>0</v>
      </c>
      <c r="S188">
        <v>0.65</v>
      </c>
      <c r="T188">
        <v>0.65</v>
      </c>
      <c r="U188">
        <v>5</v>
      </c>
      <c r="V188">
        <v>0</v>
      </c>
      <c r="W188">
        <v>0</v>
      </c>
      <c r="X188">
        <v>0</v>
      </c>
      <c r="Y188">
        <v>0.53700000000000003</v>
      </c>
      <c r="Z188">
        <v>1</v>
      </c>
    </row>
    <row r="189" spans="1:26" x14ac:dyDescent="0.2">
      <c r="A189" t="s">
        <v>16</v>
      </c>
      <c r="B189">
        <v>2022</v>
      </c>
      <c r="C189" t="str">
        <f t="shared" si="2"/>
        <v>BFC2022</v>
      </c>
      <c r="D189">
        <v>1.051895941647572E-14</v>
      </c>
      <c r="E189">
        <v>0.14314738954223519</v>
      </c>
      <c r="F189">
        <v>0.90635834331480269</v>
      </c>
      <c r="G189">
        <v>29.086976015876971</v>
      </c>
      <c r="H189">
        <v>1.247314426695104</v>
      </c>
      <c r="I189">
        <v>0.68486072908398343</v>
      </c>
      <c r="J189">
        <v>0.1156115897749521</v>
      </c>
      <c r="K189">
        <v>-2.594325934032515E-2</v>
      </c>
      <c r="L189">
        <v>0.12929705202794139</v>
      </c>
      <c r="M189">
        <v>19</v>
      </c>
      <c r="N189">
        <v>0</v>
      </c>
      <c r="O189">
        <v>0</v>
      </c>
      <c r="P189">
        <v>0.65</v>
      </c>
      <c r="Q189">
        <v>0.65290000000000004</v>
      </c>
      <c r="R189">
        <v>0</v>
      </c>
      <c r="S189">
        <v>0.65</v>
      </c>
      <c r="T189">
        <v>0.65</v>
      </c>
      <c r="U189">
        <v>5</v>
      </c>
      <c r="V189">
        <v>0</v>
      </c>
      <c r="W189">
        <v>0</v>
      </c>
      <c r="X189">
        <v>0</v>
      </c>
      <c r="Y189">
        <v>0.53359999999999996</v>
      </c>
      <c r="Z189">
        <v>1</v>
      </c>
    </row>
    <row r="190" spans="1:26" x14ac:dyDescent="0.2">
      <c r="A190" t="s">
        <v>16</v>
      </c>
      <c r="B190">
        <v>2023</v>
      </c>
      <c r="C190" t="str">
        <f t="shared" si="2"/>
        <v>BFC2023</v>
      </c>
      <c r="D190">
        <v>-685993484224.36877</v>
      </c>
      <c r="E190">
        <v>6.8744771408850075E-2</v>
      </c>
      <c r="F190">
        <v>0.82009777426360764</v>
      </c>
      <c r="G190">
        <v>28.870741671457971</v>
      </c>
      <c r="H190">
        <v>1.1950633748521411</v>
      </c>
      <c r="I190">
        <v>0.43231970578895951</v>
      </c>
      <c r="J190">
        <v>-0.19652929524896909</v>
      </c>
      <c r="K190">
        <v>0.24025292322538611</v>
      </c>
      <c r="L190">
        <v>0.13857798781721431</v>
      </c>
      <c r="M190">
        <v>20</v>
      </c>
      <c r="N190">
        <v>0</v>
      </c>
      <c r="O190">
        <v>0</v>
      </c>
      <c r="P190">
        <v>0.65</v>
      </c>
      <c r="Q190">
        <v>0.65290000000000004</v>
      </c>
      <c r="R190">
        <v>0</v>
      </c>
      <c r="S190">
        <v>0.65</v>
      </c>
      <c r="T190">
        <v>0.65</v>
      </c>
      <c r="U190">
        <v>5</v>
      </c>
      <c r="V190">
        <v>0</v>
      </c>
      <c r="W190">
        <v>0</v>
      </c>
      <c r="X190">
        <v>0</v>
      </c>
      <c r="Y190">
        <v>0.53359999999999996</v>
      </c>
      <c r="Z190">
        <v>1</v>
      </c>
    </row>
    <row r="191" spans="1:26" x14ac:dyDescent="0.2">
      <c r="A191" t="s">
        <v>17</v>
      </c>
      <c r="B191">
        <v>2015</v>
      </c>
      <c r="C191" t="str">
        <f t="shared" si="2"/>
        <v>BHN2015</v>
      </c>
      <c r="D191">
        <v>9.5752491530214561E-15</v>
      </c>
      <c r="E191">
        <v>0.1553063056500556</v>
      </c>
      <c r="F191">
        <v>2.5362779740565591</v>
      </c>
      <c r="G191">
        <v>29.92720979088271</v>
      </c>
      <c r="H191" t="e">
        <v>#N/A</v>
      </c>
      <c r="I191">
        <v>0.38739143388572489</v>
      </c>
      <c r="J191">
        <v>0</v>
      </c>
      <c r="K191">
        <v>0.14907087071084629</v>
      </c>
      <c r="L191">
        <v>0.41809786055378462</v>
      </c>
      <c r="M191">
        <v>12</v>
      </c>
      <c r="N191">
        <v>0</v>
      </c>
      <c r="O191">
        <v>0</v>
      </c>
      <c r="P191">
        <v>0.98870000000000002</v>
      </c>
      <c r="Q191">
        <v>1E-4</v>
      </c>
      <c r="R191">
        <v>0.17080000000000001</v>
      </c>
      <c r="S191">
        <v>0.81790000000000007</v>
      </c>
      <c r="T191">
        <v>0.98870000000000002</v>
      </c>
      <c r="U191">
        <v>5</v>
      </c>
      <c r="V191">
        <v>0</v>
      </c>
      <c r="W191">
        <v>0.2</v>
      </c>
      <c r="X191">
        <v>0</v>
      </c>
      <c r="Y191">
        <v>0.48249999999999998</v>
      </c>
      <c r="Z191">
        <v>1</v>
      </c>
    </row>
    <row r="192" spans="1:26" x14ac:dyDescent="0.2">
      <c r="A192" t="s">
        <v>17</v>
      </c>
      <c r="B192">
        <v>2016</v>
      </c>
      <c r="C192" t="str">
        <f t="shared" si="2"/>
        <v>BHN2016</v>
      </c>
      <c r="D192">
        <v>8.0461710754479706E-15</v>
      </c>
      <c r="E192">
        <v>0.1177351054980063</v>
      </c>
      <c r="F192">
        <v>3.3082528651633361</v>
      </c>
      <c r="G192">
        <v>29.911434379543881</v>
      </c>
      <c r="H192">
        <v>1.769368370467858</v>
      </c>
      <c r="I192">
        <v>0.33157269594295258</v>
      </c>
      <c r="J192">
        <v>-1.7301756675595189E-2</v>
      </c>
      <c r="K192">
        <v>4.4230560544571113E-2</v>
      </c>
      <c r="L192">
        <v>0.40655143373116831</v>
      </c>
      <c r="M192">
        <v>13</v>
      </c>
      <c r="N192">
        <v>0</v>
      </c>
      <c r="O192">
        <v>0</v>
      </c>
      <c r="P192">
        <v>0.99130000000000007</v>
      </c>
      <c r="Q192">
        <v>1E-4</v>
      </c>
      <c r="R192">
        <v>0.1734</v>
      </c>
      <c r="S192">
        <v>0.81790000000000007</v>
      </c>
      <c r="T192">
        <v>0.99130000000000007</v>
      </c>
      <c r="U192">
        <v>5</v>
      </c>
      <c r="V192">
        <v>0</v>
      </c>
      <c r="W192">
        <v>0.2</v>
      </c>
      <c r="X192">
        <v>0</v>
      </c>
      <c r="Y192">
        <v>0.48249999999999998</v>
      </c>
      <c r="Z192">
        <v>1</v>
      </c>
    </row>
    <row r="193" spans="1:26" x14ac:dyDescent="0.2">
      <c r="A193" t="s">
        <v>17</v>
      </c>
      <c r="B193">
        <v>2017</v>
      </c>
      <c r="C193" t="str">
        <f t="shared" si="2"/>
        <v>BHN2017</v>
      </c>
      <c r="D193">
        <v>7.1224833512919474E-15</v>
      </c>
      <c r="E193">
        <v>0.14555522846856589</v>
      </c>
      <c r="F193">
        <v>3.6068140099934172</v>
      </c>
      <c r="G193">
        <v>29.894033979642511</v>
      </c>
      <c r="H193">
        <v>2.0392620657761098</v>
      </c>
      <c r="I193">
        <v>0.52965380864809009</v>
      </c>
      <c r="J193">
        <v>-1.453145931361766E-2</v>
      </c>
      <c r="K193">
        <v>8.8083270360816548E-2</v>
      </c>
      <c r="L193">
        <v>0.37216261142923479</v>
      </c>
      <c r="M193">
        <v>14</v>
      </c>
      <c r="N193">
        <v>0</v>
      </c>
      <c r="O193">
        <v>0</v>
      </c>
      <c r="P193">
        <v>0.99130000000000007</v>
      </c>
      <c r="Q193">
        <v>1E-4</v>
      </c>
      <c r="R193">
        <v>0.1734</v>
      </c>
      <c r="S193">
        <v>0.81790000000000007</v>
      </c>
      <c r="T193">
        <v>0.99130000000000007</v>
      </c>
      <c r="U193">
        <v>4</v>
      </c>
      <c r="V193">
        <v>0</v>
      </c>
      <c r="W193">
        <v>0</v>
      </c>
      <c r="X193">
        <v>0</v>
      </c>
      <c r="Y193">
        <v>0.48089999999999999</v>
      </c>
      <c r="Z193">
        <v>1</v>
      </c>
    </row>
    <row r="194" spans="1:26" x14ac:dyDescent="0.2">
      <c r="A194" t="s">
        <v>17</v>
      </c>
      <c r="B194">
        <v>2018</v>
      </c>
      <c r="C194" t="str">
        <f t="shared" si="2"/>
        <v>BHN2018</v>
      </c>
      <c r="D194">
        <v>5.7187288735993853E-15</v>
      </c>
      <c r="E194">
        <v>9.8226888995788908E-2</v>
      </c>
      <c r="F194">
        <v>2.504430796704729</v>
      </c>
      <c r="G194">
        <v>29.850533901064491</v>
      </c>
      <c r="H194">
        <v>1.1795946095865091</v>
      </c>
      <c r="I194">
        <v>0.46421410944543362</v>
      </c>
      <c r="J194">
        <v>-4.2567521142185871E-2</v>
      </c>
      <c r="K194">
        <v>5.4410239699945802E-2</v>
      </c>
      <c r="L194">
        <v>0.34514631329082041</v>
      </c>
      <c r="M194">
        <v>15</v>
      </c>
      <c r="N194">
        <v>0</v>
      </c>
      <c r="O194">
        <v>0</v>
      </c>
      <c r="P194">
        <v>0.99130000000000007</v>
      </c>
      <c r="Q194">
        <v>1E-4</v>
      </c>
      <c r="R194">
        <v>0.1734</v>
      </c>
      <c r="S194">
        <v>0.81790000000000007</v>
      </c>
      <c r="T194">
        <v>0.99130000000000007</v>
      </c>
      <c r="U194">
        <v>3</v>
      </c>
      <c r="V194">
        <v>0</v>
      </c>
      <c r="W194">
        <v>0</v>
      </c>
      <c r="X194">
        <v>0</v>
      </c>
      <c r="Y194">
        <v>0.47599999999999998</v>
      </c>
      <c r="Z194">
        <v>1</v>
      </c>
    </row>
    <row r="195" spans="1:26" x14ac:dyDescent="0.2">
      <c r="A195" t="s">
        <v>17</v>
      </c>
      <c r="B195">
        <v>2019</v>
      </c>
      <c r="C195" t="str">
        <f t="shared" ref="C195:C258" si="3">A195&amp;B195</f>
        <v>BHN2019</v>
      </c>
      <c r="D195">
        <v>8.6600938376564694E-15</v>
      </c>
      <c r="E195">
        <v>0.1009594702475536</v>
      </c>
      <c r="F195">
        <v>2.5880387490373051</v>
      </c>
      <c r="G195">
        <v>29.681571305213431</v>
      </c>
      <c r="H195">
        <v>1.391605804106878</v>
      </c>
      <c r="I195">
        <v>0.33331886381734288</v>
      </c>
      <c r="J195">
        <v>-0.1554595078863901</v>
      </c>
      <c r="K195">
        <v>0.16244885215756941</v>
      </c>
      <c r="L195">
        <v>0.36882639157930242</v>
      </c>
      <c r="M195">
        <v>16</v>
      </c>
      <c r="N195">
        <v>0</v>
      </c>
      <c r="O195">
        <v>1</v>
      </c>
      <c r="P195">
        <v>0.99130000000000007</v>
      </c>
      <c r="Q195">
        <v>1E-4</v>
      </c>
      <c r="R195">
        <v>0.1734</v>
      </c>
      <c r="S195">
        <v>0.81790000000000007</v>
      </c>
      <c r="T195">
        <v>0.99130000000000007</v>
      </c>
      <c r="U195">
        <v>5</v>
      </c>
      <c r="V195">
        <v>0</v>
      </c>
      <c r="W195">
        <v>0</v>
      </c>
      <c r="X195">
        <v>0</v>
      </c>
      <c r="Y195">
        <v>0.46</v>
      </c>
      <c r="Z195">
        <v>1</v>
      </c>
    </row>
    <row r="196" spans="1:26" x14ac:dyDescent="0.2">
      <c r="A196" t="s">
        <v>17</v>
      </c>
      <c r="B196">
        <v>2020</v>
      </c>
      <c r="C196" t="str">
        <f t="shared" si="3"/>
        <v>BHN2020</v>
      </c>
      <c r="D196">
        <v>1.118786242645241E-14</v>
      </c>
      <c r="E196">
        <v>0.1151746773088043</v>
      </c>
      <c r="F196">
        <v>2.582416876008613</v>
      </c>
      <c r="G196">
        <v>29.670172110513541</v>
      </c>
      <c r="H196">
        <v>1.802235796667679</v>
      </c>
      <c r="I196">
        <v>0.25358194160416198</v>
      </c>
      <c r="J196">
        <v>-1.1334470049722319E-2</v>
      </c>
      <c r="K196">
        <v>8.252426752251972E-2</v>
      </c>
      <c r="L196">
        <v>0.32913065124626562</v>
      </c>
      <c r="M196">
        <v>17</v>
      </c>
      <c r="N196">
        <v>0</v>
      </c>
      <c r="O196">
        <v>1</v>
      </c>
      <c r="P196">
        <v>0.99130000000000007</v>
      </c>
      <c r="Q196">
        <v>0</v>
      </c>
      <c r="R196">
        <v>0.1734</v>
      </c>
      <c r="S196">
        <v>0.81790000000000007</v>
      </c>
      <c r="T196">
        <v>0.99130000000000007</v>
      </c>
      <c r="U196">
        <v>6</v>
      </c>
      <c r="V196">
        <v>0</v>
      </c>
      <c r="W196">
        <v>0.1666666666666666</v>
      </c>
      <c r="X196">
        <v>0</v>
      </c>
      <c r="Y196">
        <v>0.46079999999999999</v>
      </c>
      <c r="Z196">
        <v>1</v>
      </c>
    </row>
    <row r="197" spans="1:26" x14ac:dyDescent="0.2">
      <c r="A197" t="s">
        <v>17</v>
      </c>
      <c r="B197">
        <v>2021</v>
      </c>
      <c r="C197" t="str">
        <f t="shared" si="3"/>
        <v>BHN2021</v>
      </c>
      <c r="D197">
        <v>6.4530098748713411E-15</v>
      </c>
      <c r="E197">
        <v>6.704880657910646E-2</v>
      </c>
      <c r="F197">
        <v>2.2964690174479259</v>
      </c>
      <c r="G197">
        <v>29.589386165461619</v>
      </c>
      <c r="H197">
        <v>2.5774824047244582</v>
      </c>
      <c r="I197">
        <v>0.31785231102822659</v>
      </c>
      <c r="J197">
        <v>-7.7608887303909468E-2</v>
      </c>
      <c r="K197">
        <v>0.1215953876243418</v>
      </c>
      <c r="L197">
        <v>0.29964226999062671</v>
      </c>
      <c r="M197">
        <v>18</v>
      </c>
      <c r="N197">
        <v>0</v>
      </c>
      <c r="O197">
        <v>0</v>
      </c>
      <c r="P197">
        <v>0.99130000000000007</v>
      </c>
      <c r="Q197">
        <v>0</v>
      </c>
      <c r="R197">
        <v>0.1734</v>
      </c>
      <c r="S197">
        <v>0.81790000000000007</v>
      </c>
      <c r="T197">
        <v>0.99130000000000007</v>
      </c>
      <c r="U197">
        <v>6</v>
      </c>
      <c r="V197">
        <v>0</v>
      </c>
      <c r="W197">
        <v>0.1666666666666666</v>
      </c>
      <c r="X197">
        <v>0</v>
      </c>
      <c r="Y197">
        <v>0.4708</v>
      </c>
      <c r="Z197">
        <v>1</v>
      </c>
    </row>
    <row r="198" spans="1:26" x14ac:dyDescent="0.2">
      <c r="A198" t="s">
        <v>17</v>
      </c>
      <c r="B198">
        <v>2022</v>
      </c>
      <c r="C198" t="str">
        <f t="shared" si="3"/>
        <v>BHN2022</v>
      </c>
      <c r="D198">
        <v>9.6752033827450862E-15</v>
      </c>
      <c r="E198">
        <v>9.5421239949387504E-2</v>
      </c>
      <c r="F198">
        <v>1.7407458389270289</v>
      </c>
      <c r="G198">
        <v>29.609699644698519</v>
      </c>
      <c r="H198">
        <v>2.062660977619557</v>
      </c>
      <c r="I198">
        <v>0.26659441320901278</v>
      </c>
      <c r="J198">
        <v>2.052120209674646E-2</v>
      </c>
      <c r="K198">
        <v>0.15883300411131451</v>
      </c>
      <c r="L198">
        <v>0.24499261987502949</v>
      </c>
      <c r="M198">
        <v>19</v>
      </c>
      <c r="N198">
        <v>0</v>
      </c>
      <c r="O198">
        <v>0</v>
      </c>
      <c r="P198">
        <v>0.99130000000000007</v>
      </c>
      <c r="Q198">
        <v>0</v>
      </c>
      <c r="R198">
        <v>0.1734</v>
      </c>
      <c r="S198">
        <v>0.81790000000000007</v>
      </c>
      <c r="T198">
        <v>0.99130000000000007</v>
      </c>
      <c r="U198">
        <v>6</v>
      </c>
      <c r="V198">
        <v>0</v>
      </c>
      <c r="W198">
        <v>0.1666666666666666</v>
      </c>
      <c r="X198">
        <v>0</v>
      </c>
      <c r="Y198">
        <v>0.48080000000000001</v>
      </c>
      <c r="Z198">
        <v>1</v>
      </c>
    </row>
    <row r="199" spans="1:26" x14ac:dyDescent="0.2">
      <c r="A199" t="s">
        <v>17</v>
      </c>
      <c r="B199">
        <v>2023</v>
      </c>
      <c r="C199" t="str">
        <f t="shared" si="3"/>
        <v>BHN2023</v>
      </c>
      <c r="D199">
        <v>-30836475475767.109</v>
      </c>
      <c r="E199">
        <v>5.0433849578214882E-2</v>
      </c>
      <c r="F199">
        <v>1.263947758777908</v>
      </c>
      <c r="G199">
        <v>29.598130863862529</v>
      </c>
      <c r="H199">
        <v>2.6677424807952259</v>
      </c>
      <c r="I199">
        <v>1.640663010599543E-2</v>
      </c>
      <c r="J199">
        <v>-1.150211980090687E-2</v>
      </c>
      <c r="K199">
        <v>0.10160194730910969</v>
      </c>
      <c r="L199">
        <v>0.2031635127088165</v>
      </c>
      <c r="M199">
        <v>20</v>
      </c>
      <c r="N199">
        <v>0</v>
      </c>
      <c r="O199">
        <v>0</v>
      </c>
      <c r="P199">
        <v>0.99130000000000007</v>
      </c>
      <c r="Q199">
        <v>0</v>
      </c>
      <c r="R199">
        <v>0.1734</v>
      </c>
      <c r="S199">
        <v>0.81790000000000007</v>
      </c>
      <c r="T199">
        <v>0.99130000000000007</v>
      </c>
      <c r="U199">
        <v>6</v>
      </c>
      <c r="V199">
        <v>0</v>
      </c>
      <c r="W199">
        <v>0.1666666666666666</v>
      </c>
      <c r="X199">
        <v>0</v>
      </c>
      <c r="Y199">
        <v>0.48080000000000001</v>
      </c>
      <c r="Z199">
        <v>1</v>
      </c>
    </row>
    <row r="200" spans="1:26" x14ac:dyDescent="0.2">
      <c r="A200" t="s">
        <v>18</v>
      </c>
      <c r="B200">
        <v>2012</v>
      </c>
      <c r="C200" t="str">
        <f t="shared" si="3"/>
        <v>BMP2012</v>
      </c>
      <c r="D200">
        <v>1.7812695153433131E-13</v>
      </c>
      <c r="E200">
        <v>0.28296563531816471</v>
      </c>
      <c r="F200">
        <v>1.198689063519998</v>
      </c>
      <c r="G200">
        <v>27.983555384695212</v>
      </c>
      <c r="H200">
        <v>6.8332006629981281</v>
      </c>
      <c r="I200">
        <v>0.10442981432288739</v>
      </c>
      <c r="J200">
        <v>0.219618180612698</v>
      </c>
      <c r="K200">
        <v>0.30563064740063578</v>
      </c>
      <c r="L200">
        <v>0.1762505000561724</v>
      </c>
      <c r="M200">
        <v>18</v>
      </c>
      <c r="N200">
        <v>0</v>
      </c>
      <c r="O200">
        <v>0</v>
      </c>
      <c r="P200">
        <v>0.58730000000000004</v>
      </c>
      <c r="Q200">
        <v>3.4799999999999998E-2</v>
      </c>
      <c r="R200">
        <v>0.2913</v>
      </c>
      <c r="S200">
        <v>0.29599999999999999</v>
      </c>
      <c r="T200">
        <v>0.58730000000000004</v>
      </c>
      <c r="U200">
        <v>6</v>
      </c>
      <c r="V200">
        <v>0</v>
      </c>
      <c r="W200">
        <v>0.5</v>
      </c>
      <c r="X200">
        <v>1</v>
      </c>
      <c r="Y200">
        <v>0.50780000000000003</v>
      </c>
      <c r="Z200">
        <v>1</v>
      </c>
    </row>
    <row r="201" spans="1:26" x14ac:dyDescent="0.2">
      <c r="A201" t="s">
        <v>18</v>
      </c>
      <c r="B201">
        <v>2013</v>
      </c>
      <c r="C201" t="str">
        <f t="shared" si="3"/>
        <v>BMP2013</v>
      </c>
      <c r="D201">
        <v>1.30869753208822E-13</v>
      </c>
      <c r="E201">
        <v>0.24843015700231591</v>
      </c>
      <c r="F201">
        <v>2.0078146716904151</v>
      </c>
      <c r="G201">
        <v>28.150577620488349</v>
      </c>
      <c r="H201">
        <v>7.0832326100881344</v>
      </c>
      <c r="I201">
        <v>0.1143227433087511</v>
      </c>
      <c r="J201">
        <v>0.18178054284388881</v>
      </c>
      <c r="K201">
        <v>0.1042696509623636</v>
      </c>
      <c r="L201">
        <v>0.11658191449868981</v>
      </c>
      <c r="M201">
        <v>19</v>
      </c>
      <c r="N201">
        <v>0</v>
      </c>
      <c r="O201">
        <v>0</v>
      </c>
      <c r="P201">
        <v>0.57609999999999995</v>
      </c>
      <c r="Q201">
        <v>3.4099999999999998E-2</v>
      </c>
      <c r="R201">
        <v>0.28089999999999998</v>
      </c>
      <c r="S201">
        <v>0.29520000000000002</v>
      </c>
      <c r="T201">
        <v>0.57609999999999995</v>
      </c>
      <c r="U201">
        <v>5</v>
      </c>
      <c r="V201">
        <v>0</v>
      </c>
      <c r="W201">
        <v>0.4</v>
      </c>
      <c r="X201">
        <v>1</v>
      </c>
      <c r="Y201">
        <v>0.45329999999999998</v>
      </c>
      <c r="Z201">
        <v>1</v>
      </c>
    </row>
    <row r="202" spans="1:26" x14ac:dyDescent="0.2">
      <c r="A202" t="s">
        <v>18</v>
      </c>
      <c r="B202">
        <v>2014</v>
      </c>
      <c r="C202" t="str">
        <f t="shared" si="3"/>
        <v>BMP2014</v>
      </c>
      <c r="D202">
        <v>1.013157049577398E-13</v>
      </c>
      <c r="E202">
        <v>0.21929830984724741</v>
      </c>
      <c r="F202">
        <v>1.830517751397005</v>
      </c>
      <c r="G202">
        <v>28.287773069162391</v>
      </c>
      <c r="H202">
        <v>6.3701739673280402</v>
      </c>
      <c r="I202">
        <v>0.1090255804587015</v>
      </c>
      <c r="J202">
        <v>0.14705231646733541</v>
      </c>
      <c r="K202">
        <v>0.22589729422656829</v>
      </c>
      <c r="L202">
        <v>9.4813190506735076E-2</v>
      </c>
      <c r="M202">
        <v>20</v>
      </c>
      <c r="N202">
        <v>0</v>
      </c>
      <c r="O202">
        <v>0</v>
      </c>
      <c r="P202">
        <v>0.65859999999999996</v>
      </c>
      <c r="Q202">
        <v>2.63E-2</v>
      </c>
      <c r="R202">
        <v>0.36349999999999999</v>
      </c>
      <c r="S202">
        <v>0.29509999999999997</v>
      </c>
      <c r="T202">
        <v>0.65859999999999996</v>
      </c>
      <c r="U202">
        <v>5</v>
      </c>
      <c r="V202">
        <v>0</v>
      </c>
      <c r="W202">
        <v>0.4</v>
      </c>
      <c r="X202">
        <v>1</v>
      </c>
      <c r="Y202">
        <v>0.46600000000000003</v>
      </c>
      <c r="Z202">
        <v>1</v>
      </c>
    </row>
    <row r="203" spans="1:26" x14ac:dyDescent="0.2">
      <c r="A203" t="s">
        <v>18</v>
      </c>
      <c r="B203">
        <v>2015</v>
      </c>
      <c r="C203" t="str">
        <f t="shared" si="3"/>
        <v>BMP2015</v>
      </c>
      <c r="D203">
        <v>8.7276527420137885E-14</v>
      </c>
      <c r="E203">
        <v>0.2574832071696555</v>
      </c>
      <c r="F203">
        <v>2.6168419149844442</v>
      </c>
      <c r="G203">
        <v>28.522336434969269</v>
      </c>
      <c r="H203">
        <v>7.0673613164558517</v>
      </c>
      <c r="I203">
        <v>0.1735018747222257</v>
      </c>
      <c r="J203">
        <v>0.26435658687279912</v>
      </c>
      <c r="K203">
        <v>0.24326371306094149</v>
      </c>
      <c r="L203">
        <v>0.10776656848710971</v>
      </c>
      <c r="M203">
        <v>21</v>
      </c>
      <c r="N203">
        <v>0</v>
      </c>
      <c r="O203">
        <v>0</v>
      </c>
      <c r="P203">
        <v>0.6069</v>
      </c>
      <c r="Q203">
        <v>2.63E-2</v>
      </c>
      <c r="R203">
        <v>0.31180000000000002</v>
      </c>
      <c r="S203">
        <v>0.29509999999999997</v>
      </c>
      <c r="T203">
        <v>0.6069</v>
      </c>
      <c r="U203">
        <v>5</v>
      </c>
      <c r="V203">
        <v>0</v>
      </c>
      <c r="W203">
        <v>0.4</v>
      </c>
      <c r="X203">
        <v>1</v>
      </c>
      <c r="Y203">
        <v>0.47599999999999998</v>
      </c>
      <c r="Z203">
        <v>1</v>
      </c>
    </row>
    <row r="204" spans="1:26" x14ac:dyDescent="0.2">
      <c r="A204" t="s">
        <v>18</v>
      </c>
      <c r="B204">
        <v>2016</v>
      </c>
      <c r="C204" t="str">
        <f t="shared" si="3"/>
        <v>BMP2016</v>
      </c>
      <c r="D204">
        <v>7.506350019525471E-14</v>
      </c>
      <c r="E204">
        <v>0.2730964089615085</v>
      </c>
      <c r="F204">
        <v>3.20990995073966</v>
      </c>
      <c r="G204">
        <v>28.692649624274559</v>
      </c>
      <c r="H204">
        <v>4.462393289096183</v>
      </c>
      <c r="I204">
        <v>0.20535670161529049</v>
      </c>
      <c r="J204">
        <v>0.18567613426119409</v>
      </c>
      <c r="K204">
        <v>0.15566549112432709</v>
      </c>
      <c r="L204">
        <v>0.12986266259433371</v>
      </c>
      <c r="M204">
        <v>22</v>
      </c>
      <c r="N204">
        <v>0</v>
      </c>
      <c r="O204">
        <v>0</v>
      </c>
      <c r="P204">
        <v>0.6069</v>
      </c>
      <c r="Q204">
        <v>2.63E-2</v>
      </c>
      <c r="R204">
        <v>0.31180000000000002</v>
      </c>
      <c r="S204">
        <v>0.29509999999999997</v>
      </c>
      <c r="T204">
        <v>0.6069</v>
      </c>
      <c r="U204">
        <v>5</v>
      </c>
      <c r="V204">
        <v>0</v>
      </c>
      <c r="W204">
        <v>0.4</v>
      </c>
      <c r="X204">
        <v>1</v>
      </c>
      <c r="Y204">
        <v>0.48730000000000001</v>
      </c>
      <c r="Z204">
        <v>1</v>
      </c>
    </row>
    <row r="205" spans="1:26" x14ac:dyDescent="0.2">
      <c r="A205" t="s">
        <v>18</v>
      </c>
      <c r="B205">
        <v>2017</v>
      </c>
      <c r="C205" t="str">
        <f t="shared" si="3"/>
        <v>BMP2017</v>
      </c>
      <c r="D205">
        <v>5.6327964806570711E-14</v>
      </c>
      <c r="E205">
        <v>0.1897426899487544</v>
      </c>
      <c r="F205">
        <v>2.586985602952375</v>
      </c>
      <c r="G205">
        <v>28.686116177419699</v>
      </c>
      <c r="H205">
        <v>3.6829066531874122</v>
      </c>
      <c r="I205">
        <v>0.14733002622918809</v>
      </c>
      <c r="J205">
        <v>-2.3503820185018402E-2</v>
      </c>
      <c r="K205">
        <v>0.27123822482616139</v>
      </c>
      <c r="L205">
        <v>0.2436304389461075</v>
      </c>
      <c r="M205">
        <v>23</v>
      </c>
      <c r="N205">
        <v>0</v>
      </c>
      <c r="O205">
        <v>0</v>
      </c>
      <c r="P205">
        <v>0.58779999999999999</v>
      </c>
      <c r="Q205">
        <v>2.6499999999999999E-2</v>
      </c>
      <c r="R205">
        <v>0.29270000000000002</v>
      </c>
      <c r="S205">
        <v>0.29509999999999997</v>
      </c>
      <c r="T205">
        <v>0.58779999999999999</v>
      </c>
      <c r="U205">
        <v>5</v>
      </c>
      <c r="V205">
        <v>0</v>
      </c>
      <c r="W205">
        <v>0.4</v>
      </c>
      <c r="X205">
        <v>1</v>
      </c>
      <c r="Y205">
        <v>0.48909999999999998</v>
      </c>
      <c r="Z205">
        <v>1</v>
      </c>
    </row>
    <row r="206" spans="1:26" x14ac:dyDescent="0.2">
      <c r="A206" t="s">
        <v>18</v>
      </c>
      <c r="B206">
        <v>2018</v>
      </c>
      <c r="C206" t="str">
        <f t="shared" si="3"/>
        <v>BMP2018</v>
      </c>
      <c r="D206">
        <v>5.4069962875807498E-14</v>
      </c>
      <c r="E206">
        <v>0.17427495693636649</v>
      </c>
      <c r="F206">
        <v>1.658642253836254</v>
      </c>
      <c r="G206">
        <v>28.664987709453399</v>
      </c>
      <c r="H206">
        <v>4.1736260707229889</v>
      </c>
      <c r="I206">
        <v>0.12749670983272199</v>
      </c>
      <c r="J206">
        <v>-3.8699663326143829E-3</v>
      </c>
      <c r="K206">
        <v>5.1819727235655422E-2</v>
      </c>
      <c r="L206">
        <v>0.21750185872816821</v>
      </c>
      <c r="M206">
        <v>24</v>
      </c>
      <c r="N206">
        <v>1</v>
      </c>
      <c r="O206">
        <v>0</v>
      </c>
      <c r="P206">
        <v>0.62470000000000003</v>
      </c>
      <c r="Q206">
        <v>8.0000000000000002E-3</v>
      </c>
      <c r="R206">
        <v>0.62470000000000003</v>
      </c>
      <c r="S206">
        <v>0</v>
      </c>
      <c r="T206">
        <v>0.62470000000000003</v>
      </c>
      <c r="U206">
        <v>5</v>
      </c>
      <c r="V206">
        <v>0</v>
      </c>
      <c r="W206">
        <v>0</v>
      </c>
      <c r="X206">
        <v>0</v>
      </c>
      <c r="Y206">
        <v>0.49180000000000001</v>
      </c>
      <c r="Z206">
        <v>1</v>
      </c>
    </row>
    <row r="207" spans="1:26" x14ac:dyDescent="0.2">
      <c r="A207" t="s">
        <v>18</v>
      </c>
      <c r="B207">
        <v>2019</v>
      </c>
      <c r="C207" t="str">
        <f t="shared" si="3"/>
        <v>BMP2019</v>
      </c>
      <c r="D207">
        <v>5.2052181632856228E-14</v>
      </c>
      <c r="E207">
        <v>0.1712101034373551</v>
      </c>
      <c r="F207">
        <v>1.431884533381734</v>
      </c>
      <c r="G207">
        <v>28.678307530154171</v>
      </c>
      <c r="H207">
        <v>5.0389294886101323</v>
      </c>
      <c r="I207">
        <v>0.13355648092765651</v>
      </c>
      <c r="J207">
        <v>1.34089246893867E-2</v>
      </c>
      <c r="K207">
        <v>0.34619410110646698</v>
      </c>
      <c r="L207">
        <v>0.2277162050368432</v>
      </c>
      <c r="M207">
        <v>25</v>
      </c>
      <c r="N207">
        <v>1</v>
      </c>
      <c r="O207">
        <v>1</v>
      </c>
      <c r="P207">
        <v>0.6018</v>
      </c>
      <c r="Q207">
        <v>8.0000000000000002E-3</v>
      </c>
      <c r="R207">
        <v>0.6018</v>
      </c>
      <c r="S207">
        <v>0</v>
      </c>
      <c r="T207">
        <v>0.6018</v>
      </c>
      <c r="U207">
        <v>5</v>
      </c>
      <c r="V207">
        <v>0</v>
      </c>
      <c r="W207">
        <v>0</v>
      </c>
      <c r="X207">
        <v>0</v>
      </c>
      <c r="Y207">
        <v>0.50180000000000002</v>
      </c>
      <c r="Z207">
        <v>1</v>
      </c>
    </row>
    <row r="208" spans="1:26" x14ac:dyDescent="0.2">
      <c r="A208" t="s">
        <v>18</v>
      </c>
      <c r="B208">
        <v>2020</v>
      </c>
      <c r="C208" t="str">
        <f t="shared" si="3"/>
        <v>BMP2020</v>
      </c>
      <c r="D208">
        <v>5.719449538494587E-14</v>
      </c>
      <c r="E208">
        <v>0.21144259009586541</v>
      </c>
      <c r="F208">
        <v>1.8776690024705911</v>
      </c>
      <c r="G208">
        <v>28.73718665854464</v>
      </c>
      <c r="H208">
        <v>4.2004002057682044</v>
      </c>
      <c r="I208">
        <v>0.18235769516756789</v>
      </c>
      <c r="J208">
        <v>6.0647030878077553E-2</v>
      </c>
      <c r="K208">
        <v>0.32091183476790991</v>
      </c>
      <c r="L208">
        <v>0.16578640559966909</v>
      </c>
      <c r="M208">
        <v>26</v>
      </c>
      <c r="N208">
        <v>1</v>
      </c>
      <c r="O208">
        <v>1</v>
      </c>
      <c r="P208">
        <v>0.59620000000000006</v>
      </c>
      <c r="Q208">
        <v>8.0000000000000002E-3</v>
      </c>
      <c r="R208">
        <v>0.59620000000000006</v>
      </c>
      <c r="S208">
        <v>0</v>
      </c>
      <c r="T208">
        <v>0.59620000000000006</v>
      </c>
      <c r="U208">
        <v>5</v>
      </c>
      <c r="V208">
        <v>0</v>
      </c>
      <c r="W208">
        <v>0</v>
      </c>
      <c r="X208">
        <v>0</v>
      </c>
      <c r="Y208">
        <v>0.51180000000000003</v>
      </c>
      <c r="Z208">
        <v>1</v>
      </c>
    </row>
    <row r="209" spans="1:26" x14ac:dyDescent="0.2">
      <c r="A209" t="s">
        <v>18</v>
      </c>
      <c r="B209">
        <v>2021</v>
      </c>
      <c r="C209" t="str">
        <f t="shared" si="3"/>
        <v>BMP2021</v>
      </c>
      <c r="D209">
        <v>2.6616234228190431E-14</v>
      </c>
      <c r="E209">
        <v>9.3472498509472909E-2</v>
      </c>
      <c r="F209">
        <v>1.9196533086293119</v>
      </c>
      <c r="G209">
        <v>28.674128095547051</v>
      </c>
      <c r="H209">
        <v>4.0340270900956012</v>
      </c>
      <c r="I209">
        <v>0.19187533247121391</v>
      </c>
      <c r="J209">
        <v>-6.1111512045173733E-2</v>
      </c>
      <c r="K209">
        <v>2.0953108303941408E-2</v>
      </c>
      <c r="L209">
        <v>0.13850616137543109</v>
      </c>
      <c r="M209">
        <v>27</v>
      </c>
      <c r="N209">
        <v>1</v>
      </c>
      <c r="O209">
        <v>0</v>
      </c>
      <c r="P209">
        <v>0.64900000000000002</v>
      </c>
      <c r="Q209">
        <v>7.7000000000000002E-3</v>
      </c>
      <c r="R209">
        <v>0.64900000000000002</v>
      </c>
      <c r="S209">
        <v>0</v>
      </c>
      <c r="T209">
        <v>0.64900000000000002</v>
      </c>
      <c r="U209">
        <v>5</v>
      </c>
      <c r="V209">
        <v>0</v>
      </c>
      <c r="W209">
        <v>0</v>
      </c>
      <c r="X209">
        <v>0</v>
      </c>
      <c r="Y209">
        <v>0.5242</v>
      </c>
      <c r="Z209">
        <v>1</v>
      </c>
    </row>
    <row r="210" spans="1:26" x14ac:dyDescent="0.2">
      <c r="A210" t="s">
        <v>18</v>
      </c>
      <c r="B210">
        <v>2022</v>
      </c>
      <c r="C210" t="str">
        <f t="shared" si="3"/>
        <v>BMP2022</v>
      </c>
      <c r="D210">
        <v>7.4888023712626188E-14</v>
      </c>
      <c r="E210">
        <v>0.26485478156732079</v>
      </c>
      <c r="F210">
        <v>1.752214824702639</v>
      </c>
      <c r="G210">
        <v>28.74445370401591</v>
      </c>
      <c r="H210">
        <v>3.8416972860089031</v>
      </c>
      <c r="I210">
        <v>0.139081221483529</v>
      </c>
      <c r="J210">
        <v>7.2857455861256026E-2</v>
      </c>
      <c r="K210">
        <v>0.27888369110009192</v>
      </c>
      <c r="L210">
        <v>0.126649033710385</v>
      </c>
      <c r="M210">
        <v>28</v>
      </c>
      <c r="N210">
        <v>1</v>
      </c>
      <c r="O210">
        <v>0</v>
      </c>
      <c r="P210">
        <v>0.65310000000000001</v>
      </c>
      <c r="Q210">
        <v>7.7000000000000002E-3</v>
      </c>
      <c r="R210">
        <v>0.65310000000000001</v>
      </c>
      <c r="S210">
        <v>0</v>
      </c>
      <c r="T210">
        <v>0.65310000000000001</v>
      </c>
      <c r="U210">
        <v>5</v>
      </c>
      <c r="V210">
        <v>0</v>
      </c>
      <c r="W210">
        <v>0</v>
      </c>
      <c r="X210">
        <v>0</v>
      </c>
      <c r="Y210">
        <v>0.51819999999999999</v>
      </c>
      <c r="Z210">
        <v>1</v>
      </c>
    </row>
    <row r="211" spans="1:26" x14ac:dyDescent="0.2">
      <c r="A211" t="s">
        <v>18</v>
      </c>
      <c r="B211">
        <v>2023</v>
      </c>
      <c r="C211" t="str">
        <f t="shared" si="3"/>
        <v>BMP2023</v>
      </c>
      <c r="D211">
        <v>8616836873359.6514</v>
      </c>
      <c r="E211">
        <v>0.32533166803802083</v>
      </c>
      <c r="F211">
        <v>2.505673687728859</v>
      </c>
      <c r="G211">
        <v>28.811213676722989</v>
      </c>
      <c r="H211">
        <v>5.4901991562545183</v>
      </c>
      <c r="I211">
        <v>1.6949303922938429E-2</v>
      </c>
      <c r="J211">
        <v>6.9038848875891734E-2</v>
      </c>
      <c r="K211">
        <v>0.5248405584444561</v>
      </c>
      <c r="L211">
        <v>8.9801615074080868E-2</v>
      </c>
      <c r="M211">
        <v>29</v>
      </c>
      <c r="N211">
        <v>0</v>
      </c>
      <c r="O211">
        <v>0</v>
      </c>
      <c r="P211">
        <v>0.65310000000000001</v>
      </c>
      <c r="Q211">
        <v>7.7000000000000002E-3</v>
      </c>
      <c r="R211">
        <v>0.65310000000000001</v>
      </c>
      <c r="S211">
        <v>0</v>
      </c>
      <c r="T211">
        <v>0.65310000000000001</v>
      </c>
      <c r="U211">
        <v>5</v>
      </c>
      <c r="V211">
        <v>0</v>
      </c>
      <c r="W211">
        <v>0</v>
      </c>
      <c r="X211">
        <v>0</v>
      </c>
      <c r="Y211">
        <v>0.51819999999999999</v>
      </c>
      <c r="Z211">
        <v>1</v>
      </c>
    </row>
    <row r="212" spans="1:26" x14ac:dyDescent="0.2">
      <c r="A212" t="s">
        <v>19</v>
      </c>
      <c r="B212">
        <v>2012</v>
      </c>
      <c r="C212" t="str">
        <f t="shared" si="3"/>
        <v>BPC2012</v>
      </c>
      <c r="D212">
        <v>2.9864904326371509E-13</v>
      </c>
      <c r="E212">
        <v>0.10896672863850571</v>
      </c>
      <c r="F212">
        <v>0.70149944024369437</v>
      </c>
      <c r="G212">
        <v>25.88337725036217</v>
      </c>
      <c r="H212">
        <v>1.6348948777813499</v>
      </c>
      <c r="I212">
        <v>0.52260801005432223</v>
      </c>
      <c r="J212">
        <v>0.18734973593122731</v>
      </c>
      <c r="K212">
        <v>-3.9284643904174479E-2</v>
      </c>
      <c r="L212">
        <v>0.20654951127632501</v>
      </c>
      <c r="M212">
        <v>13</v>
      </c>
      <c r="N212">
        <v>0</v>
      </c>
      <c r="O212">
        <v>0</v>
      </c>
      <c r="P212">
        <v>0.55530000000000002</v>
      </c>
      <c r="Q212">
        <v>6.8999999999999999E-3</v>
      </c>
      <c r="R212">
        <v>0</v>
      </c>
      <c r="S212">
        <v>0.55530000000000002</v>
      </c>
      <c r="T212">
        <v>0.55530000000000002</v>
      </c>
      <c r="U212">
        <v>5</v>
      </c>
      <c r="V212">
        <v>0</v>
      </c>
      <c r="W212">
        <v>0</v>
      </c>
      <c r="X212">
        <v>0</v>
      </c>
      <c r="Y212">
        <v>0.53</v>
      </c>
      <c r="Z212">
        <v>1</v>
      </c>
    </row>
    <row r="213" spans="1:26" x14ac:dyDescent="0.2">
      <c r="A213" t="s">
        <v>19</v>
      </c>
      <c r="B213">
        <v>2013</v>
      </c>
      <c r="C213" t="str">
        <f t="shared" si="3"/>
        <v>BPC2013</v>
      </c>
      <c r="D213">
        <v>2.6703437476796662E-13</v>
      </c>
      <c r="E213">
        <v>0.1045899794898953</v>
      </c>
      <c r="F213">
        <v>0.75466956090217985</v>
      </c>
      <c r="G213">
        <v>25.93015009748293</v>
      </c>
      <c r="H213">
        <v>1.4889861480315489</v>
      </c>
      <c r="I213">
        <v>0.53398682491846938</v>
      </c>
      <c r="J213">
        <v>5.2492997459690598E-2</v>
      </c>
      <c r="K213">
        <v>-3.1753303213882263E-2</v>
      </c>
      <c r="L213">
        <v>0.17778828036630259</v>
      </c>
      <c r="M213">
        <v>14</v>
      </c>
      <c r="N213">
        <v>0</v>
      </c>
      <c r="O213">
        <v>0</v>
      </c>
      <c r="P213">
        <v>0.55530000000000002</v>
      </c>
      <c r="Q213">
        <v>6.8999999999999999E-3</v>
      </c>
      <c r="R213">
        <v>0</v>
      </c>
      <c r="S213">
        <v>0.55530000000000002</v>
      </c>
      <c r="T213">
        <v>0.55530000000000002</v>
      </c>
      <c r="U213">
        <v>5</v>
      </c>
      <c r="V213">
        <v>0</v>
      </c>
      <c r="W213">
        <v>0</v>
      </c>
      <c r="X213">
        <v>0</v>
      </c>
      <c r="Y213">
        <v>0.54</v>
      </c>
      <c r="Z213">
        <v>1</v>
      </c>
    </row>
    <row r="214" spans="1:26" x14ac:dyDescent="0.2">
      <c r="A214" t="s">
        <v>19</v>
      </c>
      <c r="B214">
        <v>2014</v>
      </c>
      <c r="C214" t="str">
        <f t="shared" si="3"/>
        <v>BPC2014</v>
      </c>
      <c r="D214">
        <v>2.8906269924384799E-13</v>
      </c>
      <c r="E214">
        <v>9.5024581591259913E-2</v>
      </c>
      <c r="F214">
        <v>0.75100051109533417</v>
      </c>
      <c r="G214">
        <v>25.856334574655062</v>
      </c>
      <c r="H214">
        <v>1.5109189546677011</v>
      </c>
      <c r="I214">
        <v>0.48427341915074362</v>
      </c>
      <c r="J214">
        <v>-7.5224532723122683E-2</v>
      </c>
      <c r="K214">
        <v>5.6377920237159179E-2</v>
      </c>
      <c r="L214">
        <v>0.145947318046802</v>
      </c>
      <c r="M214">
        <v>15</v>
      </c>
      <c r="N214">
        <v>0</v>
      </c>
      <c r="O214">
        <v>0</v>
      </c>
      <c r="P214">
        <v>0.66650000000000009</v>
      </c>
      <c r="Q214">
        <v>6.8999999999999999E-3</v>
      </c>
      <c r="R214">
        <v>0</v>
      </c>
      <c r="S214">
        <v>0.55530000000000002</v>
      </c>
      <c r="T214">
        <v>0.55530000000000002</v>
      </c>
      <c r="U214">
        <v>5</v>
      </c>
      <c r="V214">
        <v>0</v>
      </c>
      <c r="W214">
        <v>0</v>
      </c>
      <c r="X214">
        <v>0</v>
      </c>
      <c r="Y214">
        <v>0.55000000000000004</v>
      </c>
      <c r="Z214">
        <v>1</v>
      </c>
    </row>
    <row r="215" spans="1:26" x14ac:dyDescent="0.2">
      <c r="A215" t="s">
        <v>19</v>
      </c>
      <c r="B215">
        <v>2015</v>
      </c>
      <c r="C215" t="str">
        <f t="shared" si="3"/>
        <v>BPC2015</v>
      </c>
      <c r="D215">
        <v>3.0430437769663159E-13</v>
      </c>
      <c r="E215">
        <v>0.1164159474966944</v>
      </c>
      <c r="F215">
        <v>0.76943484379970728</v>
      </c>
      <c r="G215">
        <v>25.94867339974865</v>
      </c>
      <c r="H215">
        <v>1.763575385679697</v>
      </c>
      <c r="I215">
        <v>0.5139718841236891</v>
      </c>
      <c r="J215">
        <v>9.6736360934055229E-2</v>
      </c>
      <c r="K215">
        <v>-7.7402120222343898E-2</v>
      </c>
      <c r="L215">
        <v>9.5441067840828411E-2</v>
      </c>
      <c r="M215">
        <v>16</v>
      </c>
      <c r="N215">
        <v>0</v>
      </c>
      <c r="O215">
        <v>0</v>
      </c>
      <c r="P215">
        <v>0.60189999999999999</v>
      </c>
      <c r="Q215">
        <v>0.1187</v>
      </c>
      <c r="R215">
        <v>0</v>
      </c>
      <c r="S215">
        <v>0.49</v>
      </c>
      <c r="T215">
        <v>0.49</v>
      </c>
      <c r="U215">
        <v>5</v>
      </c>
      <c r="V215">
        <v>0</v>
      </c>
      <c r="W215">
        <v>0</v>
      </c>
      <c r="X215">
        <v>0</v>
      </c>
      <c r="Y215">
        <v>0.5</v>
      </c>
      <c r="Z215">
        <v>1</v>
      </c>
    </row>
    <row r="216" spans="1:26" x14ac:dyDescent="0.2">
      <c r="A216" t="s">
        <v>19</v>
      </c>
      <c r="B216">
        <v>2016</v>
      </c>
      <c r="C216" t="str">
        <f t="shared" si="3"/>
        <v>BPC2016</v>
      </c>
      <c r="D216">
        <v>3.6963246816832408E-13</v>
      </c>
      <c r="E216">
        <v>0.17065162452810601</v>
      </c>
      <c r="F216">
        <v>0.86513581578340593</v>
      </c>
      <c r="G216">
        <v>26.089044307004269</v>
      </c>
      <c r="H216">
        <v>1.759938549365254</v>
      </c>
      <c r="I216">
        <v>0.53656624203222347</v>
      </c>
      <c r="J216">
        <v>0.1507005228877987</v>
      </c>
      <c r="K216">
        <v>3.2932094940999079E-2</v>
      </c>
      <c r="L216">
        <v>3.846120862374152E-2</v>
      </c>
      <c r="M216">
        <v>17</v>
      </c>
      <c r="N216">
        <v>0</v>
      </c>
      <c r="O216">
        <v>0</v>
      </c>
      <c r="P216">
        <v>0.5887</v>
      </c>
      <c r="Q216">
        <v>0.1046</v>
      </c>
      <c r="R216">
        <v>0</v>
      </c>
      <c r="S216">
        <v>0.49</v>
      </c>
      <c r="T216">
        <v>0.49</v>
      </c>
      <c r="U216">
        <v>5</v>
      </c>
      <c r="V216">
        <v>0</v>
      </c>
      <c r="W216">
        <v>0</v>
      </c>
      <c r="X216">
        <v>0</v>
      </c>
      <c r="Y216">
        <v>0.5</v>
      </c>
      <c r="Z216">
        <v>1</v>
      </c>
    </row>
    <row r="217" spans="1:26" x14ac:dyDescent="0.2">
      <c r="A217" t="s">
        <v>19</v>
      </c>
      <c r="B217">
        <v>2017</v>
      </c>
      <c r="C217" t="str">
        <f t="shared" si="3"/>
        <v>BPC2017</v>
      </c>
      <c r="D217">
        <v>2.2188216106383959E-13</v>
      </c>
      <c r="E217">
        <v>0.13684433865747689</v>
      </c>
      <c r="F217">
        <v>0.86252869088009976</v>
      </c>
      <c r="G217">
        <v>26.253139028063359</v>
      </c>
      <c r="H217">
        <v>1.792022524067985</v>
      </c>
      <c r="I217">
        <v>0.59122063509604428</v>
      </c>
      <c r="J217">
        <v>0.17832592208616019</v>
      </c>
      <c r="K217">
        <v>-2.26873048358072E-2</v>
      </c>
      <c r="L217">
        <v>2.082031314578224E-2</v>
      </c>
      <c r="M217">
        <v>18</v>
      </c>
      <c r="N217">
        <v>0</v>
      </c>
      <c r="O217">
        <v>0</v>
      </c>
      <c r="P217">
        <v>0.49</v>
      </c>
      <c r="Q217">
        <v>5.7999999999999996E-3</v>
      </c>
      <c r="R217">
        <v>0</v>
      </c>
      <c r="S217">
        <v>0.49</v>
      </c>
      <c r="T217">
        <v>0.49</v>
      </c>
      <c r="U217">
        <v>5</v>
      </c>
      <c r="V217">
        <v>0</v>
      </c>
      <c r="W217">
        <v>0</v>
      </c>
      <c r="X217">
        <v>0</v>
      </c>
      <c r="Y217">
        <v>0.51</v>
      </c>
      <c r="Z217">
        <v>1</v>
      </c>
    </row>
    <row r="218" spans="1:26" x14ac:dyDescent="0.2">
      <c r="A218" t="s">
        <v>19</v>
      </c>
      <c r="B218">
        <v>2018</v>
      </c>
      <c r="C218" t="str">
        <f t="shared" si="3"/>
        <v>BPC2018</v>
      </c>
      <c r="D218">
        <v>1.187140971558465E-13</v>
      </c>
      <c r="E218">
        <v>5.7762927653436373E-2</v>
      </c>
      <c r="F218">
        <v>0.84544868874788293</v>
      </c>
      <c r="G218">
        <v>26.111586849483551</v>
      </c>
      <c r="H218">
        <v>1.6562001201043151</v>
      </c>
      <c r="I218">
        <v>0.55024999219846971</v>
      </c>
      <c r="J218">
        <v>-0.13199011711969591</v>
      </c>
      <c r="K218">
        <v>3.6151363775828622E-2</v>
      </c>
      <c r="L218">
        <v>2.082035223683406E-2</v>
      </c>
      <c r="M218">
        <v>19</v>
      </c>
      <c r="N218">
        <v>0</v>
      </c>
      <c r="O218">
        <v>0</v>
      </c>
      <c r="P218">
        <v>0.49</v>
      </c>
      <c r="Q218">
        <v>5.7999999999999996E-3</v>
      </c>
      <c r="R218">
        <v>0</v>
      </c>
      <c r="S218">
        <v>0.49</v>
      </c>
      <c r="T218">
        <v>0.49</v>
      </c>
      <c r="U218">
        <v>5</v>
      </c>
      <c r="V218">
        <v>0</v>
      </c>
      <c r="W218">
        <v>0</v>
      </c>
      <c r="X218">
        <v>0</v>
      </c>
      <c r="Y218">
        <v>0.52670000000000006</v>
      </c>
      <c r="Z218">
        <v>1</v>
      </c>
    </row>
    <row r="219" spans="1:26" x14ac:dyDescent="0.2">
      <c r="A219" t="s">
        <v>19</v>
      </c>
      <c r="B219">
        <v>2019</v>
      </c>
      <c r="C219" t="str">
        <f t="shared" si="3"/>
        <v>BPC2019</v>
      </c>
      <c r="D219">
        <v>1.047269689320868E-13</v>
      </c>
      <c r="E219">
        <v>5.3458207855959998E-2</v>
      </c>
      <c r="F219">
        <v>0.7352172536700825</v>
      </c>
      <c r="G219">
        <v>26.133264942016329</v>
      </c>
      <c r="H219">
        <v>1.7795177858175879</v>
      </c>
      <c r="I219">
        <v>0.56189632396817624</v>
      </c>
      <c r="J219">
        <v>2.191476952191795E-2</v>
      </c>
      <c r="K219">
        <v>3.381486070887306E-3</v>
      </c>
      <c r="L219">
        <v>1.597010436321411E-2</v>
      </c>
      <c r="M219">
        <v>20</v>
      </c>
      <c r="N219">
        <v>0</v>
      </c>
      <c r="O219">
        <v>1</v>
      </c>
      <c r="P219">
        <v>0.49</v>
      </c>
      <c r="Q219">
        <v>5.8999999999999999E-3</v>
      </c>
      <c r="R219">
        <v>0</v>
      </c>
      <c r="S219">
        <v>0.49</v>
      </c>
      <c r="T219">
        <v>0.49</v>
      </c>
      <c r="U219">
        <v>5</v>
      </c>
      <c r="V219">
        <v>0</v>
      </c>
      <c r="W219">
        <v>0</v>
      </c>
      <c r="X219">
        <v>0</v>
      </c>
      <c r="Y219">
        <v>0.53670000000000007</v>
      </c>
      <c r="Z219">
        <v>1</v>
      </c>
    </row>
    <row r="220" spans="1:26" x14ac:dyDescent="0.2">
      <c r="A220" t="s">
        <v>19</v>
      </c>
      <c r="B220">
        <v>2020</v>
      </c>
      <c r="C220" t="str">
        <f t="shared" si="3"/>
        <v>BPC2020</v>
      </c>
      <c r="D220">
        <v>1.2553559163294509E-13</v>
      </c>
      <c r="E220">
        <v>5.4659720949899543E-2</v>
      </c>
      <c r="F220">
        <v>0.72092993520542381</v>
      </c>
      <c r="G220">
        <v>26.050608688926499</v>
      </c>
      <c r="H220">
        <v>1.751265942954483</v>
      </c>
      <c r="I220">
        <v>0.52713728949657634</v>
      </c>
      <c r="J220">
        <v>-7.9332430535274057E-2</v>
      </c>
      <c r="K220">
        <v>9.8978868666454875E-2</v>
      </c>
      <c r="L220">
        <v>1.9107139728397709E-2</v>
      </c>
      <c r="M220">
        <v>21</v>
      </c>
      <c r="N220">
        <v>0</v>
      </c>
      <c r="O220">
        <v>1</v>
      </c>
      <c r="P220">
        <v>0.49</v>
      </c>
      <c r="Q220">
        <v>5.8999999999999999E-3</v>
      </c>
      <c r="R220">
        <v>0</v>
      </c>
      <c r="S220">
        <v>0.49</v>
      </c>
      <c r="T220">
        <v>0.49</v>
      </c>
      <c r="U220">
        <v>5</v>
      </c>
      <c r="V220">
        <v>0</v>
      </c>
      <c r="W220">
        <v>0.2</v>
      </c>
      <c r="X220">
        <v>0</v>
      </c>
      <c r="Y220">
        <v>0.46400000000000002</v>
      </c>
      <c r="Z220">
        <v>1</v>
      </c>
    </row>
    <row r="221" spans="1:26" x14ac:dyDescent="0.2">
      <c r="A221" t="s">
        <v>19</v>
      </c>
      <c r="B221">
        <v>2021</v>
      </c>
      <c r="C221" t="str">
        <f t="shared" si="3"/>
        <v>BPC2021</v>
      </c>
      <c r="D221">
        <v>1.119221826535208E-13</v>
      </c>
      <c r="E221">
        <v>3.8925386309761487E-2</v>
      </c>
      <c r="F221">
        <v>0.75330563980693122</v>
      </c>
      <c r="G221">
        <v>25.933796125532051</v>
      </c>
      <c r="H221">
        <v>1.860792017215039</v>
      </c>
      <c r="I221">
        <v>0.47327031854616419</v>
      </c>
      <c r="J221">
        <v>-0.11024805037999259</v>
      </c>
      <c r="K221">
        <v>0.14272470844851559</v>
      </c>
      <c r="L221">
        <v>1.8418002772023479E-2</v>
      </c>
      <c r="M221">
        <v>22</v>
      </c>
      <c r="N221">
        <v>0</v>
      </c>
      <c r="O221">
        <v>0</v>
      </c>
      <c r="P221">
        <v>0.54259999999999997</v>
      </c>
      <c r="Q221">
        <v>1.01E-2</v>
      </c>
      <c r="R221">
        <v>0</v>
      </c>
      <c r="S221">
        <v>0.49</v>
      </c>
      <c r="T221">
        <v>0.49</v>
      </c>
      <c r="U221">
        <v>5</v>
      </c>
      <c r="V221">
        <v>0</v>
      </c>
      <c r="W221">
        <v>0.2</v>
      </c>
      <c r="X221">
        <v>0</v>
      </c>
      <c r="Y221">
        <v>0.4425</v>
      </c>
      <c r="Z221">
        <v>1</v>
      </c>
    </row>
    <row r="222" spans="1:26" x14ac:dyDescent="0.2">
      <c r="A222" t="s">
        <v>19</v>
      </c>
      <c r="B222">
        <v>2022</v>
      </c>
      <c r="C222" t="str">
        <f t="shared" si="3"/>
        <v>BPC2022</v>
      </c>
      <c r="D222">
        <v>2.540816670216119E-14</v>
      </c>
      <c r="E222">
        <v>1.1619256445005839E-2</v>
      </c>
      <c r="F222">
        <v>0.71214505882234092</v>
      </c>
      <c r="G222">
        <v>26.056663305637279</v>
      </c>
      <c r="H222">
        <v>2.0740408995926289</v>
      </c>
      <c r="I222">
        <v>0.54703975846035058</v>
      </c>
      <c r="J222">
        <v>0.13073422697230089</v>
      </c>
      <c r="K222">
        <v>-3.4598451930405949E-2</v>
      </c>
      <c r="L222">
        <v>1.156879144103525E-2</v>
      </c>
      <c r="M222">
        <v>23</v>
      </c>
      <c r="N222">
        <v>0</v>
      </c>
      <c r="O222">
        <v>0</v>
      </c>
      <c r="P222">
        <v>0.59439999999999993</v>
      </c>
      <c r="Q222">
        <v>7.4000000000000003E-3</v>
      </c>
      <c r="R222">
        <v>0</v>
      </c>
      <c r="S222">
        <v>0.49</v>
      </c>
      <c r="T222">
        <v>0.49</v>
      </c>
      <c r="U222">
        <v>4</v>
      </c>
      <c r="V222">
        <v>1</v>
      </c>
      <c r="W222">
        <v>0.25</v>
      </c>
      <c r="X222">
        <v>0</v>
      </c>
      <c r="Y222">
        <v>0.45250000000000001</v>
      </c>
      <c r="Z222">
        <v>1</v>
      </c>
    </row>
    <row r="223" spans="1:26" x14ac:dyDescent="0.2">
      <c r="A223" t="s">
        <v>19</v>
      </c>
      <c r="B223">
        <v>2023</v>
      </c>
      <c r="C223" t="str">
        <f t="shared" si="3"/>
        <v>BPC2023</v>
      </c>
      <c r="D223">
        <v>-67079114544.887756</v>
      </c>
      <c r="E223">
        <v>7.4378251508813217E-3</v>
      </c>
      <c r="F223">
        <v>0.38051266631886671</v>
      </c>
      <c r="G223">
        <v>25.954612296637141</v>
      </c>
      <c r="H223">
        <v>1.8068727058174261</v>
      </c>
      <c r="I223">
        <v>0.1895420499330967</v>
      </c>
      <c r="J223">
        <v>-9.7016509790866512E-2</v>
      </c>
      <c r="K223">
        <v>9.8662779529985166E-3</v>
      </c>
      <c r="L223">
        <v>8.0212533390967688E-3</v>
      </c>
      <c r="M223">
        <v>24</v>
      </c>
      <c r="N223">
        <v>0</v>
      </c>
      <c r="O223">
        <v>0</v>
      </c>
      <c r="P223">
        <v>0.59439999999999993</v>
      </c>
      <c r="Q223">
        <v>7.4000000000000003E-3</v>
      </c>
      <c r="R223">
        <v>0</v>
      </c>
      <c r="S223">
        <v>0.49</v>
      </c>
      <c r="T223">
        <v>0.49</v>
      </c>
      <c r="U223">
        <v>4</v>
      </c>
      <c r="V223">
        <v>1</v>
      </c>
      <c r="W223">
        <v>0.25</v>
      </c>
      <c r="X223">
        <v>0</v>
      </c>
      <c r="Y223">
        <v>0.45250000000000001</v>
      </c>
      <c r="Z223">
        <v>1</v>
      </c>
    </row>
    <row r="224" spans="1:26" x14ac:dyDescent="0.2">
      <c r="A224" t="s">
        <v>20</v>
      </c>
      <c r="B224">
        <v>2012</v>
      </c>
      <c r="C224" t="str">
        <f t="shared" si="3"/>
        <v>BRC2012</v>
      </c>
      <c r="D224">
        <v>3.1971778237487229E-13</v>
      </c>
      <c r="E224">
        <v>0.1172615931493876</v>
      </c>
      <c r="F224">
        <v>0.79689597491295239</v>
      </c>
      <c r="G224">
        <v>26.143224464444849</v>
      </c>
      <c r="H224">
        <v>3.345919782398497</v>
      </c>
      <c r="I224">
        <v>0.38415825308356832</v>
      </c>
      <c r="J224">
        <v>0.2417840743670803</v>
      </c>
      <c r="K224">
        <v>1.7562971296131661E-3</v>
      </c>
      <c r="L224">
        <v>0.19135420081016291</v>
      </c>
      <c r="M224">
        <v>18</v>
      </c>
      <c r="N224">
        <v>0</v>
      </c>
      <c r="O224">
        <v>0</v>
      </c>
      <c r="P224">
        <v>0.7924000000000001</v>
      </c>
      <c r="Q224">
        <v>6.8999999999999999E-3</v>
      </c>
      <c r="R224">
        <v>0</v>
      </c>
      <c r="S224">
        <v>0.51239999999999997</v>
      </c>
      <c r="T224">
        <v>0.7924000000000001</v>
      </c>
      <c r="U224">
        <v>5</v>
      </c>
      <c r="V224">
        <v>0</v>
      </c>
      <c r="W224">
        <v>0.2</v>
      </c>
      <c r="X224">
        <v>0</v>
      </c>
      <c r="Y224">
        <v>0.4733</v>
      </c>
      <c r="Z224">
        <v>1</v>
      </c>
    </row>
    <row r="225" spans="1:26" x14ac:dyDescent="0.2">
      <c r="A225" t="s">
        <v>20</v>
      </c>
      <c r="B225">
        <v>2013</v>
      </c>
      <c r="C225" t="str">
        <f t="shared" si="3"/>
        <v>BRC2013</v>
      </c>
      <c r="D225">
        <v>1.2901677496094229E-13</v>
      </c>
      <c r="E225">
        <v>6.2226814948656652E-2</v>
      </c>
      <c r="F225">
        <v>0.84111768763176031</v>
      </c>
      <c r="G225">
        <v>26.39855435889028</v>
      </c>
      <c r="H225">
        <v>2.6455535699214199</v>
      </c>
      <c r="I225">
        <v>0.39547384216928833</v>
      </c>
      <c r="J225">
        <v>0.2923046233842661</v>
      </c>
      <c r="K225">
        <v>-3.0249959943125069E-4</v>
      </c>
      <c r="L225">
        <v>0.46275193611005672</v>
      </c>
      <c r="M225">
        <v>19</v>
      </c>
      <c r="N225">
        <v>0</v>
      </c>
      <c r="O225">
        <v>0</v>
      </c>
      <c r="P225">
        <v>0.87080000000000002</v>
      </c>
      <c r="Q225">
        <v>4.7999999999999996E-3</v>
      </c>
      <c r="R225">
        <v>0</v>
      </c>
      <c r="S225">
        <v>0.68409999999999993</v>
      </c>
      <c r="T225">
        <v>0.87080000000000002</v>
      </c>
      <c r="U225">
        <v>5</v>
      </c>
      <c r="V225">
        <v>0</v>
      </c>
      <c r="W225">
        <v>0.2</v>
      </c>
      <c r="X225">
        <v>0</v>
      </c>
      <c r="Y225">
        <v>0.46800000000000003</v>
      </c>
      <c r="Z225">
        <v>1</v>
      </c>
    </row>
    <row r="226" spans="1:26" x14ac:dyDescent="0.2">
      <c r="A226" t="s">
        <v>20</v>
      </c>
      <c r="B226">
        <v>2014</v>
      </c>
      <c r="C226" t="str">
        <f t="shared" si="3"/>
        <v>BRC2014</v>
      </c>
      <c r="D226">
        <v>1.92088506480037E-13</v>
      </c>
      <c r="E226">
        <v>8.8196377789810473E-2</v>
      </c>
      <c r="F226">
        <v>0.81271071008835072</v>
      </c>
      <c r="G226">
        <v>26.404415941448139</v>
      </c>
      <c r="H226">
        <v>3.1701800419396271</v>
      </c>
      <c r="I226">
        <v>0.36123255804127402</v>
      </c>
      <c r="J226">
        <v>5.1421146836727596E-3</v>
      </c>
      <c r="K226">
        <v>7.6957407863426669E-2</v>
      </c>
      <c r="L226">
        <v>0.46459033471889349</v>
      </c>
      <c r="M226">
        <v>20</v>
      </c>
      <c r="N226">
        <v>0</v>
      </c>
      <c r="O226">
        <v>0</v>
      </c>
      <c r="P226">
        <v>0.87380000000000013</v>
      </c>
      <c r="Q226">
        <v>4.7999999999999996E-3</v>
      </c>
      <c r="R226">
        <v>0</v>
      </c>
      <c r="S226">
        <v>0.68710000000000004</v>
      </c>
      <c r="T226">
        <v>0.87380000000000013</v>
      </c>
      <c r="U226">
        <v>5</v>
      </c>
      <c r="V226">
        <v>0</v>
      </c>
      <c r="W226">
        <v>0.2</v>
      </c>
      <c r="X226">
        <v>0</v>
      </c>
      <c r="Y226">
        <v>0.47799999999999998</v>
      </c>
      <c r="Z226">
        <v>1</v>
      </c>
    </row>
    <row r="227" spans="1:26" x14ac:dyDescent="0.2">
      <c r="A227" t="s">
        <v>20</v>
      </c>
      <c r="B227">
        <v>2015</v>
      </c>
      <c r="C227" t="str">
        <f t="shared" si="3"/>
        <v>BRC2015</v>
      </c>
      <c r="D227">
        <v>1.6667185904847871E-13</v>
      </c>
      <c r="E227">
        <v>6.9411226172023527E-2</v>
      </c>
      <c r="F227">
        <v>0.77150003940603584</v>
      </c>
      <c r="G227">
        <v>26.364249276496722</v>
      </c>
      <c r="H227">
        <v>2.4162487687896999</v>
      </c>
      <c r="I227">
        <v>0.32348015074935332</v>
      </c>
      <c r="J227">
        <v>-3.9370677429600758E-2</v>
      </c>
      <c r="K227">
        <v>3.7763366831550522E-2</v>
      </c>
      <c r="L227">
        <v>0.48013886560198149</v>
      </c>
      <c r="M227">
        <v>21</v>
      </c>
      <c r="N227">
        <v>0</v>
      </c>
      <c r="O227">
        <v>0</v>
      </c>
      <c r="P227">
        <v>0.87380000000000013</v>
      </c>
      <c r="Q227">
        <v>0.19059999999999999</v>
      </c>
      <c r="R227">
        <v>0</v>
      </c>
      <c r="S227">
        <v>0.68710000000000004</v>
      </c>
      <c r="T227">
        <v>0.87380000000000013</v>
      </c>
      <c r="U227">
        <v>5</v>
      </c>
      <c r="V227">
        <v>0</v>
      </c>
      <c r="W227">
        <v>0.2</v>
      </c>
      <c r="X227">
        <v>0</v>
      </c>
      <c r="Y227">
        <v>0.48199999999999998</v>
      </c>
      <c r="Z227">
        <v>1</v>
      </c>
    </row>
    <row r="228" spans="1:26" x14ac:dyDescent="0.2">
      <c r="A228" t="s">
        <v>20</v>
      </c>
      <c r="B228">
        <v>2016</v>
      </c>
      <c r="C228" t="str">
        <f t="shared" si="3"/>
        <v>BRC2016</v>
      </c>
      <c r="D228">
        <v>2.9291449413519372E-13</v>
      </c>
      <c r="E228">
        <v>0.1117817739243582</v>
      </c>
      <c r="F228">
        <v>0.75983071430409566</v>
      </c>
      <c r="G228">
        <v>26.329555607251351</v>
      </c>
      <c r="H228">
        <v>2.2768507087415228</v>
      </c>
      <c r="I228">
        <v>0.28689977087484753</v>
      </c>
      <c r="J228">
        <v>-3.4098743796465943E-2</v>
      </c>
      <c r="K228">
        <v>5.4248954607257018E-2</v>
      </c>
      <c r="L228">
        <v>0.46013494362272661</v>
      </c>
      <c r="M228">
        <v>22</v>
      </c>
      <c r="N228">
        <v>0</v>
      </c>
      <c r="O228">
        <v>0</v>
      </c>
      <c r="P228">
        <v>0.87380000000000013</v>
      </c>
      <c r="Q228">
        <v>0.18890000000000001</v>
      </c>
      <c r="R228">
        <v>0</v>
      </c>
      <c r="S228">
        <v>0.68710000000000004</v>
      </c>
      <c r="T228">
        <v>0.87380000000000013</v>
      </c>
      <c r="U228">
        <v>5</v>
      </c>
      <c r="V228">
        <v>0</v>
      </c>
      <c r="W228">
        <v>0.2</v>
      </c>
      <c r="X228">
        <v>0</v>
      </c>
      <c r="Y228">
        <v>0.45</v>
      </c>
      <c r="Z228">
        <v>1</v>
      </c>
    </row>
    <row r="229" spans="1:26" x14ac:dyDescent="0.2">
      <c r="A229" t="s">
        <v>20</v>
      </c>
      <c r="B229">
        <v>2017</v>
      </c>
      <c r="C229" t="str">
        <f t="shared" si="3"/>
        <v>BRC2017</v>
      </c>
      <c r="D229">
        <v>2.3280206619972579E-13</v>
      </c>
      <c r="E229">
        <v>7.839757580207854E-2</v>
      </c>
      <c r="F229">
        <v>0.70041397234776082</v>
      </c>
      <c r="G229">
        <v>26.271657648270129</v>
      </c>
      <c r="H229">
        <v>2.6875647544851229</v>
      </c>
      <c r="I229">
        <v>0.23735900978893451</v>
      </c>
      <c r="J229">
        <v>-5.6253756648211188E-2</v>
      </c>
      <c r="K229">
        <v>8.9624298997343491E-2</v>
      </c>
      <c r="L229">
        <v>0.44380147240697132</v>
      </c>
      <c r="M229">
        <v>23</v>
      </c>
      <c r="N229">
        <v>0</v>
      </c>
      <c r="O229">
        <v>0</v>
      </c>
      <c r="P229">
        <v>0.87380000000000013</v>
      </c>
      <c r="Q229">
        <v>1.4E-3</v>
      </c>
      <c r="R229">
        <v>0</v>
      </c>
      <c r="S229">
        <v>0.1986</v>
      </c>
      <c r="T229">
        <v>0.87380000000000013</v>
      </c>
      <c r="U229">
        <v>5</v>
      </c>
      <c r="V229">
        <v>0</v>
      </c>
      <c r="W229">
        <v>0</v>
      </c>
      <c r="X229">
        <v>1</v>
      </c>
      <c r="Y229">
        <v>0.44500000000000001</v>
      </c>
      <c r="Z229">
        <v>1</v>
      </c>
    </row>
    <row r="230" spans="1:26" x14ac:dyDescent="0.2">
      <c r="A230" t="s">
        <v>20</v>
      </c>
      <c r="B230">
        <v>2018</v>
      </c>
      <c r="C230" t="str">
        <f t="shared" si="3"/>
        <v>BRC2018</v>
      </c>
      <c r="D230">
        <v>2.3911025822489202E-13</v>
      </c>
      <c r="E230">
        <v>8.5164781671213274E-2</v>
      </c>
      <c r="F230">
        <v>0.67483446705947303</v>
      </c>
      <c r="G230">
        <v>26.308606183538789</v>
      </c>
      <c r="H230">
        <v>2.8544473213497681</v>
      </c>
      <c r="I230">
        <v>0.25179490174603092</v>
      </c>
      <c r="J230">
        <v>3.7639617619824151E-2</v>
      </c>
      <c r="K230">
        <v>8.5767065595857866E-2</v>
      </c>
      <c r="L230">
        <v>0.40571817059635268</v>
      </c>
      <c r="M230">
        <v>24</v>
      </c>
      <c r="N230">
        <v>0</v>
      </c>
      <c r="O230">
        <v>0</v>
      </c>
      <c r="P230">
        <v>0.87390000000000001</v>
      </c>
      <c r="Q230">
        <v>1.4E-3</v>
      </c>
      <c r="R230">
        <v>0</v>
      </c>
      <c r="S230">
        <v>0.1986</v>
      </c>
      <c r="T230">
        <v>0.87390000000000001</v>
      </c>
      <c r="U230">
        <v>4</v>
      </c>
      <c r="V230">
        <v>0</v>
      </c>
      <c r="W230">
        <v>0</v>
      </c>
      <c r="X230">
        <v>1</v>
      </c>
      <c r="Y230">
        <v>0.45219999999999999</v>
      </c>
      <c r="Z230">
        <v>1</v>
      </c>
    </row>
    <row r="231" spans="1:26" x14ac:dyDescent="0.2">
      <c r="A231" t="s">
        <v>20</v>
      </c>
      <c r="B231">
        <v>2019</v>
      </c>
      <c r="C231" t="str">
        <f t="shared" si="3"/>
        <v>BRC2019</v>
      </c>
      <c r="D231">
        <v>2.7056899594089049E-13</v>
      </c>
      <c r="E231">
        <v>9.603652294211705E-2</v>
      </c>
      <c r="F231">
        <v>0.71603727885196489</v>
      </c>
      <c r="G231">
        <v>26.317922293426619</v>
      </c>
      <c r="H231">
        <v>2.2952153873685122</v>
      </c>
      <c r="I231">
        <v>0.24217307837261329</v>
      </c>
      <c r="J231">
        <v>9.3596399113715645E-3</v>
      </c>
      <c r="K231">
        <v>0.1183053297017351</v>
      </c>
      <c r="L231">
        <v>0.36175741824530122</v>
      </c>
      <c r="M231">
        <v>25</v>
      </c>
      <c r="N231">
        <v>0</v>
      </c>
      <c r="O231">
        <v>1</v>
      </c>
      <c r="P231">
        <v>0.87390000000000001</v>
      </c>
      <c r="Q231">
        <v>1.4E-3</v>
      </c>
      <c r="R231">
        <v>0</v>
      </c>
      <c r="S231">
        <v>0.1986</v>
      </c>
      <c r="T231">
        <v>0.87390000000000001</v>
      </c>
      <c r="U231">
        <v>5</v>
      </c>
      <c r="V231">
        <v>0</v>
      </c>
      <c r="W231">
        <v>0</v>
      </c>
      <c r="X231">
        <v>1</v>
      </c>
      <c r="Y231">
        <v>0.47099999999999997</v>
      </c>
      <c r="Z231">
        <v>1</v>
      </c>
    </row>
    <row r="232" spans="1:26" x14ac:dyDescent="0.2">
      <c r="A232" t="s">
        <v>20</v>
      </c>
      <c r="B232">
        <v>2020</v>
      </c>
      <c r="C232" t="str">
        <f t="shared" si="3"/>
        <v>BRC2020</v>
      </c>
      <c r="D232">
        <v>2.4425569505402348E-13</v>
      </c>
      <c r="E232">
        <v>0.1022199379907196</v>
      </c>
      <c r="F232">
        <v>0.79383179398097803</v>
      </c>
      <c r="G232">
        <v>26.407125319270051</v>
      </c>
      <c r="H232">
        <v>2.1548355671631811</v>
      </c>
      <c r="I232">
        <v>0.2972871513237611</v>
      </c>
      <c r="J232">
        <v>9.3302602478159802E-2</v>
      </c>
      <c r="K232">
        <v>-1.982386971480363E-2</v>
      </c>
      <c r="L232">
        <v>0.29092897781083088</v>
      </c>
      <c r="M232">
        <v>26</v>
      </c>
      <c r="N232">
        <v>0</v>
      </c>
      <c r="O232">
        <v>1</v>
      </c>
      <c r="P232">
        <v>0.87390000000000001</v>
      </c>
      <c r="Q232">
        <v>1.6000000000000001E-3</v>
      </c>
      <c r="R232">
        <v>0</v>
      </c>
      <c r="S232">
        <v>0.1986</v>
      </c>
      <c r="T232">
        <v>0.87390000000000001</v>
      </c>
      <c r="U232">
        <v>5</v>
      </c>
      <c r="V232">
        <v>0</v>
      </c>
      <c r="W232">
        <v>0</v>
      </c>
      <c r="X232">
        <v>1</v>
      </c>
      <c r="Y232">
        <v>0.46</v>
      </c>
      <c r="Z232">
        <v>1</v>
      </c>
    </row>
    <row r="233" spans="1:26" x14ac:dyDescent="0.2">
      <c r="A233" t="s">
        <v>20</v>
      </c>
      <c r="B233">
        <v>2021</v>
      </c>
      <c r="C233" t="str">
        <f t="shared" si="3"/>
        <v>BRC2021</v>
      </c>
      <c r="D233">
        <v>2.2382026116452639E-13</v>
      </c>
      <c r="E233">
        <v>0.10256593330011619</v>
      </c>
      <c r="F233">
        <v>0.98034760217715566</v>
      </c>
      <c r="G233">
        <v>26.464190695470531</v>
      </c>
      <c r="H233">
        <v>2.045467932911929</v>
      </c>
      <c r="I233">
        <v>0.32056447762865198</v>
      </c>
      <c r="J233">
        <v>5.8725023552416822E-2</v>
      </c>
      <c r="K233">
        <v>4.6458877313481708E-2</v>
      </c>
      <c r="L233">
        <v>0.2610963556640104</v>
      </c>
      <c r="M233">
        <v>27</v>
      </c>
      <c r="N233">
        <v>0</v>
      </c>
      <c r="O233">
        <v>0</v>
      </c>
      <c r="P233">
        <v>0.87390000000000001</v>
      </c>
      <c r="Q233">
        <v>1.6000000000000001E-3</v>
      </c>
      <c r="R233">
        <v>0</v>
      </c>
      <c r="S233">
        <v>0.87390000000000001</v>
      </c>
      <c r="T233">
        <v>0.87390000000000001</v>
      </c>
      <c r="U233">
        <v>5</v>
      </c>
      <c r="V233">
        <v>0</v>
      </c>
      <c r="W233">
        <v>0.2</v>
      </c>
      <c r="X233">
        <v>1</v>
      </c>
      <c r="Y233">
        <v>0.47</v>
      </c>
      <c r="Z233">
        <v>1</v>
      </c>
    </row>
    <row r="234" spans="1:26" x14ac:dyDescent="0.2">
      <c r="A234" t="s">
        <v>20</v>
      </c>
      <c r="B234">
        <v>2022</v>
      </c>
      <c r="C234" t="str">
        <f t="shared" si="3"/>
        <v>BRC2022</v>
      </c>
      <c r="D234">
        <v>1.9473538734765511E-13</v>
      </c>
      <c r="E234">
        <v>8.8547538848918181E-2</v>
      </c>
      <c r="F234">
        <v>0.72812263291689638</v>
      </c>
      <c r="G234">
        <v>26.457355068810131</v>
      </c>
      <c r="H234">
        <v>2.015642628300828</v>
      </c>
      <c r="I234">
        <v>0.31993300797857421</v>
      </c>
      <c r="J234">
        <v>-6.8123169069711498E-3</v>
      </c>
      <c r="K234">
        <v>5.4816632432908789E-2</v>
      </c>
      <c r="L234">
        <v>0.23599760800270761</v>
      </c>
      <c r="M234">
        <v>28</v>
      </c>
      <c r="N234">
        <v>0</v>
      </c>
      <c r="O234">
        <v>0</v>
      </c>
      <c r="P234">
        <v>0.87390000000000001</v>
      </c>
      <c r="Q234">
        <v>1.6000000000000001E-3</v>
      </c>
      <c r="R234">
        <v>0</v>
      </c>
      <c r="S234">
        <v>0.48859999999999998</v>
      </c>
      <c r="T234">
        <v>0.87390000000000001</v>
      </c>
      <c r="U234">
        <v>5</v>
      </c>
      <c r="V234">
        <v>0</v>
      </c>
      <c r="W234">
        <v>0.2</v>
      </c>
      <c r="X234">
        <v>0</v>
      </c>
      <c r="Y234">
        <v>0.44600000000000001</v>
      </c>
      <c r="Z234">
        <v>1</v>
      </c>
    </row>
    <row r="235" spans="1:26" x14ac:dyDescent="0.2">
      <c r="A235" t="s">
        <v>20</v>
      </c>
      <c r="B235">
        <v>2023</v>
      </c>
      <c r="C235" t="str">
        <f t="shared" si="3"/>
        <v>BRC2023</v>
      </c>
      <c r="D235">
        <v>-322490139687.85742</v>
      </c>
      <c r="E235">
        <v>7.7520684301243259E-2</v>
      </c>
      <c r="F235">
        <v>0.61273653298759823</v>
      </c>
      <c r="G235">
        <v>26.395246483367419</v>
      </c>
      <c r="H235">
        <v>2.1062959589700712</v>
      </c>
      <c r="I235">
        <v>0.13796742468918979</v>
      </c>
      <c r="J235">
        <v>-6.0219165267493047E-2</v>
      </c>
      <c r="K235">
        <v>0.13834611299242089</v>
      </c>
      <c r="L235">
        <v>0.22317169766734521</v>
      </c>
      <c r="M235">
        <v>29</v>
      </c>
      <c r="N235">
        <v>0</v>
      </c>
      <c r="O235">
        <v>0</v>
      </c>
      <c r="P235">
        <v>0.87390000000000001</v>
      </c>
      <c r="Q235">
        <v>1.6000000000000001E-3</v>
      </c>
      <c r="R235">
        <v>0</v>
      </c>
      <c r="S235">
        <v>0.48859999999999998</v>
      </c>
      <c r="T235">
        <v>0.87390000000000001</v>
      </c>
      <c r="U235">
        <v>5</v>
      </c>
      <c r="V235">
        <v>0</v>
      </c>
      <c r="W235">
        <v>0.2</v>
      </c>
      <c r="X235">
        <v>0</v>
      </c>
      <c r="Y235">
        <v>0.44600000000000001</v>
      </c>
      <c r="Z235">
        <v>1</v>
      </c>
    </row>
    <row r="236" spans="1:26" x14ac:dyDescent="0.2">
      <c r="A236" t="s">
        <v>21</v>
      </c>
      <c r="B236">
        <v>2012</v>
      </c>
      <c r="C236" t="str">
        <f t="shared" si="3"/>
        <v>BTS2012</v>
      </c>
      <c r="D236">
        <v>-1.2266333064397699E-15</v>
      </c>
      <c r="E236">
        <v>-3.234987127307553E-2</v>
      </c>
      <c r="F236">
        <v>0.88395582622531077</v>
      </c>
      <c r="G236">
        <v>29.258946937771771</v>
      </c>
      <c r="H236" t="e">
        <v>#N/A</v>
      </c>
      <c r="I236">
        <v>0.80687371016517284</v>
      </c>
      <c r="J236">
        <v>-7.2567490709893101E-2</v>
      </c>
      <c r="K236">
        <v>7.3156783327106997E-2</v>
      </c>
      <c r="L236">
        <v>0.81010661008197349</v>
      </c>
      <c r="M236">
        <v>15</v>
      </c>
      <c r="N236">
        <v>1</v>
      </c>
      <c r="O236">
        <v>0</v>
      </c>
      <c r="P236">
        <v>0.90510000000000002</v>
      </c>
      <c r="Q236">
        <v>1E-4</v>
      </c>
      <c r="R236">
        <v>0</v>
      </c>
      <c r="S236">
        <v>0.79510000000000003</v>
      </c>
      <c r="T236">
        <v>0.90510000000000002</v>
      </c>
      <c r="U236">
        <v>7</v>
      </c>
      <c r="V236">
        <v>0</v>
      </c>
      <c r="W236">
        <v>0</v>
      </c>
      <c r="X236">
        <v>0</v>
      </c>
      <c r="Y236">
        <v>0.49</v>
      </c>
      <c r="Z236">
        <v>1</v>
      </c>
    </row>
    <row r="237" spans="1:26" x14ac:dyDescent="0.2">
      <c r="A237" t="s">
        <v>21</v>
      </c>
      <c r="B237">
        <v>2013</v>
      </c>
      <c r="C237" t="str">
        <f t="shared" si="3"/>
        <v>BTS2013</v>
      </c>
      <c r="D237">
        <v>-9.0631940289920903E-15</v>
      </c>
      <c r="E237">
        <v>-0.24934308828247909</v>
      </c>
      <c r="F237">
        <v>0.90877244755511899</v>
      </c>
      <c r="G237">
        <v>29.244456114015779</v>
      </c>
      <c r="H237">
        <v>0.39588770880628238</v>
      </c>
      <c r="I237">
        <v>0.81753067728901552</v>
      </c>
      <c r="J237">
        <v>-1.4120959043177009E-2</v>
      </c>
      <c r="K237">
        <v>3.8485527319310132E-2</v>
      </c>
      <c r="L237">
        <v>0.77353401148427003</v>
      </c>
      <c r="M237">
        <v>16</v>
      </c>
      <c r="N237">
        <v>1</v>
      </c>
      <c r="O237">
        <v>0</v>
      </c>
      <c r="P237">
        <v>0.90510000000000002</v>
      </c>
      <c r="Q237">
        <v>0</v>
      </c>
      <c r="R237">
        <v>0</v>
      </c>
      <c r="S237">
        <v>0.79510000000000003</v>
      </c>
      <c r="T237">
        <v>0.90510000000000002</v>
      </c>
      <c r="U237">
        <v>7</v>
      </c>
      <c r="V237">
        <v>0</v>
      </c>
      <c r="W237">
        <v>0.14285714285714279</v>
      </c>
      <c r="X237">
        <v>0</v>
      </c>
      <c r="Y237">
        <v>0.49209999999999998</v>
      </c>
      <c r="Z237">
        <v>1</v>
      </c>
    </row>
    <row r="238" spans="1:26" x14ac:dyDescent="0.2">
      <c r="A238" t="s">
        <v>21</v>
      </c>
      <c r="B238">
        <v>2014</v>
      </c>
      <c r="C238" t="str">
        <f t="shared" si="3"/>
        <v>BTS2014</v>
      </c>
      <c r="D238">
        <v>6.1289876013672197E-15</v>
      </c>
      <c r="E238">
        <v>0.11132579809753219</v>
      </c>
      <c r="F238">
        <v>0.94052273813738585</v>
      </c>
      <c r="G238">
        <v>29.125636218214261</v>
      </c>
      <c r="H238">
        <v>0.47730792365035007</v>
      </c>
      <c r="I238">
        <v>0.7545878744158292</v>
      </c>
      <c r="J238">
        <v>-0.1122713092768808</v>
      </c>
      <c r="K238">
        <v>0.10404755189073391</v>
      </c>
      <c r="L238">
        <v>0.81637342169962024</v>
      </c>
      <c r="M238">
        <v>17</v>
      </c>
      <c r="N238">
        <v>1</v>
      </c>
      <c r="O238">
        <v>0</v>
      </c>
      <c r="P238">
        <v>0.90510000000000002</v>
      </c>
      <c r="Q238">
        <v>0.1101</v>
      </c>
      <c r="R238">
        <v>0</v>
      </c>
      <c r="S238">
        <v>0.79510000000000003</v>
      </c>
      <c r="T238">
        <v>0.90510000000000002</v>
      </c>
      <c r="U238">
        <v>8</v>
      </c>
      <c r="V238">
        <v>0</v>
      </c>
      <c r="W238">
        <v>0</v>
      </c>
      <c r="X238">
        <v>0</v>
      </c>
      <c r="Y238">
        <v>0.46250000000000002</v>
      </c>
      <c r="Z238">
        <v>1</v>
      </c>
    </row>
    <row r="239" spans="1:26" x14ac:dyDescent="0.2">
      <c r="A239" t="s">
        <v>21</v>
      </c>
      <c r="B239">
        <v>2015</v>
      </c>
      <c r="C239" t="str">
        <f t="shared" si="3"/>
        <v>BTS2015</v>
      </c>
      <c r="D239">
        <v>8.5973394346091331E-15</v>
      </c>
      <c r="E239">
        <v>0.11465482898249051</v>
      </c>
      <c r="F239">
        <v>0.93738974345927628</v>
      </c>
      <c r="G239">
        <v>29.032063495021561</v>
      </c>
      <c r="H239">
        <v>0.45042800723498649</v>
      </c>
      <c r="I239">
        <v>0.69560557300893078</v>
      </c>
      <c r="J239">
        <v>-8.8026251735124572E-2</v>
      </c>
      <c r="K239">
        <v>0.1181744128891568</v>
      </c>
      <c r="L239">
        <v>0.79214869909217434</v>
      </c>
      <c r="M239">
        <v>18</v>
      </c>
      <c r="N239">
        <v>1</v>
      </c>
      <c r="O239">
        <v>0</v>
      </c>
      <c r="P239">
        <v>0.90510000000000002</v>
      </c>
      <c r="Q239">
        <v>2.0000000000000001E-4</v>
      </c>
      <c r="R239">
        <v>0</v>
      </c>
      <c r="S239">
        <v>0.79510000000000003</v>
      </c>
      <c r="T239">
        <v>0.90510000000000002</v>
      </c>
      <c r="U239">
        <v>7</v>
      </c>
      <c r="V239">
        <v>0</v>
      </c>
      <c r="W239">
        <v>0</v>
      </c>
      <c r="X239">
        <v>0</v>
      </c>
      <c r="Y239">
        <v>0.46600000000000003</v>
      </c>
      <c r="Z239">
        <v>1</v>
      </c>
    </row>
    <row r="240" spans="1:26" x14ac:dyDescent="0.2">
      <c r="A240" t="s">
        <v>21</v>
      </c>
      <c r="B240">
        <v>2016</v>
      </c>
      <c r="C240" t="str">
        <f t="shared" si="3"/>
        <v>BTS2016</v>
      </c>
      <c r="D240">
        <v>7.9889016090913551E-15</v>
      </c>
      <c r="E240">
        <v>9.7130223726875783E-2</v>
      </c>
      <c r="F240">
        <v>0.92691135105511213</v>
      </c>
      <c r="G240">
        <v>29.036214053630559</v>
      </c>
      <c r="H240">
        <v>0.432513361173336</v>
      </c>
      <c r="I240">
        <v>0.66472573259982437</v>
      </c>
      <c r="J240">
        <v>3.0521450682206019E-3</v>
      </c>
      <c r="K240">
        <v>2.792798929342994E-2</v>
      </c>
      <c r="L240">
        <v>0.7757245756284934</v>
      </c>
      <c r="M240">
        <v>19</v>
      </c>
      <c r="N240">
        <v>1</v>
      </c>
      <c r="O240">
        <v>0</v>
      </c>
      <c r="P240">
        <v>0.90510000000000002</v>
      </c>
      <c r="Q240">
        <v>1E-4</v>
      </c>
      <c r="R240">
        <v>0</v>
      </c>
      <c r="S240">
        <v>0.79510000000000003</v>
      </c>
      <c r="T240">
        <v>0.90510000000000002</v>
      </c>
      <c r="U240">
        <v>6</v>
      </c>
      <c r="V240">
        <v>0</v>
      </c>
      <c r="W240">
        <v>0</v>
      </c>
      <c r="X240">
        <v>0</v>
      </c>
      <c r="Y240">
        <v>0.45079999999999998</v>
      </c>
      <c r="Z240">
        <v>1</v>
      </c>
    </row>
    <row r="241" spans="1:26" x14ac:dyDescent="0.2">
      <c r="A241" t="s">
        <v>21</v>
      </c>
      <c r="B241">
        <v>2017</v>
      </c>
      <c r="C241" t="str">
        <f t="shared" si="3"/>
        <v>BTS2017</v>
      </c>
      <c r="D241">
        <v>2.199300911276857E-16</v>
      </c>
      <c r="E241">
        <v>2.40846218509439E-3</v>
      </c>
      <c r="F241">
        <v>0.79254660942909905</v>
      </c>
      <c r="G241">
        <v>28.971157574701831</v>
      </c>
      <c r="H241">
        <v>0.48547349689444158</v>
      </c>
      <c r="I241">
        <v>0.65121428354537192</v>
      </c>
      <c r="J241">
        <v>-6.3290489969456409E-2</v>
      </c>
      <c r="K241">
        <v>0.124157860670874</v>
      </c>
      <c r="L241">
        <v>0.7823359307979898</v>
      </c>
      <c r="M241">
        <v>20</v>
      </c>
      <c r="N241">
        <v>1</v>
      </c>
      <c r="O241">
        <v>0</v>
      </c>
      <c r="P241">
        <v>0.90500000000000003</v>
      </c>
      <c r="Q241">
        <v>1E-4</v>
      </c>
      <c r="R241">
        <v>0</v>
      </c>
      <c r="S241">
        <v>0.79510000000000003</v>
      </c>
      <c r="T241">
        <v>0.90500000000000003</v>
      </c>
      <c r="U241">
        <v>8</v>
      </c>
      <c r="V241">
        <v>0</v>
      </c>
      <c r="W241">
        <v>0</v>
      </c>
      <c r="X241">
        <v>0</v>
      </c>
      <c r="Y241">
        <v>0.45429999999999998</v>
      </c>
      <c r="Z241">
        <v>1</v>
      </c>
    </row>
    <row r="242" spans="1:26" x14ac:dyDescent="0.2">
      <c r="A242" t="s">
        <v>21</v>
      </c>
      <c r="B242">
        <v>2018</v>
      </c>
      <c r="C242" t="str">
        <f t="shared" si="3"/>
        <v>BTS2018</v>
      </c>
      <c r="D242">
        <v>1.614256001401228E-15</v>
      </c>
      <c r="E242">
        <v>1.4883130068701509E-2</v>
      </c>
      <c r="F242">
        <v>0.79699817573088227</v>
      </c>
      <c r="G242">
        <v>28.89275071216046</v>
      </c>
      <c r="H242">
        <v>0.42366850508541348</v>
      </c>
      <c r="I242">
        <v>0.61696334707953526</v>
      </c>
      <c r="J242">
        <v>-7.5204028580196702E-2</v>
      </c>
      <c r="K242">
        <v>0.1095405210168251</v>
      </c>
      <c r="L242">
        <v>0.78963358520769455</v>
      </c>
      <c r="M242">
        <v>21</v>
      </c>
      <c r="N242">
        <v>1</v>
      </c>
      <c r="O242">
        <v>0</v>
      </c>
      <c r="P242">
        <v>0.90500000000000003</v>
      </c>
      <c r="Q242">
        <v>0</v>
      </c>
      <c r="R242">
        <v>0</v>
      </c>
      <c r="S242">
        <v>0.79510000000000003</v>
      </c>
      <c r="T242">
        <v>0.90500000000000003</v>
      </c>
      <c r="U242">
        <v>5</v>
      </c>
      <c r="V242">
        <v>0</v>
      </c>
      <c r="W242">
        <v>0</v>
      </c>
      <c r="X242">
        <v>0</v>
      </c>
      <c r="Y242">
        <v>0.42599999999999999</v>
      </c>
      <c r="Z242">
        <v>1</v>
      </c>
    </row>
    <row r="243" spans="1:26" x14ac:dyDescent="0.2">
      <c r="A243" t="s">
        <v>21</v>
      </c>
      <c r="B243">
        <v>2019</v>
      </c>
      <c r="C243" t="str">
        <f t="shared" si="3"/>
        <v>BTS2019</v>
      </c>
      <c r="D243">
        <v>4.7391805792859891E-15</v>
      </c>
      <c r="E243">
        <v>4.1366007136321617E-2</v>
      </c>
      <c r="F243">
        <v>0.74506435338222776</v>
      </c>
      <c r="G243">
        <v>28.886212925366241</v>
      </c>
      <c r="H243">
        <v>0.34155925295314571</v>
      </c>
      <c r="I243">
        <v>0.59804028356675198</v>
      </c>
      <c r="J243">
        <v>-6.7396977697887772E-3</v>
      </c>
      <c r="K243">
        <v>0.124284630732061</v>
      </c>
      <c r="L243">
        <v>0.7654645070317917</v>
      </c>
      <c r="M243">
        <v>22</v>
      </c>
      <c r="N243">
        <v>1</v>
      </c>
      <c r="O243">
        <v>1</v>
      </c>
      <c r="P243">
        <v>0.90510000000000002</v>
      </c>
      <c r="Q243">
        <v>0</v>
      </c>
      <c r="R243">
        <v>0</v>
      </c>
      <c r="S243">
        <v>0.79510000000000003</v>
      </c>
      <c r="T243">
        <v>0.90510000000000002</v>
      </c>
      <c r="U243">
        <v>5</v>
      </c>
      <c r="V243">
        <v>0</v>
      </c>
      <c r="W243">
        <v>0</v>
      </c>
      <c r="X243">
        <v>0</v>
      </c>
      <c r="Y243">
        <v>0.43819999999999998</v>
      </c>
      <c r="Z243">
        <v>1</v>
      </c>
    </row>
    <row r="244" spans="1:26" x14ac:dyDescent="0.2">
      <c r="A244" t="s">
        <v>21</v>
      </c>
      <c r="B244">
        <v>2020</v>
      </c>
      <c r="C244" t="str">
        <f t="shared" si="3"/>
        <v>BTS2020</v>
      </c>
      <c r="D244">
        <v>1.6230359910096471E-15</v>
      </c>
      <c r="E244">
        <v>1.236130706314343E-2</v>
      </c>
      <c r="F244">
        <v>0.74973011939721423</v>
      </c>
      <c r="G244">
        <v>28.813360734073939</v>
      </c>
      <c r="H244">
        <v>0.34405158427272481</v>
      </c>
      <c r="I244">
        <v>0.57170073645447483</v>
      </c>
      <c r="J244">
        <v>-7.0261756721654023E-2</v>
      </c>
      <c r="K244">
        <v>6.341072197005726E-2</v>
      </c>
      <c r="L244">
        <v>0.79399024106835181</v>
      </c>
      <c r="M244">
        <v>23</v>
      </c>
      <c r="N244">
        <v>1</v>
      </c>
      <c r="O244">
        <v>1</v>
      </c>
      <c r="P244">
        <v>0.90510000000000002</v>
      </c>
      <c r="Q244">
        <v>0</v>
      </c>
      <c r="R244">
        <v>0</v>
      </c>
      <c r="S244">
        <v>0.79510000000000003</v>
      </c>
      <c r="T244">
        <v>0.90510000000000002</v>
      </c>
      <c r="U244">
        <v>5</v>
      </c>
      <c r="V244">
        <v>0</v>
      </c>
      <c r="W244">
        <v>0.2</v>
      </c>
      <c r="X244">
        <v>0</v>
      </c>
      <c r="Y244">
        <v>0.42670000000000002</v>
      </c>
      <c r="Z244">
        <v>1</v>
      </c>
    </row>
    <row r="245" spans="1:26" x14ac:dyDescent="0.2">
      <c r="A245" t="s">
        <v>21</v>
      </c>
      <c r="B245">
        <v>2021</v>
      </c>
      <c r="C245" t="str">
        <f t="shared" si="3"/>
        <v>BTS2021</v>
      </c>
      <c r="D245">
        <v>5.3037228325684424E-15</v>
      </c>
      <c r="E245">
        <v>3.4537214112201557E-2</v>
      </c>
      <c r="F245">
        <v>0.99113379425840964</v>
      </c>
      <c r="G245">
        <v>28.752984077500141</v>
      </c>
      <c r="H245">
        <v>0.32017228374952139</v>
      </c>
      <c r="I245">
        <v>0.52841949813671596</v>
      </c>
      <c r="J245">
        <v>-5.859012142253861E-2</v>
      </c>
      <c r="K245">
        <v>9.0948419333587147E-2</v>
      </c>
      <c r="L245">
        <v>0.78821709435103393</v>
      </c>
      <c r="M245">
        <v>24</v>
      </c>
      <c r="N245">
        <v>1</v>
      </c>
      <c r="O245">
        <v>0</v>
      </c>
      <c r="P245">
        <v>0.90500000000000003</v>
      </c>
      <c r="Q245">
        <v>0</v>
      </c>
      <c r="R245">
        <v>0</v>
      </c>
      <c r="S245">
        <v>0.79500000000000004</v>
      </c>
      <c r="T245">
        <v>0.90500000000000003</v>
      </c>
      <c r="U245">
        <v>7</v>
      </c>
      <c r="V245">
        <v>0</v>
      </c>
      <c r="W245">
        <v>0.14285714285714279</v>
      </c>
      <c r="X245">
        <v>0</v>
      </c>
      <c r="Y245">
        <v>0.45179999999999998</v>
      </c>
      <c r="Z245">
        <v>1</v>
      </c>
    </row>
    <row r="246" spans="1:26" x14ac:dyDescent="0.2">
      <c r="A246" t="s">
        <v>21</v>
      </c>
      <c r="B246">
        <v>2022</v>
      </c>
      <c r="C246" t="str">
        <f t="shared" si="3"/>
        <v>BTS2022</v>
      </c>
      <c r="D246">
        <v>4.8793557270686178E-15</v>
      </c>
      <c r="E246">
        <v>3.7929092805827701E-2</v>
      </c>
      <c r="F246">
        <v>0.81761047100467588</v>
      </c>
      <c r="G246">
        <v>28.832356195110901</v>
      </c>
      <c r="H246">
        <v>0.3603987909115397</v>
      </c>
      <c r="I246">
        <v>0.57231578478386602</v>
      </c>
      <c r="J246">
        <v>8.2607104293536113E-2</v>
      </c>
      <c r="K246">
        <v>2.6528820797155159E-2</v>
      </c>
      <c r="L246">
        <v>0.68555859240166128</v>
      </c>
      <c r="M246">
        <v>25</v>
      </c>
      <c r="N246">
        <v>1</v>
      </c>
      <c r="O246">
        <v>0</v>
      </c>
      <c r="P246">
        <v>0.90199999999999991</v>
      </c>
      <c r="Q246">
        <v>0</v>
      </c>
      <c r="R246">
        <v>0</v>
      </c>
      <c r="S246">
        <v>0.79500000000000004</v>
      </c>
      <c r="T246">
        <v>0.90199999999999991</v>
      </c>
      <c r="U246">
        <v>7</v>
      </c>
      <c r="V246">
        <v>0</v>
      </c>
      <c r="W246">
        <v>0.14285714285714279</v>
      </c>
      <c r="X246">
        <v>1</v>
      </c>
      <c r="Y246">
        <v>0.45829999999999999</v>
      </c>
      <c r="Z246">
        <v>1</v>
      </c>
    </row>
    <row r="247" spans="1:26" x14ac:dyDescent="0.2">
      <c r="A247" t="s">
        <v>21</v>
      </c>
      <c r="B247">
        <v>2023</v>
      </c>
      <c r="C247" t="str">
        <f t="shared" si="3"/>
        <v>BTS2023</v>
      </c>
      <c r="D247">
        <v>-245796837153.05551</v>
      </c>
      <c r="E247">
        <v>-4.087204544776897E-2</v>
      </c>
      <c r="F247">
        <v>0.52110731638118502</v>
      </c>
      <c r="G247">
        <v>28.883378780972421</v>
      </c>
      <c r="H247">
        <v>0.52657585067308743</v>
      </c>
      <c r="I247">
        <v>0.32686311334458351</v>
      </c>
      <c r="J247">
        <v>5.2346661170753712E-2</v>
      </c>
      <c r="K247">
        <v>3.5955783467438003E-2</v>
      </c>
      <c r="L247">
        <v>0.71341187319719934</v>
      </c>
      <c r="M247">
        <v>26</v>
      </c>
      <c r="N247">
        <v>0</v>
      </c>
      <c r="O247">
        <v>0</v>
      </c>
      <c r="P247">
        <v>0.90199999999999991</v>
      </c>
      <c r="Q247">
        <v>0</v>
      </c>
      <c r="R247">
        <v>0</v>
      </c>
      <c r="S247">
        <v>0.79500000000000004</v>
      </c>
      <c r="T247">
        <v>0.90199999999999991</v>
      </c>
      <c r="U247">
        <v>7</v>
      </c>
      <c r="V247">
        <v>0</v>
      </c>
      <c r="W247">
        <v>0.14285714285714279</v>
      </c>
      <c r="X247">
        <v>1</v>
      </c>
      <c r="Y247">
        <v>0.45829999999999999</v>
      </c>
      <c r="Z247">
        <v>1</v>
      </c>
    </row>
    <row r="248" spans="1:26" x14ac:dyDescent="0.2">
      <c r="A248" t="s">
        <v>22</v>
      </c>
      <c r="B248">
        <v>2012</v>
      </c>
      <c r="C248" t="str">
        <f t="shared" si="3"/>
        <v>BXH2012</v>
      </c>
      <c r="D248">
        <v>5.0579187084762318E-13</v>
      </c>
      <c r="E248">
        <v>0.14504875228237279</v>
      </c>
      <c r="F248">
        <v>0.77337324040613842</v>
      </c>
      <c r="G248">
        <v>25.427188119958139</v>
      </c>
      <c r="H248">
        <v>1.559506893197629</v>
      </c>
      <c r="I248">
        <v>0.61510227998295208</v>
      </c>
      <c r="J248">
        <v>-1.2473895467168931E-2</v>
      </c>
      <c r="K248">
        <v>0.78048753783049529</v>
      </c>
      <c r="L248">
        <v>0.15215932459282311</v>
      </c>
      <c r="M248">
        <v>8</v>
      </c>
      <c r="N248">
        <v>0</v>
      </c>
      <c r="O248">
        <v>0</v>
      </c>
      <c r="P248">
        <v>0.61140000000000005</v>
      </c>
      <c r="Q248">
        <v>4.8999999999999998E-3</v>
      </c>
      <c r="R248">
        <v>0</v>
      </c>
      <c r="S248">
        <v>0.61140000000000005</v>
      </c>
      <c r="T248">
        <v>0.61140000000000005</v>
      </c>
      <c r="U248">
        <v>5</v>
      </c>
      <c r="V248">
        <v>1</v>
      </c>
      <c r="W248">
        <v>0</v>
      </c>
      <c r="X248">
        <v>0</v>
      </c>
      <c r="Y248">
        <v>0.48139999999999999</v>
      </c>
      <c r="Z248">
        <v>1</v>
      </c>
    </row>
    <row r="249" spans="1:26" x14ac:dyDescent="0.2">
      <c r="A249" t="s">
        <v>22</v>
      </c>
      <c r="B249">
        <v>2013</v>
      </c>
      <c r="C249" t="str">
        <f t="shared" si="3"/>
        <v>BXH2013</v>
      </c>
      <c r="D249">
        <v>6.0164270509772579E-13</v>
      </c>
      <c r="E249">
        <v>0.17922978394360831</v>
      </c>
      <c r="F249">
        <v>0.86612510000879273</v>
      </c>
      <c r="G249">
        <v>25.487186329512681</v>
      </c>
      <c r="H249">
        <v>1.587633416278198</v>
      </c>
      <c r="I249">
        <v>0.60656512322070688</v>
      </c>
      <c r="J249">
        <v>6.8093138285330701E-2</v>
      </c>
      <c r="K249">
        <v>-8.6193199555867239E-2</v>
      </c>
      <c r="L249">
        <v>0.12956616699816259</v>
      </c>
      <c r="M249">
        <v>9</v>
      </c>
      <c r="N249">
        <v>0</v>
      </c>
      <c r="O249">
        <v>0</v>
      </c>
      <c r="P249">
        <v>0.61140000000000005</v>
      </c>
      <c r="Q249">
        <v>4.3700000000000003E-2</v>
      </c>
      <c r="R249">
        <v>0</v>
      </c>
      <c r="S249">
        <v>0.61140000000000005</v>
      </c>
      <c r="T249">
        <v>0.61140000000000005</v>
      </c>
      <c r="U249">
        <v>5</v>
      </c>
      <c r="V249">
        <v>1</v>
      </c>
      <c r="W249">
        <v>0</v>
      </c>
      <c r="X249">
        <v>0</v>
      </c>
      <c r="Y249">
        <v>0.48859999999999998</v>
      </c>
      <c r="Z249">
        <v>1</v>
      </c>
    </row>
    <row r="250" spans="1:26" x14ac:dyDescent="0.2">
      <c r="A250" t="s">
        <v>22</v>
      </c>
      <c r="B250">
        <v>2014</v>
      </c>
      <c r="C250" t="str">
        <f t="shared" si="3"/>
        <v>BXH2014</v>
      </c>
      <c r="D250">
        <v>4.5742783732140902E-13</v>
      </c>
      <c r="E250">
        <v>0.12386948066606469</v>
      </c>
      <c r="F250">
        <v>0.87414886679128079</v>
      </c>
      <c r="G250">
        <v>25.47147679763307</v>
      </c>
      <c r="H250">
        <v>1.503535292842259</v>
      </c>
      <c r="I250">
        <v>0.5739308468873825</v>
      </c>
      <c r="J250">
        <v>-2.1354951133810252E-2</v>
      </c>
      <c r="K250">
        <v>6.434245719392219E-2</v>
      </c>
      <c r="L250">
        <v>0.1235207445289408</v>
      </c>
      <c r="M250">
        <v>10</v>
      </c>
      <c r="N250">
        <v>0</v>
      </c>
      <c r="O250">
        <v>0</v>
      </c>
      <c r="P250">
        <v>0.77539999999999987</v>
      </c>
      <c r="Q250">
        <v>2.7099999999999999E-2</v>
      </c>
      <c r="R250">
        <v>0</v>
      </c>
      <c r="S250">
        <v>0.61140000000000005</v>
      </c>
      <c r="T250">
        <v>0.7117</v>
      </c>
      <c r="U250">
        <v>5</v>
      </c>
      <c r="V250">
        <v>1</v>
      </c>
      <c r="W250">
        <v>0</v>
      </c>
      <c r="X250">
        <v>0</v>
      </c>
      <c r="Y250">
        <v>0.49859999999999999</v>
      </c>
      <c r="Z250">
        <v>1</v>
      </c>
    </row>
    <row r="251" spans="1:26" x14ac:dyDescent="0.2">
      <c r="A251" t="s">
        <v>22</v>
      </c>
      <c r="B251">
        <v>2015</v>
      </c>
      <c r="C251" t="str">
        <f t="shared" si="3"/>
        <v>BXH2015</v>
      </c>
      <c r="D251">
        <v>3.401305288839851E-13</v>
      </c>
      <c r="E251">
        <v>0.1044663721296868</v>
      </c>
      <c r="F251">
        <v>1.0035766306248239</v>
      </c>
      <c r="G251">
        <v>25.556320595863781</v>
      </c>
      <c r="H251">
        <v>1.5739258101274261</v>
      </c>
      <c r="I251">
        <v>0.59108022423847317</v>
      </c>
      <c r="J251">
        <v>8.8547020447430125E-2</v>
      </c>
      <c r="K251">
        <v>3.0871945196789211E-2</v>
      </c>
      <c r="L251">
        <v>0.10524855284557021</v>
      </c>
      <c r="M251">
        <v>11</v>
      </c>
      <c r="N251">
        <v>0</v>
      </c>
      <c r="O251">
        <v>0</v>
      </c>
      <c r="P251">
        <v>0.72699999999999998</v>
      </c>
      <c r="Q251">
        <v>4.4999999999999998E-2</v>
      </c>
      <c r="R251">
        <v>0</v>
      </c>
      <c r="S251">
        <v>0.4899</v>
      </c>
      <c r="T251">
        <v>0.6633</v>
      </c>
      <c r="U251">
        <v>6</v>
      </c>
      <c r="V251">
        <v>0</v>
      </c>
      <c r="W251">
        <v>0</v>
      </c>
      <c r="X251">
        <v>0</v>
      </c>
      <c r="Y251">
        <v>0.49880000000000002</v>
      </c>
      <c r="Z251">
        <v>1</v>
      </c>
    </row>
    <row r="252" spans="1:26" x14ac:dyDescent="0.2">
      <c r="A252" t="s">
        <v>22</v>
      </c>
      <c r="B252">
        <v>2016</v>
      </c>
      <c r="C252" t="str">
        <f t="shared" si="3"/>
        <v>BXH2016</v>
      </c>
      <c r="D252">
        <v>4.8877714877647379E-13</v>
      </c>
      <c r="E252">
        <v>0.15791730154614869</v>
      </c>
      <c r="F252">
        <v>1.1808800794384049</v>
      </c>
      <c r="G252">
        <v>25.607628039397682</v>
      </c>
      <c r="H252">
        <v>1.5120424574453071</v>
      </c>
      <c r="I252">
        <v>0.59080272631293818</v>
      </c>
      <c r="J252">
        <v>5.2646472890996547E-2</v>
      </c>
      <c r="K252">
        <v>7.1742218166113342E-2</v>
      </c>
      <c r="L252">
        <v>8.2982522955645469E-2</v>
      </c>
      <c r="M252">
        <v>12</v>
      </c>
      <c r="N252">
        <v>0</v>
      </c>
      <c r="O252">
        <v>0</v>
      </c>
      <c r="P252">
        <v>0.76990000000000014</v>
      </c>
      <c r="Q252">
        <v>3.1899999999999998E-2</v>
      </c>
      <c r="R252">
        <v>0</v>
      </c>
      <c r="S252">
        <v>0.4899</v>
      </c>
      <c r="T252">
        <v>0.76990000000000014</v>
      </c>
      <c r="U252">
        <v>5</v>
      </c>
      <c r="V252">
        <v>0</v>
      </c>
      <c r="W252">
        <v>0</v>
      </c>
      <c r="X252">
        <v>0</v>
      </c>
      <c r="Y252">
        <v>0.49569999999999997</v>
      </c>
      <c r="Z252">
        <v>1</v>
      </c>
    </row>
    <row r="253" spans="1:26" x14ac:dyDescent="0.2">
      <c r="A253" t="s">
        <v>22</v>
      </c>
      <c r="B253">
        <v>2017</v>
      </c>
      <c r="C253" t="str">
        <f t="shared" si="3"/>
        <v>BXH2017</v>
      </c>
      <c r="D253">
        <v>2.2153940051266509E-13</v>
      </c>
      <c r="E253">
        <v>5.4913164742498681E-2</v>
      </c>
      <c r="F253">
        <v>0.81276993032125011</v>
      </c>
      <c r="G253">
        <v>25.503361187517001</v>
      </c>
      <c r="H253">
        <v>1.552155120825603</v>
      </c>
      <c r="I253">
        <v>0.51944451753168952</v>
      </c>
      <c r="J253">
        <v>-9.9015164159086289E-2</v>
      </c>
      <c r="K253">
        <v>-7.8703718444195242E-2</v>
      </c>
      <c r="L253">
        <v>0.1036559589800477</v>
      </c>
      <c r="M253">
        <v>13</v>
      </c>
      <c r="N253">
        <v>0</v>
      </c>
      <c r="O253">
        <v>0</v>
      </c>
      <c r="P253">
        <v>0.67030000000000001</v>
      </c>
      <c r="Q253">
        <v>3.2000000000000001E-2</v>
      </c>
      <c r="R253">
        <v>0</v>
      </c>
      <c r="S253">
        <v>0.4899</v>
      </c>
      <c r="T253">
        <v>0.67030000000000001</v>
      </c>
      <c r="U253">
        <v>5</v>
      </c>
      <c r="V253">
        <v>0</v>
      </c>
      <c r="W253">
        <v>0</v>
      </c>
      <c r="X253">
        <v>0</v>
      </c>
      <c r="Y253">
        <v>0.50570000000000004</v>
      </c>
      <c r="Z253">
        <v>1</v>
      </c>
    </row>
    <row r="254" spans="1:26" x14ac:dyDescent="0.2">
      <c r="A254" t="s">
        <v>22</v>
      </c>
      <c r="B254">
        <v>2018</v>
      </c>
      <c r="C254" t="str">
        <f t="shared" si="3"/>
        <v>BXH2018</v>
      </c>
      <c r="D254">
        <v>1.3071151947776669E-13</v>
      </c>
      <c r="E254">
        <v>4.2500736738104637E-2</v>
      </c>
      <c r="F254">
        <v>0.85204274072668007</v>
      </c>
      <c r="G254">
        <v>25.632525116233591</v>
      </c>
      <c r="H254">
        <v>1.7255818682603949</v>
      </c>
      <c r="I254">
        <v>0.58314825874416565</v>
      </c>
      <c r="J254">
        <v>0.1378766395348627</v>
      </c>
      <c r="K254">
        <v>9.9841661974353207E-2</v>
      </c>
      <c r="L254">
        <v>7.7963358175759737E-2</v>
      </c>
      <c r="M254">
        <v>14</v>
      </c>
      <c r="N254">
        <v>0</v>
      </c>
      <c r="O254">
        <v>0</v>
      </c>
      <c r="P254">
        <v>0.67030000000000001</v>
      </c>
      <c r="Q254">
        <v>3.0200000000000001E-2</v>
      </c>
      <c r="R254">
        <v>0</v>
      </c>
      <c r="S254">
        <v>0.4899</v>
      </c>
      <c r="T254">
        <v>0.67030000000000001</v>
      </c>
      <c r="U254">
        <v>5</v>
      </c>
      <c r="V254">
        <v>0</v>
      </c>
      <c r="W254">
        <v>0.2</v>
      </c>
      <c r="X254">
        <v>0</v>
      </c>
      <c r="Y254">
        <v>0.46379999999999999</v>
      </c>
      <c r="Z254">
        <v>1</v>
      </c>
    </row>
    <row r="255" spans="1:26" x14ac:dyDescent="0.2">
      <c r="A255" t="s">
        <v>22</v>
      </c>
      <c r="B255">
        <v>2019</v>
      </c>
      <c r="C255" t="str">
        <f t="shared" si="3"/>
        <v>BXH2019</v>
      </c>
      <c r="D255">
        <v>1.8138394697233601E-13</v>
      </c>
      <c r="E255">
        <v>6.0428689915164001E-2</v>
      </c>
      <c r="F255">
        <v>0.79305293778073427</v>
      </c>
      <c r="G255">
        <v>25.654135380414651</v>
      </c>
      <c r="H255">
        <v>1.5790665414849281</v>
      </c>
      <c r="I255">
        <v>0.5842759947006082</v>
      </c>
      <c r="J255">
        <v>2.1845457078207401E-2</v>
      </c>
      <c r="K255">
        <v>1.116693666933634E-2</v>
      </c>
      <c r="L255">
        <v>5.7112864664112029E-2</v>
      </c>
      <c r="M255">
        <v>15</v>
      </c>
      <c r="N255">
        <v>0</v>
      </c>
      <c r="O255">
        <v>1</v>
      </c>
      <c r="P255">
        <v>0.67030000000000001</v>
      </c>
      <c r="Q255">
        <v>3.0200000000000001E-2</v>
      </c>
      <c r="R255">
        <v>0</v>
      </c>
      <c r="S255">
        <v>0.4899</v>
      </c>
      <c r="T255">
        <v>0.67030000000000001</v>
      </c>
      <c r="U255">
        <v>5</v>
      </c>
      <c r="V255">
        <v>0</v>
      </c>
      <c r="W255">
        <v>0.2</v>
      </c>
      <c r="X255">
        <v>0</v>
      </c>
      <c r="Y255">
        <v>0.49</v>
      </c>
      <c r="Z255">
        <v>1</v>
      </c>
    </row>
    <row r="256" spans="1:26" x14ac:dyDescent="0.2">
      <c r="A256" t="s">
        <v>22</v>
      </c>
      <c r="B256">
        <v>2020</v>
      </c>
      <c r="C256" t="str">
        <f t="shared" si="3"/>
        <v>BXH2020</v>
      </c>
      <c r="D256">
        <v>1.9267439528523981E-13</v>
      </c>
      <c r="E256">
        <v>6.8735795545175657E-2</v>
      </c>
      <c r="F256">
        <v>0.84754657989549187</v>
      </c>
      <c r="G256">
        <v>25.692785957973388</v>
      </c>
      <c r="H256">
        <v>1.612254207285553</v>
      </c>
      <c r="I256">
        <v>0.59646964698071059</v>
      </c>
      <c r="J256">
        <v>3.9407227977946491E-2</v>
      </c>
      <c r="K256">
        <v>6.5424695048748732E-2</v>
      </c>
      <c r="L256">
        <v>4.0392196945488783E-2</v>
      </c>
      <c r="M256">
        <v>16</v>
      </c>
      <c r="N256">
        <v>0</v>
      </c>
      <c r="O256">
        <v>1</v>
      </c>
      <c r="P256">
        <v>0.8096000000000001</v>
      </c>
      <c r="Q256">
        <v>3.0200000000000001E-2</v>
      </c>
      <c r="R256">
        <v>0</v>
      </c>
      <c r="S256">
        <v>0.4899</v>
      </c>
      <c r="T256">
        <v>0.8096000000000001</v>
      </c>
      <c r="U256">
        <v>5</v>
      </c>
      <c r="V256">
        <v>0</v>
      </c>
      <c r="W256">
        <v>0.2</v>
      </c>
      <c r="X256">
        <v>0</v>
      </c>
      <c r="Y256">
        <v>0.48380000000000001</v>
      </c>
      <c r="Z256">
        <v>1</v>
      </c>
    </row>
    <row r="257" spans="1:26" x14ac:dyDescent="0.2">
      <c r="A257" t="s">
        <v>22</v>
      </c>
      <c r="B257">
        <v>2021</v>
      </c>
      <c r="C257" t="str">
        <f t="shared" si="3"/>
        <v>BXH2021</v>
      </c>
      <c r="D257">
        <v>9.6793824000080833E-14</v>
      </c>
      <c r="E257">
        <v>2.9231823361454079E-2</v>
      </c>
      <c r="F257">
        <v>0.97442445890621354</v>
      </c>
      <c r="G257">
        <v>25.588716800218389</v>
      </c>
      <c r="H257">
        <v>1.607860055774917</v>
      </c>
      <c r="I257">
        <v>0.57043365625281872</v>
      </c>
      <c r="J257">
        <v>-9.8837027141975398E-2</v>
      </c>
      <c r="K257">
        <v>0.1180092994062545</v>
      </c>
      <c r="L257">
        <v>4.9165744229023971E-2</v>
      </c>
      <c r="M257">
        <v>17</v>
      </c>
      <c r="N257">
        <v>0</v>
      </c>
      <c r="O257">
        <v>0</v>
      </c>
      <c r="P257">
        <v>0.8096000000000001</v>
      </c>
      <c r="Q257">
        <v>3.0200000000000001E-2</v>
      </c>
      <c r="R257">
        <v>0</v>
      </c>
      <c r="S257">
        <v>0.4899</v>
      </c>
      <c r="T257">
        <v>0.8096000000000001</v>
      </c>
      <c r="U257">
        <v>5</v>
      </c>
      <c r="V257">
        <v>0</v>
      </c>
      <c r="W257">
        <v>0.2</v>
      </c>
      <c r="X257">
        <v>0</v>
      </c>
      <c r="Y257">
        <v>0.49380000000000002</v>
      </c>
      <c r="Z257">
        <v>1</v>
      </c>
    </row>
    <row r="258" spans="1:26" x14ac:dyDescent="0.2">
      <c r="A258" t="s">
        <v>22</v>
      </c>
      <c r="B258">
        <v>2022</v>
      </c>
      <c r="C258" t="str">
        <f t="shared" si="3"/>
        <v>BXH2022</v>
      </c>
      <c r="D258">
        <v>1.32735271377707E-13</v>
      </c>
      <c r="E258">
        <v>2.7957404606748761E-2</v>
      </c>
      <c r="F258">
        <v>0.78641837938454162</v>
      </c>
      <c r="G258">
        <v>25.407886142419262</v>
      </c>
      <c r="H258">
        <v>1.661947306465877</v>
      </c>
      <c r="I258">
        <v>0.48596316745677881</v>
      </c>
      <c r="J258">
        <v>-0.16542332421895289</v>
      </c>
      <c r="K258">
        <v>7.8381684956538536E-2</v>
      </c>
      <c r="L258">
        <v>4.3377136711900917E-2</v>
      </c>
      <c r="M258">
        <v>18</v>
      </c>
      <c r="N258">
        <v>0</v>
      </c>
      <c r="O258">
        <v>0</v>
      </c>
      <c r="P258">
        <v>0.8096000000000001</v>
      </c>
      <c r="Q258">
        <v>2.7699999999999999E-2</v>
      </c>
      <c r="R258">
        <v>0</v>
      </c>
      <c r="S258">
        <v>0.4899</v>
      </c>
      <c r="T258">
        <v>0.8096000000000001</v>
      </c>
      <c r="U258">
        <v>4</v>
      </c>
      <c r="V258">
        <v>0</v>
      </c>
      <c r="W258">
        <v>0.5</v>
      </c>
      <c r="X258">
        <v>1</v>
      </c>
      <c r="Y258">
        <v>0.48570000000000002</v>
      </c>
      <c r="Z258">
        <v>1</v>
      </c>
    </row>
    <row r="259" spans="1:26" x14ac:dyDescent="0.2">
      <c r="A259" t="s">
        <v>22</v>
      </c>
      <c r="B259">
        <v>2023</v>
      </c>
      <c r="C259" t="str">
        <f t="shared" ref="C259:C322" si="4">A259&amp;B259</f>
        <v>BXH2023</v>
      </c>
      <c r="D259">
        <v>101325428909.5031</v>
      </c>
      <c r="E259">
        <v>1.1497144014379609E-2</v>
      </c>
      <c r="F259">
        <v>0.59140583761853394</v>
      </c>
      <c r="G259">
        <v>25.458946599434849</v>
      </c>
      <c r="H259">
        <v>1.9670501771598841</v>
      </c>
      <c r="I259">
        <v>8.120869638419885E-2</v>
      </c>
      <c r="J259">
        <v>5.2386515507959919E-2</v>
      </c>
      <c r="K259">
        <v>-6.7083076519570918E-3</v>
      </c>
      <c r="L259">
        <v>3.6639962846637869E-2</v>
      </c>
      <c r="M259">
        <v>19</v>
      </c>
      <c r="N259">
        <v>0</v>
      </c>
      <c r="O259">
        <v>0</v>
      </c>
      <c r="P259">
        <v>0.8096000000000001</v>
      </c>
      <c r="Q259">
        <v>2.7699999999999999E-2</v>
      </c>
      <c r="R259">
        <v>0</v>
      </c>
      <c r="S259">
        <v>0.4899</v>
      </c>
      <c r="T259">
        <v>0.8096000000000001</v>
      </c>
      <c r="U259">
        <v>4</v>
      </c>
      <c r="V259">
        <v>0</v>
      </c>
      <c r="W259">
        <v>0.5</v>
      </c>
      <c r="X259">
        <v>1</v>
      </c>
      <c r="Y259">
        <v>0.48570000000000002</v>
      </c>
      <c r="Z259">
        <v>1</v>
      </c>
    </row>
    <row r="260" spans="1:26" x14ac:dyDescent="0.2">
      <c r="A260" t="s">
        <v>23</v>
      </c>
      <c r="B260">
        <v>2012</v>
      </c>
      <c r="C260" t="str">
        <f t="shared" si="4"/>
        <v>CAN2012</v>
      </c>
      <c r="D260">
        <v>2.061985423532074E-13</v>
      </c>
      <c r="E260">
        <v>0.1053345221753756</v>
      </c>
      <c r="F260">
        <v>1.036718951961606</v>
      </c>
      <c r="G260">
        <v>26.154337375105332</v>
      </c>
      <c r="H260">
        <v>1.3559780494414131</v>
      </c>
      <c r="I260">
        <v>0.552905568124337</v>
      </c>
      <c r="J260">
        <v>-0.10506487011912601</v>
      </c>
      <c r="K260">
        <v>0.14172476180872809</v>
      </c>
      <c r="L260">
        <v>0.23736909193824321</v>
      </c>
      <c r="M260">
        <v>13</v>
      </c>
      <c r="N260">
        <v>1</v>
      </c>
      <c r="O260">
        <v>0</v>
      </c>
      <c r="P260">
        <v>0.36509999999999998</v>
      </c>
      <c r="Q260">
        <v>0.1077</v>
      </c>
      <c r="R260">
        <v>0</v>
      </c>
      <c r="S260">
        <v>0.27750000000000002</v>
      </c>
      <c r="T260">
        <v>0.27750000000000002</v>
      </c>
      <c r="U260">
        <v>5</v>
      </c>
      <c r="V260">
        <v>0</v>
      </c>
      <c r="W260">
        <v>0</v>
      </c>
      <c r="X260">
        <v>0</v>
      </c>
      <c r="Y260">
        <v>0.44890000000000002</v>
      </c>
      <c r="Z260">
        <v>1</v>
      </c>
    </row>
    <row r="261" spans="1:26" x14ac:dyDescent="0.2">
      <c r="A261" t="s">
        <v>23</v>
      </c>
      <c r="B261">
        <v>2013</v>
      </c>
      <c r="C261" t="str">
        <f t="shared" si="4"/>
        <v>CAN2013</v>
      </c>
      <c r="D261">
        <v>3.9603528657068278E-13</v>
      </c>
      <c r="E261">
        <v>0.11931261243523821</v>
      </c>
      <c r="F261">
        <v>0.96233977402922133</v>
      </c>
      <c r="G261">
        <v>25.912528163366972</v>
      </c>
      <c r="H261">
        <v>1.307145987606547</v>
      </c>
      <c r="I261">
        <v>0.40472790867494701</v>
      </c>
      <c r="J261">
        <v>-0.2147940286557721</v>
      </c>
      <c r="K261">
        <v>0.14551637654430419</v>
      </c>
      <c r="L261">
        <v>0.24766989108289111</v>
      </c>
      <c r="M261">
        <v>14</v>
      </c>
      <c r="N261">
        <v>1</v>
      </c>
      <c r="O261">
        <v>0</v>
      </c>
      <c r="P261">
        <v>0.36509999999999998</v>
      </c>
      <c r="Q261">
        <v>0.108</v>
      </c>
      <c r="R261">
        <v>0</v>
      </c>
      <c r="S261">
        <v>0.27750000000000002</v>
      </c>
      <c r="T261">
        <v>0.27750000000000002</v>
      </c>
      <c r="U261">
        <v>5</v>
      </c>
      <c r="V261">
        <v>0</v>
      </c>
      <c r="W261">
        <v>0</v>
      </c>
      <c r="X261">
        <v>0</v>
      </c>
      <c r="Y261">
        <v>0.45889999999999997</v>
      </c>
      <c r="Z261">
        <v>1</v>
      </c>
    </row>
    <row r="262" spans="1:26" x14ac:dyDescent="0.2">
      <c r="A262" t="s">
        <v>23</v>
      </c>
      <c r="B262">
        <v>2014</v>
      </c>
      <c r="C262" t="str">
        <f t="shared" si="4"/>
        <v>CAN2014</v>
      </c>
      <c r="D262">
        <v>4.5855461097717709E-13</v>
      </c>
      <c r="E262">
        <v>0.15268745638115869</v>
      </c>
      <c r="F262">
        <v>1.009516585136164</v>
      </c>
      <c r="G262">
        <v>26.002509456589809</v>
      </c>
      <c r="H262">
        <v>1.68382803902467</v>
      </c>
      <c r="I262">
        <v>0.41070320756869733</v>
      </c>
      <c r="J262">
        <v>9.4153815422157727E-2</v>
      </c>
      <c r="K262">
        <v>6.8680871250511102E-2</v>
      </c>
      <c r="L262">
        <v>0.23404225426764641</v>
      </c>
      <c r="M262">
        <v>15</v>
      </c>
      <c r="N262">
        <v>1</v>
      </c>
      <c r="O262">
        <v>0</v>
      </c>
      <c r="P262">
        <v>0.42909999999999998</v>
      </c>
      <c r="Q262">
        <v>0.1084</v>
      </c>
      <c r="R262">
        <v>6.4000000000000001E-2</v>
      </c>
      <c r="S262">
        <v>0.27750000000000002</v>
      </c>
      <c r="T262">
        <v>0.27750000000000002</v>
      </c>
      <c r="U262">
        <v>5</v>
      </c>
      <c r="V262">
        <v>0</v>
      </c>
      <c r="W262">
        <v>0</v>
      </c>
      <c r="X262">
        <v>1</v>
      </c>
      <c r="Y262">
        <v>0.46750000000000003</v>
      </c>
      <c r="Z262">
        <v>1</v>
      </c>
    </row>
    <row r="263" spans="1:26" x14ac:dyDescent="0.2">
      <c r="A263" t="s">
        <v>23</v>
      </c>
      <c r="B263">
        <v>2015</v>
      </c>
      <c r="C263" t="str">
        <f t="shared" si="4"/>
        <v>CAN2015</v>
      </c>
      <c r="D263">
        <v>2.5033373231109141E-13</v>
      </c>
      <c r="E263">
        <v>0.1135278536194374</v>
      </c>
      <c r="F263">
        <v>1.024037098308284</v>
      </c>
      <c r="G263">
        <v>26.179137097373911</v>
      </c>
      <c r="H263">
        <v>1.701460870681057</v>
      </c>
      <c r="I263">
        <v>0.48373613340067589</v>
      </c>
      <c r="J263">
        <v>0.1931867163282652</v>
      </c>
      <c r="K263">
        <v>5.9579890450425256E-3</v>
      </c>
      <c r="L263">
        <v>0.21150589916616289</v>
      </c>
      <c r="M263">
        <v>16</v>
      </c>
      <c r="N263">
        <v>1</v>
      </c>
      <c r="O263">
        <v>0</v>
      </c>
      <c r="P263">
        <v>0.1605</v>
      </c>
      <c r="Q263">
        <v>0.1084</v>
      </c>
      <c r="R263">
        <v>7.2900000000000006E-2</v>
      </c>
      <c r="S263">
        <v>0.27750000000000002</v>
      </c>
      <c r="T263">
        <v>0.27750000000000002</v>
      </c>
      <c r="U263">
        <v>5</v>
      </c>
      <c r="V263">
        <v>0</v>
      </c>
      <c r="W263">
        <v>0</v>
      </c>
      <c r="X263">
        <v>1</v>
      </c>
      <c r="Y263">
        <v>0.435</v>
      </c>
      <c r="Z263">
        <v>1</v>
      </c>
    </row>
    <row r="264" spans="1:26" x14ac:dyDescent="0.2">
      <c r="A264" t="s">
        <v>23</v>
      </c>
      <c r="B264">
        <v>2016</v>
      </c>
      <c r="C264" t="str">
        <f t="shared" si="4"/>
        <v>CAN2016</v>
      </c>
      <c r="D264">
        <v>8.1352811661177247E-16</v>
      </c>
      <c r="E264">
        <v>3.5711321219898537E-4</v>
      </c>
      <c r="F264">
        <v>1.029703611056763</v>
      </c>
      <c r="G264">
        <v>26.130823660829371</v>
      </c>
      <c r="H264">
        <v>1.50500426101622</v>
      </c>
      <c r="I264">
        <v>0.49179472024825982</v>
      </c>
      <c r="J264">
        <v>-4.7164913068978631E-2</v>
      </c>
      <c r="K264">
        <v>-3.2767517484222297E-2</v>
      </c>
      <c r="L264">
        <v>0.2253713193601348</v>
      </c>
      <c r="M264">
        <v>17</v>
      </c>
      <c r="N264">
        <v>1</v>
      </c>
      <c r="O264">
        <v>0</v>
      </c>
      <c r="P264">
        <v>8.7599999999999997E-2</v>
      </c>
      <c r="Q264">
        <v>0.1084</v>
      </c>
      <c r="R264">
        <v>0</v>
      </c>
      <c r="S264">
        <v>0.27750000000000002</v>
      </c>
      <c r="T264">
        <v>0.27750000000000002</v>
      </c>
      <c r="U264">
        <v>6</v>
      </c>
      <c r="V264">
        <v>0</v>
      </c>
      <c r="W264">
        <v>0</v>
      </c>
      <c r="X264">
        <v>1</v>
      </c>
      <c r="Y264">
        <v>0.4657</v>
      </c>
      <c r="Z264">
        <v>1</v>
      </c>
    </row>
    <row r="265" spans="1:26" x14ac:dyDescent="0.2">
      <c r="A265" t="s">
        <v>23</v>
      </c>
      <c r="B265">
        <v>2017</v>
      </c>
      <c r="C265" t="str">
        <f t="shared" si="4"/>
        <v>CAN2017</v>
      </c>
      <c r="D265">
        <v>1.0546450866847601E-13</v>
      </c>
      <c r="E265">
        <v>4.4306505731196377E-2</v>
      </c>
      <c r="F265">
        <v>1.134757858807562</v>
      </c>
      <c r="G265">
        <v>26.117450100407591</v>
      </c>
      <c r="H265">
        <v>1.434462427577281</v>
      </c>
      <c r="I265">
        <v>0.4760337747836379</v>
      </c>
      <c r="J265">
        <v>-1.3284531681600041E-2</v>
      </c>
      <c r="K265">
        <v>0.19735301295324739</v>
      </c>
      <c r="L265">
        <v>0.20088523293574481</v>
      </c>
      <c r="M265">
        <v>18</v>
      </c>
      <c r="N265">
        <v>1</v>
      </c>
      <c r="O265">
        <v>0</v>
      </c>
      <c r="P265">
        <v>0.36509999999999998</v>
      </c>
      <c r="Q265">
        <v>0.15659999999999999</v>
      </c>
      <c r="R265">
        <v>0</v>
      </c>
      <c r="S265">
        <v>0.27750000000000002</v>
      </c>
      <c r="T265">
        <v>0.27750000000000002</v>
      </c>
      <c r="U265">
        <v>6</v>
      </c>
      <c r="V265">
        <v>0</v>
      </c>
      <c r="W265">
        <v>0</v>
      </c>
      <c r="X265">
        <v>1</v>
      </c>
      <c r="Y265">
        <v>0.51249999999999996</v>
      </c>
      <c r="Z265">
        <v>1</v>
      </c>
    </row>
    <row r="266" spans="1:26" x14ac:dyDescent="0.2">
      <c r="A266" t="s">
        <v>23</v>
      </c>
      <c r="B266">
        <v>2018</v>
      </c>
      <c r="C266" t="str">
        <f t="shared" si="4"/>
        <v>CAN2018</v>
      </c>
      <c r="D266">
        <v>-4.1244940173822777E-14</v>
      </c>
      <c r="E266">
        <v>-2.2438514728055279E-2</v>
      </c>
      <c r="F266">
        <v>1.020985140858345</v>
      </c>
      <c r="G266">
        <v>26.213442041739501</v>
      </c>
      <c r="H266">
        <v>1.5832876468825161</v>
      </c>
      <c r="I266">
        <v>0.55462093201669638</v>
      </c>
      <c r="J266">
        <v>0.10075019337778029</v>
      </c>
      <c r="K266">
        <v>-0.20912730263123619</v>
      </c>
      <c r="L266">
        <v>0.17266317138248069</v>
      </c>
      <c r="M266">
        <v>19</v>
      </c>
      <c r="N266">
        <v>1</v>
      </c>
      <c r="O266">
        <v>0</v>
      </c>
      <c r="P266">
        <v>0.28410000000000002</v>
      </c>
      <c r="Q266">
        <v>0.1804</v>
      </c>
      <c r="R266">
        <v>7.9100000000000004E-2</v>
      </c>
      <c r="S266">
        <v>0</v>
      </c>
      <c r="T266">
        <v>7.9100000000000004E-2</v>
      </c>
      <c r="U266">
        <v>7</v>
      </c>
      <c r="V266">
        <v>0</v>
      </c>
      <c r="W266">
        <v>0</v>
      </c>
      <c r="X266">
        <v>1</v>
      </c>
      <c r="Y266">
        <v>0.52629999999999999</v>
      </c>
      <c r="Z266">
        <v>1</v>
      </c>
    </row>
    <row r="267" spans="1:26" x14ac:dyDescent="0.2">
      <c r="A267" t="s">
        <v>23</v>
      </c>
      <c r="B267">
        <v>2019</v>
      </c>
      <c r="C267" t="str">
        <f t="shared" si="4"/>
        <v>CAN2019</v>
      </c>
      <c r="D267">
        <v>1.4622135571639609E-13</v>
      </c>
      <c r="E267">
        <v>0.1048662762718371</v>
      </c>
      <c r="F267">
        <v>0.96411743750407308</v>
      </c>
      <c r="G267">
        <v>26.404787275658311</v>
      </c>
      <c r="H267">
        <v>1.404340660552108</v>
      </c>
      <c r="I267">
        <v>0.59090104599351001</v>
      </c>
      <c r="J267">
        <v>0.21087741588499839</v>
      </c>
      <c r="K267">
        <v>-7.7887895053760856E-2</v>
      </c>
      <c r="L267">
        <v>0.12888823299880389</v>
      </c>
      <c r="M267">
        <v>20</v>
      </c>
      <c r="N267">
        <v>1</v>
      </c>
      <c r="O267">
        <v>1</v>
      </c>
      <c r="P267">
        <v>0.28410000000000002</v>
      </c>
      <c r="Q267">
        <v>0.17780000000000001</v>
      </c>
      <c r="R267">
        <v>7.9100000000000004E-2</v>
      </c>
      <c r="S267">
        <v>0</v>
      </c>
      <c r="T267">
        <v>7.9100000000000004E-2</v>
      </c>
      <c r="U267">
        <v>7</v>
      </c>
      <c r="V267">
        <v>0</v>
      </c>
      <c r="W267">
        <v>0</v>
      </c>
      <c r="X267">
        <v>1</v>
      </c>
      <c r="Y267">
        <v>0.51249999999999996</v>
      </c>
      <c r="Z267">
        <v>1</v>
      </c>
    </row>
    <row r="268" spans="1:26" x14ac:dyDescent="0.2">
      <c r="A268" t="s">
        <v>23</v>
      </c>
      <c r="B268">
        <v>2020</v>
      </c>
      <c r="C268" t="str">
        <f t="shared" si="4"/>
        <v>CAN2020</v>
      </c>
      <c r="D268">
        <v>1.1470906990385659E-13</v>
      </c>
      <c r="E268">
        <v>0.13976708321402251</v>
      </c>
      <c r="F268">
        <v>0.98837825734102813</v>
      </c>
      <c r="G268">
        <v>26.70823066964623</v>
      </c>
      <c r="H268">
        <v>1.387101658485786</v>
      </c>
      <c r="I268">
        <v>0.67384048128130403</v>
      </c>
      <c r="J268">
        <v>0.35451491508424099</v>
      </c>
      <c r="K268">
        <v>-1.7517127912237689E-2</v>
      </c>
      <c r="L268">
        <v>0.12079571454777489</v>
      </c>
      <c r="M268">
        <v>21</v>
      </c>
      <c r="N268">
        <v>1</v>
      </c>
      <c r="O268">
        <v>1</v>
      </c>
      <c r="P268">
        <v>0.28410000000000002</v>
      </c>
      <c r="Q268">
        <v>0.1774</v>
      </c>
      <c r="R268">
        <v>7.9100000000000004E-2</v>
      </c>
      <c r="S268">
        <v>0</v>
      </c>
      <c r="T268">
        <v>7.9100000000000004E-2</v>
      </c>
      <c r="U268">
        <v>7</v>
      </c>
      <c r="V268">
        <v>0</v>
      </c>
      <c r="W268">
        <v>0</v>
      </c>
      <c r="X268">
        <v>0</v>
      </c>
      <c r="Y268">
        <v>0.49559999999999998</v>
      </c>
      <c r="Z268">
        <v>1</v>
      </c>
    </row>
    <row r="269" spans="1:26" x14ac:dyDescent="0.2">
      <c r="A269" t="s">
        <v>23</v>
      </c>
      <c r="B269">
        <v>2021</v>
      </c>
      <c r="C269" t="str">
        <f t="shared" si="4"/>
        <v>CAN2021</v>
      </c>
      <c r="D269">
        <v>1.422303752448287E-13</v>
      </c>
      <c r="E269">
        <v>0.19905983810902961</v>
      </c>
      <c r="F269">
        <v>1.3017041532415929</v>
      </c>
      <c r="G269">
        <v>26.843108337892801</v>
      </c>
      <c r="H269">
        <v>1.262103251027656</v>
      </c>
      <c r="I269">
        <v>0.67504551340378438</v>
      </c>
      <c r="J269">
        <v>0.14439677972329831</v>
      </c>
      <c r="K269">
        <v>-5.5887522680180053E-2</v>
      </c>
      <c r="L269">
        <v>9.9533224481287236E-2</v>
      </c>
      <c r="M269">
        <v>22</v>
      </c>
      <c r="N269">
        <v>1</v>
      </c>
      <c r="O269">
        <v>0</v>
      </c>
      <c r="P269">
        <v>0.64119999999999999</v>
      </c>
      <c r="Q269">
        <v>2.7199999999999998E-2</v>
      </c>
      <c r="R269">
        <v>7.9100000000000004E-2</v>
      </c>
      <c r="S269">
        <v>0.27750000000000002</v>
      </c>
      <c r="T269">
        <v>0.43619999999999998</v>
      </c>
      <c r="U269">
        <v>5</v>
      </c>
      <c r="V269">
        <v>0</v>
      </c>
      <c r="W269">
        <v>0.2</v>
      </c>
      <c r="X269">
        <v>1</v>
      </c>
      <c r="Y269">
        <v>0.45550000000000002</v>
      </c>
      <c r="Z269">
        <v>1</v>
      </c>
    </row>
    <row r="270" spans="1:26" x14ac:dyDescent="0.2">
      <c r="A270" t="s">
        <v>23</v>
      </c>
      <c r="B270">
        <v>2022</v>
      </c>
      <c r="C270" t="str">
        <f t="shared" si="4"/>
        <v>CAN2022</v>
      </c>
      <c r="D270">
        <v>6.6690347853353059E-14</v>
      </c>
      <c r="E270">
        <v>0.1084411049323605</v>
      </c>
      <c r="F270">
        <v>1.195471849399756</v>
      </c>
      <c r="G270">
        <v>26.917822976236749</v>
      </c>
      <c r="H270">
        <v>1.2909928756120781</v>
      </c>
      <c r="I270">
        <v>0.69860847772577839</v>
      </c>
      <c r="J270">
        <v>7.7576607960865518E-2</v>
      </c>
      <c r="K270">
        <v>-0.12801787702702039</v>
      </c>
      <c r="L270">
        <v>7.8802762328674725E-2</v>
      </c>
      <c r="M270">
        <v>23</v>
      </c>
      <c r="N270">
        <v>0</v>
      </c>
      <c r="O270">
        <v>0</v>
      </c>
      <c r="P270">
        <v>0.69830000000000003</v>
      </c>
      <c r="Q270">
        <v>2.76E-2</v>
      </c>
      <c r="R270">
        <v>7.9199999999999993E-2</v>
      </c>
      <c r="S270">
        <v>0.27750000000000002</v>
      </c>
      <c r="T270">
        <v>0.43630000000000002</v>
      </c>
      <c r="U270">
        <v>5</v>
      </c>
      <c r="V270">
        <v>0</v>
      </c>
      <c r="W270">
        <v>0</v>
      </c>
      <c r="X270">
        <v>1</v>
      </c>
      <c r="Y270">
        <v>0.46550000000000002</v>
      </c>
      <c r="Z270">
        <v>1</v>
      </c>
    </row>
    <row r="271" spans="1:26" x14ac:dyDescent="0.2">
      <c r="A271" t="s">
        <v>23</v>
      </c>
      <c r="B271">
        <v>2023</v>
      </c>
      <c r="C271" t="str">
        <f t="shared" si="4"/>
        <v>CAN2023</v>
      </c>
      <c r="D271">
        <v>51101970789.282928</v>
      </c>
      <c r="E271">
        <v>5.5755480145129661E-2</v>
      </c>
      <c r="F271">
        <v>1.285375902278282</v>
      </c>
      <c r="G271">
        <v>26.721829074918599</v>
      </c>
      <c r="H271">
        <v>1.2845135668593151</v>
      </c>
      <c r="I271">
        <v>0.46266534808270138</v>
      </c>
      <c r="J271">
        <v>-0.17798275211542361</v>
      </c>
      <c r="K271">
        <v>0.1480987772718601</v>
      </c>
      <c r="L271">
        <v>8.164099351175183E-2</v>
      </c>
      <c r="M271">
        <v>24</v>
      </c>
      <c r="N271">
        <v>0</v>
      </c>
      <c r="O271">
        <v>0</v>
      </c>
      <c r="P271">
        <v>0.69830000000000003</v>
      </c>
      <c r="Q271">
        <v>2.76E-2</v>
      </c>
      <c r="R271">
        <v>7.9199999999999993E-2</v>
      </c>
      <c r="S271">
        <v>0.27750000000000002</v>
      </c>
      <c r="T271">
        <v>0.43630000000000002</v>
      </c>
      <c r="U271">
        <v>5</v>
      </c>
      <c r="V271">
        <v>0</v>
      </c>
      <c r="W271">
        <v>0</v>
      </c>
      <c r="X271">
        <v>1</v>
      </c>
      <c r="Y271">
        <v>0.46550000000000002</v>
      </c>
      <c r="Z271">
        <v>1</v>
      </c>
    </row>
    <row r="272" spans="1:26" x14ac:dyDescent="0.2">
      <c r="A272" t="s">
        <v>24</v>
      </c>
      <c r="B272">
        <v>2012</v>
      </c>
      <c r="C272" t="str">
        <f t="shared" si="4"/>
        <v>CJC2012</v>
      </c>
      <c r="D272">
        <v>2.6604727861771268E-13</v>
      </c>
      <c r="E272">
        <v>0.2334054077886463</v>
      </c>
      <c r="F272">
        <v>0.8887762684335172</v>
      </c>
      <c r="G272">
        <v>26.10866985177487</v>
      </c>
      <c r="H272">
        <v>1.3760165410031759</v>
      </c>
      <c r="I272">
        <v>0.75128661784648987</v>
      </c>
      <c r="J272">
        <v>-3.5669020212385161E-2</v>
      </c>
      <c r="K272">
        <v>-1.9252058649404779E-2</v>
      </c>
      <c r="L272">
        <v>0.1216183153637124</v>
      </c>
      <c r="M272">
        <v>7</v>
      </c>
      <c r="N272">
        <v>0</v>
      </c>
      <c r="O272">
        <v>0</v>
      </c>
      <c r="P272">
        <v>0.76</v>
      </c>
      <c r="Q272">
        <v>0.2296</v>
      </c>
      <c r="R272">
        <v>0</v>
      </c>
      <c r="S272">
        <v>0.51</v>
      </c>
      <c r="T272">
        <v>0.57999999999999996</v>
      </c>
      <c r="U272">
        <v>5</v>
      </c>
      <c r="V272">
        <v>0</v>
      </c>
      <c r="W272">
        <v>0</v>
      </c>
      <c r="X272">
        <v>0</v>
      </c>
      <c r="Y272">
        <v>0.45800000000000002</v>
      </c>
      <c r="Z272">
        <v>1</v>
      </c>
    </row>
    <row r="273" spans="1:26" x14ac:dyDescent="0.2">
      <c r="A273" t="s">
        <v>24</v>
      </c>
      <c r="B273">
        <v>2013</v>
      </c>
      <c r="C273" t="str">
        <f t="shared" si="4"/>
        <v>CJC2013</v>
      </c>
      <c r="D273">
        <v>1.704706398783868E-13</v>
      </c>
      <c r="E273">
        <v>0.20174252382433869</v>
      </c>
      <c r="F273">
        <v>0.91324474307239079</v>
      </c>
      <c r="G273">
        <v>26.292962394065189</v>
      </c>
      <c r="H273">
        <v>1.299193160062396</v>
      </c>
      <c r="I273">
        <v>0.77831279783187468</v>
      </c>
      <c r="J273">
        <v>0.20236751499804981</v>
      </c>
      <c r="K273">
        <v>-1.5620492857917889E-2</v>
      </c>
      <c r="L273">
        <v>9.2976527500795006E-2</v>
      </c>
      <c r="M273">
        <v>8</v>
      </c>
      <c r="N273">
        <v>0</v>
      </c>
      <c r="O273">
        <v>0</v>
      </c>
      <c r="P273">
        <v>0.76</v>
      </c>
      <c r="Q273">
        <v>0.23200000000000001</v>
      </c>
      <c r="R273">
        <v>0</v>
      </c>
      <c r="S273">
        <v>0.51</v>
      </c>
      <c r="T273">
        <v>0.57999999999999996</v>
      </c>
      <c r="U273">
        <v>5</v>
      </c>
      <c r="V273">
        <v>1</v>
      </c>
      <c r="W273">
        <v>0.2</v>
      </c>
      <c r="X273">
        <v>0</v>
      </c>
      <c r="Y273">
        <v>0.4975</v>
      </c>
      <c r="Z273">
        <v>1</v>
      </c>
    </row>
    <row r="274" spans="1:26" x14ac:dyDescent="0.2">
      <c r="A274" t="s">
        <v>24</v>
      </c>
      <c r="B274">
        <v>2014</v>
      </c>
      <c r="C274" t="str">
        <f t="shared" si="4"/>
        <v>CJC2014</v>
      </c>
      <c r="D274">
        <v>3.9248809100353119E-14</v>
      </c>
      <c r="E274">
        <v>7.6048689338655218E-2</v>
      </c>
      <c r="F274">
        <v>0.99792806902131037</v>
      </c>
      <c r="G274">
        <v>26.48016805975038</v>
      </c>
      <c r="H274">
        <v>1.243314640869942</v>
      </c>
      <c r="I274">
        <v>0.83672277209089407</v>
      </c>
      <c r="J274">
        <v>0.20587526671137429</v>
      </c>
      <c r="K274">
        <v>-0.38936081540552242</v>
      </c>
      <c r="L274">
        <v>6.5026701131270501E-2</v>
      </c>
      <c r="M274">
        <v>9</v>
      </c>
      <c r="N274">
        <v>0</v>
      </c>
      <c r="O274">
        <v>0</v>
      </c>
      <c r="P274">
        <v>0.76289999999999991</v>
      </c>
      <c r="Q274">
        <v>0.23699999999999999</v>
      </c>
      <c r="R274">
        <v>0</v>
      </c>
      <c r="S274">
        <v>0.51</v>
      </c>
      <c r="T274">
        <v>0.57999999999999996</v>
      </c>
      <c r="U274">
        <v>5</v>
      </c>
      <c r="V274">
        <v>1</v>
      </c>
      <c r="W274">
        <v>0.2</v>
      </c>
      <c r="X274">
        <v>0</v>
      </c>
      <c r="Y274">
        <v>0.50749999999999995</v>
      </c>
      <c r="Z274">
        <v>1</v>
      </c>
    </row>
    <row r="275" spans="1:26" x14ac:dyDescent="0.2">
      <c r="A275" t="s">
        <v>24</v>
      </c>
      <c r="B275">
        <v>2015</v>
      </c>
      <c r="C275" t="str">
        <f t="shared" si="4"/>
        <v>CJC2015</v>
      </c>
      <c r="D275">
        <v>1.239449684755286E-13</v>
      </c>
      <c r="E275">
        <v>9.6530723119990683E-2</v>
      </c>
      <c r="F275">
        <v>1.1734086050738211</v>
      </c>
      <c r="G275">
        <v>26.035662188145739</v>
      </c>
      <c r="H275">
        <v>1.1472886460831631</v>
      </c>
      <c r="I275">
        <v>0.73955995433588995</v>
      </c>
      <c r="J275">
        <v>-0.35885899625081691</v>
      </c>
      <c r="K275">
        <v>0.59528417115964816</v>
      </c>
      <c r="L275">
        <v>7.7688109893122026E-2</v>
      </c>
      <c r="M275">
        <v>10</v>
      </c>
      <c r="N275">
        <v>0</v>
      </c>
      <c r="O275">
        <v>0</v>
      </c>
      <c r="P275">
        <v>0.51560000000000006</v>
      </c>
      <c r="Q275">
        <v>0.1767</v>
      </c>
      <c r="R275">
        <v>0</v>
      </c>
      <c r="S275">
        <v>0</v>
      </c>
      <c r="T275">
        <v>0.182</v>
      </c>
      <c r="U275">
        <v>5</v>
      </c>
      <c r="V275">
        <v>1</v>
      </c>
      <c r="W275">
        <v>0.2</v>
      </c>
      <c r="X275">
        <v>0</v>
      </c>
      <c r="Y275">
        <v>0.51749999999999996</v>
      </c>
      <c r="Z275">
        <v>1</v>
      </c>
    </row>
    <row r="276" spans="1:26" x14ac:dyDescent="0.2">
      <c r="A276" t="s">
        <v>24</v>
      </c>
      <c r="B276">
        <v>2016</v>
      </c>
      <c r="C276" t="str">
        <f t="shared" si="4"/>
        <v>CJC2016</v>
      </c>
      <c r="D276">
        <v>1.527436467924592E-13</v>
      </c>
      <c r="E276">
        <v>9.6844929845667074E-2</v>
      </c>
      <c r="F276">
        <v>1.17020423978208</v>
      </c>
      <c r="G276">
        <v>25.932999290086379</v>
      </c>
      <c r="H276">
        <v>1.3280341368303239</v>
      </c>
      <c r="I276">
        <v>0.711301347195615</v>
      </c>
      <c r="J276">
        <v>-9.7568866501443127E-2</v>
      </c>
      <c r="K276">
        <v>0.1577837006119551</v>
      </c>
      <c r="L276">
        <v>7.1042112796658508E-2</v>
      </c>
      <c r="M276">
        <v>11</v>
      </c>
      <c r="N276">
        <v>0</v>
      </c>
      <c r="O276">
        <v>0</v>
      </c>
      <c r="P276">
        <v>0.77900000000000003</v>
      </c>
      <c r="Q276">
        <v>0.43369999999999997</v>
      </c>
      <c r="R276">
        <v>0</v>
      </c>
      <c r="S276">
        <v>0</v>
      </c>
      <c r="T276">
        <v>9.2600000000000002E-2</v>
      </c>
      <c r="U276">
        <v>5</v>
      </c>
      <c r="V276">
        <v>0</v>
      </c>
      <c r="W276">
        <v>0</v>
      </c>
      <c r="X276">
        <v>0</v>
      </c>
      <c r="Y276">
        <v>0.44429999999999997</v>
      </c>
      <c r="Z276">
        <v>1</v>
      </c>
    </row>
    <row r="277" spans="1:26" x14ac:dyDescent="0.2">
      <c r="A277" t="s">
        <v>24</v>
      </c>
      <c r="B277">
        <v>2017</v>
      </c>
      <c r="C277" t="str">
        <f t="shared" si="4"/>
        <v>CJC2017</v>
      </c>
      <c r="D277">
        <v>8.2409087666581804E-14</v>
      </c>
      <c r="E277">
        <v>6.9399617965230698E-2</v>
      </c>
      <c r="F277">
        <v>1.067363853686071</v>
      </c>
      <c r="G277">
        <v>26.262238957841511</v>
      </c>
      <c r="H277">
        <v>1.3626431774384331</v>
      </c>
      <c r="I277">
        <v>0.69789112179139889</v>
      </c>
      <c r="J277">
        <v>0.38991093250515291</v>
      </c>
      <c r="K277">
        <v>-1.3874566085129819E-2</v>
      </c>
      <c r="L277">
        <v>5.8865884121387373E-2</v>
      </c>
      <c r="M277">
        <v>12</v>
      </c>
      <c r="N277">
        <v>0</v>
      </c>
      <c r="O277">
        <v>0</v>
      </c>
      <c r="P277">
        <v>0.91139999999999999</v>
      </c>
      <c r="Q277">
        <v>0.71409999999999996</v>
      </c>
      <c r="R277">
        <v>0</v>
      </c>
      <c r="S277">
        <v>0</v>
      </c>
      <c r="T277">
        <v>0</v>
      </c>
      <c r="U277">
        <v>5</v>
      </c>
      <c r="V277">
        <v>0</v>
      </c>
      <c r="W277">
        <v>0</v>
      </c>
      <c r="X277">
        <v>0</v>
      </c>
      <c r="Y277">
        <v>0.43330000000000002</v>
      </c>
      <c r="Z277">
        <v>1</v>
      </c>
    </row>
    <row r="278" spans="1:26" x14ac:dyDescent="0.2">
      <c r="A278" t="s">
        <v>24</v>
      </c>
      <c r="B278">
        <v>2018</v>
      </c>
      <c r="C278" t="str">
        <f t="shared" si="4"/>
        <v>CJC2018</v>
      </c>
      <c r="D278">
        <v>1.6547061591933041E-15</v>
      </c>
      <c r="E278">
        <v>1.5203249728768309E-3</v>
      </c>
      <c r="F278">
        <v>1.0793748911813661</v>
      </c>
      <c r="G278">
        <v>26.270594544026942</v>
      </c>
      <c r="H278">
        <v>1.516706068398213</v>
      </c>
      <c r="I278">
        <v>0.72077217019327211</v>
      </c>
      <c r="J278">
        <v>8.3905915244621987E-3</v>
      </c>
      <c r="K278">
        <v>6.2879254212693803E-2</v>
      </c>
      <c r="L278">
        <v>8.3759332366169809E-2</v>
      </c>
      <c r="M278">
        <v>13</v>
      </c>
      <c r="N278">
        <v>0</v>
      </c>
      <c r="O278">
        <v>0</v>
      </c>
      <c r="P278">
        <v>0.91799999999999993</v>
      </c>
      <c r="Q278">
        <v>0.72</v>
      </c>
      <c r="R278">
        <v>0</v>
      </c>
      <c r="S278">
        <v>0</v>
      </c>
      <c r="T278">
        <v>0</v>
      </c>
      <c r="U278">
        <v>5</v>
      </c>
      <c r="V278">
        <v>0</v>
      </c>
      <c r="W278">
        <v>0</v>
      </c>
      <c r="X278">
        <v>0</v>
      </c>
      <c r="Y278">
        <v>0.44</v>
      </c>
      <c r="Z278">
        <v>1</v>
      </c>
    </row>
    <row r="279" spans="1:26" x14ac:dyDescent="0.2">
      <c r="A279" t="s">
        <v>24</v>
      </c>
      <c r="B279">
        <v>2019</v>
      </c>
      <c r="C279" t="str">
        <f t="shared" si="4"/>
        <v>CJC2019</v>
      </c>
      <c r="D279">
        <v>-5.1263894173635413E-13</v>
      </c>
      <c r="E279">
        <v>-0.77692813810045425</v>
      </c>
      <c r="F279">
        <v>1.1771163921253791</v>
      </c>
      <c r="G279">
        <v>26.23262845665262</v>
      </c>
      <c r="H279">
        <v>1.0219875873863971</v>
      </c>
      <c r="I279">
        <v>0.83702667451725699</v>
      </c>
      <c r="J279">
        <v>-3.7254410431601048E-2</v>
      </c>
      <c r="K279">
        <v>-0.42379620081627528</v>
      </c>
      <c r="L279">
        <v>8.1139554572017658E-2</v>
      </c>
      <c r="M279">
        <v>14</v>
      </c>
      <c r="N279">
        <v>0</v>
      </c>
      <c r="O279">
        <v>1</v>
      </c>
      <c r="P279">
        <v>0.91799999999999993</v>
      </c>
      <c r="Q279">
        <v>0.72209999999999996</v>
      </c>
      <c r="R279">
        <v>0</v>
      </c>
      <c r="S279">
        <v>0</v>
      </c>
      <c r="T279">
        <v>0</v>
      </c>
      <c r="U279">
        <v>5</v>
      </c>
      <c r="V279">
        <v>0</v>
      </c>
      <c r="W279">
        <v>0</v>
      </c>
      <c r="X279">
        <v>0</v>
      </c>
      <c r="Y279">
        <v>0.45</v>
      </c>
      <c r="Z279">
        <v>1</v>
      </c>
    </row>
    <row r="280" spans="1:26" x14ac:dyDescent="0.2">
      <c r="A280" t="s">
        <v>24</v>
      </c>
      <c r="B280">
        <v>2020</v>
      </c>
      <c r="C280" t="str">
        <f t="shared" si="4"/>
        <v>CJC2020</v>
      </c>
      <c r="D280">
        <v>1.2975171552703429E-13</v>
      </c>
      <c r="E280">
        <v>6.1487473637661383E-2</v>
      </c>
      <c r="F280">
        <v>1.209792348110579</v>
      </c>
      <c r="G280">
        <v>25.683075319564441</v>
      </c>
      <c r="H280">
        <v>1.091925417439221</v>
      </c>
      <c r="I280">
        <v>0.69915392566968437</v>
      </c>
      <c r="J280">
        <v>-0.42279231453415522</v>
      </c>
      <c r="K280">
        <v>0.57398563171700934</v>
      </c>
      <c r="L280">
        <v>0.1129794121506195</v>
      </c>
      <c r="M280">
        <v>15</v>
      </c>
      <c r="N280">
        <v>0</v>
      </c>
      <c r="O280">
        <v>1</v>
      </c>
      <c r="P280">
        <v>0.91799999999999993</v>
      </c>
      <c r="Q280">
        <v>0.7118000000000001</v>
      </c>
      <c r="R280">
        <v>0</v>
      </c>
      <c r="S280">
        <v>0</v>
      </c>
      <c r="T280">
        <v>0</v>
      </c>
      <c r="U280">
        <v>5</v>
      </c>
      <c r="V280">
        <v>0</v>
      </c>
      <c r="W280">
        <v>0</v>
      </c>
      <c r="X280">
        <v>0</v>
      </c>
      <c r="Y280">
        <v>0.45710000000000001</v>
      </c>
      <c r="Z280">
        <v>1</v>
      </c>
    </row>
    <row r="281" spans="1:26" x14ac:dyDescent="0.2">
      <c r="A281" t="s">
        <v>24</v>
      </c>
      <c r="B281">
        <v>2021</v>
      </c>
      <c r="C281" t="str">
        <f t="shared" si="4"/>
        <v>CJC2021</v>
      </c>
      <c r="D281">
        <v>-1.5189651452532249E-13</v>
      </c>
      <c r="E281">
        <v>-6.102171912448312E-2</v>
      </c>
      <c r="F281">
        <v>1.137922710793466</v>
      </c>
      <c r="G281">
        <v>25.57086898409095</v>
      </c>
      <c r="H281">
        <v>1.26594133083091</v>
      </c>
      <c r="I281">
        <v>0.68278722646399093</v>
      </c>
      <c r="J281">
        <v>-0.10614019651448101</v>
      </c>
      <c r="K281">
        <v>0.18785018010331389</v>
      </c>
      <c r="L281">
        <v>0.11961398731053489</v>
      </c>
      <c r="M281">
        <v>16</v>
      </c>
      <c r="N281">
        <v>0</v>
      </c>
      <c r="O281">
        <v>0</v>
      </c>
      <c r="P281">
        <v>0.91799999999999993</v>
      </c>
      <c r="Q281">
        <v>0.7118000000000001</v>
      </c>
      <c r="R281">
        <v>0</v>
      </c>
      <c r="S281">
        <v>0</v>
      </c>
      <c r="T281">
        <v>0</v>
      </c>
      <c r="U281">
        <v>5</v>
      </c>
      <c r="V281">
        <v>0</v>
      </c>
      <c r="W281">
        <v>0</v>
      </c>
      <c r="X281">
        <v>0</v>
      </c>
      <c r="Y281">
        <v>0.46710000000000002</v>
      </c>
      <c r="Z281">
        <v>1</v>
      </c>
    </row>
    <row r="282" spans="1:26" x14ac:dyDescent="0.2">
      <c r="A282" t="s">
        <v>24</v>
      </c>
      <c r="B282">
        <v>2022</v>
      </c>
      <c r="C282" t="str">
        <f t="shared" si="4"/>
        <v>CJC2022</v>
      </c>
      <c r="D282">
        <v>3.915856838458295E-14</v>
      </c>
      <c r="E282">
        <v>4.3278281213729272E-2</v>
      </c>
      <c r="F282">
        <v>1.3597814029647519</v>
      </c>
      <c r="G282">
        <v>26.098990978057191</v>
      </c>
      <c r="H282">
        <v>1.2714980469527</v>
      </c>
      <c r="I282">
        <v>0.80447397721813763</v>
      </c>
      <c r="J282">
        <v>0.69574469760524205</v>
      </c>
      <c r="K282">
        <v>-6.2547556400393764E-2</v>
      </c>
      <c r="L282">
        <v>6.2685138873047622E-2</v>
      </c>
      <c r="M282">
        <v>17</v>
      </c>
      <c r="N282">
        <v>0</v>
      </c>
      <c r="O282">
        <v>0</v>
      </c>
      <c r="P282">
        <v>0.91799999999999993</v>
      </c>
      <c r="Q282">
        <v>0.7118000000000001</v>
      </c>
      <c r="R282">
        <v>0</v>
      </c>
      <c r="S282">
        <v>0</v>
      </c>
      <c r="T282">
        <v>0</v>
      </c>
      <c r="U282">
        <v>5</v>
      </c>
      <c r="V282">
        <v>0</v>
      </c>
      <c r="W282">
        <v>0</v>
      </c>
      <c r="X282">
        <v>0</v>
      </c>
      <c r="Y282">
        <v>0.48880000000000001</v>
      </c>
      <c r="Z282">
        <v>1</v>
      </c>
    </row>
    <row r="283" spans="1:26" x14ac:dyDescent="0.2">
      <c r="A283" t="s">
        <v>24</v>
      </c>
      <c r="B283">
        <v>2023</v>
      </c>
      <c r="C283" t="str">
        <f t="shared" si="4"/>
        <v>CJC2023</v>
      </c>
      <c r="D283">
        <v>-6237661507.4135914</v>
      </c>
      <c r="E283">
        <v>2.5510316079376961E-2</v>
      </c>
      <c r="F283">
        <v>1.2254723213600101</v>
      </c>
      <c r="G283">
        <v>26.119390467247051</v>
      </c>
      <c r="H283">
        <v>1.154806197906673</v>
      </c>
      <c r="I283">
        <v>0.28963029938736451</v>
      </c>
      <c r="J283">
        <v>2.060898085221341E-2</v>
      </c>
      <c r="K283">
        <v>-7.262316394256578E-2</v>
      </c>
      <c r="L283">
        <v>5.8854771109694629E-2</v>
      </c>
      <c r="M283">
        <v>18</v>
      </c>
      <c r="N283">
        <v>0</v>
      </c>
      <c r="O283">
        <v>0</v>
      </c>
      <c r="P283">
        <v>0.91799999999999993</v>
      </c>
      <c r="Q283">
        <v>0.7118000000000001</v>
      </c>
      <c r="R283">
        <v>0</v>
      </c>
      <c r="S283">
        <v>0</v>
      </c>
      <c r="T283">
        <v>0</v>
      </c>
      <c r="U283">
        <v>5</v>
      </c>
      <c r="V283">
        <v>0</v>
      </c>
      <c r="W283">
        <v>0</v>
      </c>
      <c r="X283">
        <v>0</v>
      </c>
      <c r="Y283">
        <v>0.48880000000000001</v>
      </c>
      <c r="Z283">
        <v>1</v>
      </c>
    </row>
    <row r="284" spans="1:26" x14ac:dyDescent="0.2">
      <c r="A284" t="s">
        <v>25</v>
      </c>
      <c r="B284">
        <v>2012</v>
      </c>
      <c r="C284" t="str">
        <f t="shared" si="4"/>
        <v>CLC2012</v>
      </c>
      <c r="D284">
        <v>1.448444299245267E-13</v>
      </c>
      <c r="E284">
        <v>0.20450772269865969</v>
      </c>
      <c r="F284">
        <v>0.92801710573144425</v>
      </c>
      <c r="G284">
        <v>27.086407113563599</v>
      </c>
      <c r="H284">
        <v>1.353230558669098</v>
      </c>
      <c r="I284">
        <v>0.58916330185669952</v>
      </c>
      <c r="J284">
        <v>-7.3626800960088779E-2</v>
      </c>
      <c r="K284">
        <v>-2.9200492951637649E-2</v>
      </c>
      <c r="L284">
        <v>0.1010650177034008</v>
      </c>
      <c r="M284">
        <v>8</v>
      </c>
      <c r="N284">
        <v>0</v>
      </c>
      <c r="O284">
        <v>0</v>
      </c>
      <c r="P284">
        <v>0.57379999999999998</v>
      </c>
      <c r="Q284">
        <v>7.4999999999999997E-3</v>
      </c>
      <c r="R284">
        <v>0</v>
      </c>
      <c r="S284">
        <v>0.57379999999999998</v>
      </c>
      <c r="T284">
        <v>0.57379999999999998</v>
      </c>
      <c r="U284">
        <v>5</v>
      </c>
      <c r="V284">
        <v>0</v>
      </c>
      <c r="W284">
        <v>0.2</v>
      </c>
      <c r="X284">
        <v>0</v>
      </c>
      <c r="Y284">
        <v>0.47199999999999998</v>
      </c>
      <c r="Z284">
        <v>1</v>
      </c>
    </row>
    <row r="285" spans="1:26" x14ac:dyDescent="0.2">
      <c r="A285" t="s">
        <v>25</v>
      </c>
      <c r="B285">
        <v>2013</v>
      </c>
      <c r="C285" t="str">
        <f t="shared" si="4"/>
        <v>CLC2013</v>
      </c>
      <c r="D285">
        <v>2.146423427112121E-13</v>
      </c>
      <c r="E285">
        <v>0.25714599015411371</v>
      </c>
      <c r="F285">
        <v>1.212761588966637</v>
      </c>
      <c r="G285">
        <v>27.081571503873839</v>
      </c>
      <c r="H285">
        <v>1.4427591105834769</v>
      </c>
      <c r="I285">
        <v>0.51814906202631339</v>
      </c>
      <c r="J285">
        <v>-4.8239369517329989E-3</v>
      </c>
      <c r="K285">
        <v>0.26704614841908841</v>
      </c>
      <c r="L285">
        <v>7.2246745308767166E-2</v>
      </c>
      <c r="M285">
        <v>9</v>
      </c>
      <c r="N285">
        <v>0</v>
      </c>
      <c r="O285">
        <v>0</v>
      </c>
      <c r="P285">
        <v>0.57379999999999998</v>
      </c>
      <c r="Q285">
        <v>7.4999999999999997E-3</v>
      </c>
      <c r="R285">
        <v>0</v>
      </c>
      <c r="S285">
        <v>0.57379999999999998</v>
      </c>
      <c r="T285">
        <v>0.57379999999999998</v>
      </c>
      <c r="U285">
        <v>5</v>
      </c>
      <c r="V285">
        <v>0</v>
      </c>
      <c r="W285">
        <v>0.2</v>
      </c>
      <c r="X285">
        <v>0</v>
      </c>
      <c r="Y285">
        <v>0.47899999999999998</v>
      </c>
      <c r="Z285">
        <v>1</v>
      </c>
    </row>
    <row r="286" spans="1:26" x14ac:dyDescent="0.2">
      <c r="A286" t="s">
        <v>25</v>
      </c>
      <c r="B286">
        <v>2014</v>
      </c>
      <c r="C286" t="str">
        <f t="shared" si="4"/>
        <v>CLC2014</v>
      </c>
      <c r="D286">
        <v>1.3603801080768561E-13</v>
      </c>
      <c r="E286">
        <v>0.23568041671657269</v>
      </c>
      <c r="F286">
        <v>1.151917666903169</v>
      </c>
      <c r="G286">
        <v>27.30836560333108</v>
      </c>
      <c r="H286">
        <v>1.698801312328279</v>
      </c>
      <c r="I286">
        <v>0.5819682513097344</v>
      </c>
      <c r="J286">
        <v>0.25680882265547061</v>
      </c>
      <c r="K286">
        <v>-0.19016082164510131</v>
      </c>
      <c r="L286">
        <v>5.2244451290058343E-2</v>
      </c>
      <c r="M286">
        <v>10</v>
      </c>
      <c r="N286">
        <v>0</v>
      </c>
      <c r="O286">
        <v>0</v>
      </c>
      <c r="P286">
        <v>0.57379999999999998</v>
      </c>
      <c r="Q286">
        <v>7.4999999999999997E-3</v>
      </c>
      <c r="R286">
        <v>0</v>
      </c>
      <c r="S286">
        <v>0.57379999999999998</v>
      </c>
      <c r="T286">
        <v>0.57379999999999998</v>
      </c>
      <c r="U286">
        <v>5</v>
      </c>
      <c r="V286">
        <v>0</v>
      </c>
      <c r="W286">
        <v>0.2</v>
      </c>
      <c r="X286">
        <v>0</v>
      </c>
      <c r="Y286">
        <v>0.48</v>
      </c>
      <c r="Z286">
        <v>1</v>
      </c>
    </row>
    <row r="287" spans="1:26" x14ac:dyDescent="0.2">
      <c r="A287" t="s">
        <v>25</v>
      </c>
      <c r="B287">
        <v>2015</v>
      </c>
      <c r="C287" t="str">
        <f t="shared" si="4"/>
        <v>CLC2015</v>
      </c>
      <c r="D287">
        <v>1.8609596428377531E-13</v>
      </c>
      <c r="E287">
        <v>0.31390048071822652</v>
      </c>
      <c r="F287">
        <v>1.359699607365761</v>
      </c>
      <c r="G287">
        <v>27.328658339494709</v>
      </c>
      <c r="H287">
        <v>1.4661414599698841</v>
      </c>
      <c r="I287">
        <v>0.56184225894487561</v>
      </c>
      <c r="J287">
        <v>1.868339852034628E-2</v>
      </c>
      <c r="K287">
        <v>0.19987899526863709</v>
      </c>
      <c r="L287">
        <v>0.1184703227471116</v>
      </c>
      <c r="M287">
        <v>11</v>
      </c>
      <c r="N287">
        <v>0</v>
      </c>
      <c r="O287">
        <v>0</v>
      </c>
      <c r="P287">
        <v>0.57379999999999998</v>
      </c>
      <c r="Q287">
        <v>7.1999999999999998E-3</v>
      </c>
      <c r="R287">
        <v>0</v>
      </c>
      <c r="S287">
        <v>0.57379999999999998</v>
      </c>
      <c r="T287">
        <v>0.57379999999999998</v>
      </c>
      <c r="U287">
        <v>5</v>
      </c>
      <c r="V287">
        <v>0</v>
      </c>
      <c r="W287">
        <v>0</v>
      </c>
      <c r="X287">
        <v>0</v>
      </c>
      <c r="Y287">
        <v>0.49299999999999999</v>
      </c>
      <c r="Z287">
        <v>1</v>
      </c>
    </row>
    <row r="288" spans="1:26" x14ac:dyDescent="0.2">
      <c r="A288" t="s">
        <v>25</v>
      </c>
      <c r="B288">
        <v>2016</v>
      </c>
      <c r="C288" t="str">
        <f t="shared" si="4"/>
        <v>CLC2016</v>
      </c>
      <c r="D288">
        <v>1.8222847621062081E-13</v>
      </c>
      <c r="E288">
        <v>0.29444931159923932</v>
      </c>
      <c r="F288">
        <v>1.403432703474498</v>
      </c>
      <c r="G288">
        <v>27.38564187939334</v>
      </c>
      <c r="H288">
        <v>1.504506605041704</v>
      </c>
      <c r="I288">
        <v>0.51578431649009826</v>
      </c>
      <c r="J288">
        <v>5.8638384956964718E-2</v>
      </c>
      <c r="K288">
        <v>0.1387842063281981</v>
      </c>
      <c r="L288">
        <v>0.1186705233948078</v>
      </c>
      <c r="M288">
        <v>12</v>
      </c>
      <c r="N288">
        <v>0</v>
      </c>
      <c r="O288">
        <v>0</v>
      </c>
      <c r="P288">
        <v>0.57379999999999998</v>
      </c>
      <c r="Q288">
        <v>2.5000000000000001E-3</v>
      </c>
      <c r="R288">
        <v>0</v>
      </c>
      <c r="S288">
        <v>0.57379999999999998</v>
      </c>
      <c r="T288">
        <v>0.57379999999999998</v>
      </c>
      <c r="U288">
        <v>5</v>
      </c>
      <c r="V288">
        <v>0</v>
      </c>
      <c r="W288">
        <v>0</v>
      </c>
      <c r="X288">
        <v>0</v>
      </c>
      <c r="Y288">
        <v>0.46910000000000002</v>
      </c>
      <c r="Z288">
        <v>1</v>
      </c>
    </row>
    <row r="289" spans="1:26" x14ac:dyDescent="0.2">
      <c r="A289" t="s">
        <v>25</v>
      </c>
      <c r="B289">
        <v>2017</v>
      </c>
      <c r="C289" t="str">
        <f t="shared" si="4"/>
        <v>CLC2017</v>
      </c>
      <c r="D289">
        <v>1.7656966035332609E-13</v>
      </c>
      <c r="E289">
        <v>0.23819130959446269</v>
      </c>
      <c r="F289">
        <v>1.516286739965508</v>
      </c>
      <c r="G289">
        <v>27.377016011561619</v>
      </c>
      <c r="H289">
        <v>1.6435287222774799</v>
      </c>
      <c r="I289">
        <v>0.42498767419972389</v>
      </c>
      <c r="J289">
        <v>-8.5887717723246437E-3</v>
      </c>
      <c r="K289">
        <v>0.1701008929310579</v>
      </c>
      <c r="L289">
        <v>8.874149464252748E-2</v>
      </c>
      <c r="M289">
        <v>13</v>
      </c>
      <c r="N289">
        <v>0</v>
      </c>
      <c r="O289">
        <v>0</v>
      </c>
      <c r="P289">
        <v>0.57379999999999998</v>
      </c>
      <c r="Q289">
        <v>2.5000000000000001E-3</v>
      </c>
      <c r="R289">
        <v>0</v>
      </c>
      <c r="S289">
        <v>0.57379999999999998</v>
      </c>
      <c r="T289">
        <v>0.57379999999999998</v>
      </c>
      <c r="U289">
        <v>5</v>
      </c>
      <c r="V289">
        <v>0</v>
      </c>
      <c r="W289">
        <v>0</v>
      </c>
      <c r="X289">
        <v>0</v>
      </c>
      <c r="Y289">
        <v>0.46639999999999998</v>
      </c>
      <c r="Z289">
        <v>1</v>
      </c>
    </row>
    <row r="290" spans="1:26" x14ac:dyDescent="0.2">
      <c r="A290" t="s">
        <v>25</v>
      </c>
      <c r="B290">
        <v>2018</v>
      </c>
      <c r="C290" t="str">
        <f t="shared" si="4"/>
        <v>CLC2018</v>
      </c>
      <c r="D290">
        <v>1.5234161014971791E-13</v>
      </c>
      <c r="E290">
        <v>0.24579906192557949</v>
      </c>
      <c r="F290">
        <v>1.250912783546964</v>
      </c>
      <c r="G290">
        <v>27.64451562642979</v>
      </c>
      <c r="H290">
        <v>2.0762743602375471</v>
      </c>
      <c r="I290">
        <v>0.37179858277639988</v>
      </c>
      <c r="J290">
        <v>0.3206457117481365</v>
      </c>
      <c r="K290">
        <v>7.4023357515647925E-2</v>
      </c>
      <c r="L290">
        <v>4.8881335032286838E-2</v>
      </c>
      <c r="M290">
        <v>14</v>
      </c>
      <c r="N290">
        <v>0</v>
      </c>
      <c r="O290">
        <v>0</v>
      </c>
      <c r="P290">
        <v>0.57379999999999998</v>
      </c>
      <c r="Q290">
        <v>4.0000000000000001E-3</v>
      </c>
      <c r="R290">
        <v>0</v>
      </c>
      <c r="S290">
        <v>0.57379999999999998</v>
      </c>
      <c r="T290">
        <v>0.57379999999999998</v>
      </c>
      <c r="U290">
        <v>5</v>
      </c>
      <c r="V290">
        <v>0</v>
      </c>
      <c r="W290">
        <v>0</v>
      </c>
      <c r="X290">
        <v>0</v>
      </c>
      <c r="Y290">
        <v>0.44180000000000003</v>
      </c>
      <c r="Z290">
        <v>1</v>
      </c>
    </row>
    <row r="291" spans="1:26" x14ac:dyDescent="0.2">
      <c r="A291" t="s">
        <v>25</v>
      </c>
      <c r="B291">
        <v>2019</v>
      </c>
      <c r="C291" t="str">
        <f t="shared" si="4"/>
        <v>CLC2019</v>
      </c>
      <c r="D291">
        <v>1.3393849092447959E-13</v>
      </c>
      <c r="E291">
        <v>0.20281981968711449</v>
      </c>
      <c r="F291">
        <v>1.1908236151890259</v>
      </c>
      <c r="G291">
        <v>27.65510030125381</v>
      </c>
      <c r="H291">
        <v>2.4885094506126841</v>
      </c>
      <c r="I291">
        <v>0.32352388600978382</v>
      </c>
      <c r="J291">
        <v>-3.6502199277310687E-5</v>
      </c>
      <c r="K291">
        <v>0.14204613128005561</v>
      </c>
      <c r="L291">
        <v>8.7976676512702842E-2</v>
      </c>
      <c r="M291">
        <v>15</v>
      </c>
      <c r="N291">
        <v>0</v>
      </c>
      <c r="O291">
        <v>1</v>
      </c>
      <c r="P291">
        <v>0.57379999999999998</v>
      </c>
      <c r="Q291">
        <v>2.5999999999999999E-3</v>
      </c>
      <c r="R291">
        <v>0</v>
      </c>
      <c r="S291">
        <v>0.57379999999999998</v>
      </c>
      <c r="T291">
        <v>0.57379999999999998</v>
      </c>
      <c r="U291">
        <v>5</v>
      </c>
      <c r="V291">
        <v>0</v>
      </c>
      <c r="W291">
        <v>0</v>
      </c>
      <c r="X291">
        <v>0</v>
      </c>
      <c r="Y291">
        <v>0.44550000000000001</v>
      </c>
      <c r="Z291">
        <v>1</v>
      </c>
    </row>
    <row r="292" spans="1:26" x14ac:dyDescent="0.2">
      <c r="A292" t="s">
        <v>25</v>
      </c>
      <c r="B292">
        <v>2020</v>
      </c>
      <c r="C292" t="str">
        <f t="shared" si="4"/>
        <v>CLC2020</v>
      </c>
      <c r="D292">
        <v>1.551620484623016E-13</v>
      </c>
      <c r="E292">
        <v>0.17648615593786809</v>
      </c>
      <c r="F292">
        <v>1.147223421091855</v>
      </c>
      <c r="G292">
        <v>27.538489029081539</v>
      </c>
      <c r="H292">
        <v>2.752035009925621</v>
      </c>
      <c r="I292">
        <v>0.19852738827508959</v>
      </c>
      <c r="J292">
        <v>-0.1100689330958492</v>
      </c>
      <c r="K292">
        <v>0.24994973500220871</v>
      </c>
      <c r="L292">
        <v>5.955504107618579E-2</v>
      </c>
      <c r="M292">
        <v>16</v>
      </c>
      <c r="N292">
        <v>0</v>
      </c>
      <c r="O292">
        <v>1</v>
      </c>
      <c r="P292">
        <v>0.57379999999999998</v>
      </c>
      <c r="Q292">
        <v>5.6999999999999993E-3</v>
      </c>
      <c r="R292">
        <v>0</v>
      </c>
      <c r="S292">
        <v>0.57379999999999998</v>
      </c>
      <c r="T292">
        <v>0.57379999999999998</v>
      </c>
      <c r="U292">
        <v>5</v>
      </c>
      <c r="V292">
        <v>0</v>
      </c>
      <c r="W292">
        <v>0.2</v>
      </c>
      <c r="X292">
        <v>0</v>
      </c>
      <c r="Y292">
        <v>0.439</v>
      </c>
      <c r="Z292">
        <v>1</v>
      </c>
    </row>
    <row r="293" spans="1:26" x14ac:dyDescent="0.2">
      <c r="A293" t="s">
        <v>25</v>
      </c>
      <c r="B293">
        <v>2021</v>
      </c>
      <c r="C293" t="str">
        <f t="shared" si="4"/>
        <v>CLC2021</v>
      </c>
      <c r="D293">
        <v>1.289376821137932E-13</v>
      </c>
      <c r="E293">
        <v>0.18372252159032751</v>
      </c>
      <c r="F293">
        <v>1.1863410700747099</v>
      </c>
      <c r="G293">
        <v>27.6799722566358</v>
      </c>
      <c r="H293">
        <v>4.6489183703566201</v>
      </c>
      <c r="I293">
        <v>0.26298441508223658</v>
      </c>
      <c r="J293">
        <v>0.15198118255689619</v>
      </c>
      <c r="K293">
        <v>-1.2089359891481889E-2</v>
      </c>
      <c r="L293">
        <v>2.5548063026419539E-2</v>
      </c>
      <c r="M293">
        <v>17</v>
      </c>
      <c r="N293">
        <v>0</v>
      </c>
      <c r="O293">
        <v>0</v>
      </c>
      <c r="P293">
        <v>0.57379999999999998</v>
      </c>
      <c r="Q293">
        <v>1.1000000000000001E-3</v>
      </c>
      <c r="R293">
        <v>0</v>
      </c>
      <c r="S293">
        <v>0.57379999999999998</v>
      </c>
      <c r="T293">
        <v>0.57379999999999998</v>
      </c>
      <c r="U293">
        <v>5</v>
      </c>
      <c r="V293">
        <v>0</v>
      </c>
      <c r="W293">
        <v>0.2</v>
      </c>
      <c r="X293">
        <v>0</v>
      </c>
      <c r="Y293">
        <v>0.46</v>
      </c>
      <c r="Z293">
        <v>1</v>
      </c>
    </row>
    <row r="294" spans="1:26" x14ac:dyDescent="0.2">
      <c r="A294" t="s">
        <v>25</v>
      </c>
      <c r="B294">
        <v>2022</v>
      </c>
      <c r="C294" t="str">
        <f t="shared" si="4"/>
        <v>CLC2022</v>
      </c>
      <c r="D294">
        <v>7.3206969133268831E-14</v>
      </c>
      <c r="E294">
        <v>0.1668768770854982</v>
      </c>
      <c r="F294">
        <v>0.9978355893453249</v>
      </c>
      <c r="G294">
        <v>27.956802850317612</v>
      </c>
      <c r="H294">
        <v>3.652762157755324</v>
      </c>
      <c r="I294">
        <v>0.39236683125580291</v>
      </c>
      <c r="J294">
        <v>0.31894291484493897</v>
      </c>
      <c r="K294">
        <v>-6.8285006252303104E-2</v>
      </c>
      <c r="L294">
        <v>2.4195179532110742E-2</v>
      </c>
      <c r="M294">
        <v>18</v>
      </c>
      <c r="N294">
        <v>0</v>
      </c>
      <c r="O294">
        <v>0</v>
      </c>
      <c r="P294">
        <v>0.57379999999999998</v>
      </c>
      <c r="Q294">
        <v>1.2999999999999999E-3</v>
      </c>
      <c r="R294">
        <v>0</v>
      </c>
      <c r="S294">
        <v>0.57379999999999998</v>
      </c>
      <c r="T294">
        <v>0.57379999999999998</v>
      </c>
      <c r="U294">
        <v>5</v>
      </c>
      <c r="V294">
        <v>0</v>
      </c>
      <c r="W294">
        <v>0.2</v>
      </c>
      <c r="X294">
        <v>0</v>
      </c>
      <c r="Y294">
        <v>0.45400000000000001</v>
      </c>
      <c r="Z294">
        <v>1</v>
      </c>
    </row>
    <row r="295" spans="1:26" x14ac:dyDescent="0.2">
      <c r="A295" t="s">
        <v>25</v>
      </c>
      <c r="B295">
        <v>2023</v>
      </c>
      <c r="C295" t="str">
        <f t="shared" si="4"/>
        <v>CLC2023</v>
      </c>
      <c r="D295">
        <v>-1171516469126.771</v>
      </c>
      <c r="E295">
        <v>0.1117189263539789</v>
      </c>
      <c r="F295">
        <v>0.77224224289183596</v>
      </c>
      <c r="G295">
        <v>28.080052109751819</v>
      </c>
      <c r="H295">
        <v>2.4697453324028058</v>
      </c>
      <c r="I295">
        <v>0.1980968830757219</v>
      </c>
      <c r="J295">
        <v>0.1311663396924094</v>
      </c>
      <c r="K295">
        <v>6.4169433670048348E-2</v>
      </c>
      <c r="L295">
        <v>6.8861956651729977E-2</v>
      </c>
      <c r="M295">
        <v>19</v>
      </c>
      <c r="N295">
        <v>0</v>
      </c>
      <c r="O295">
        <v>0</v>
      </c>
      <c r="P295">
        <v>0.57379999999999998</v>
      </c>
      <c r="Q295">
        <v>1.2999999999999999E-3</v>
      </c>
      <c r="R295">
        <v>0</v>
      </c>
      <c r="S295">
        <v>0.57379999999999998</v>
      </c>
      <c r="T295">
        <v>0.57379999999999998</v>
      </c>
      <c r="U295">
        <v>5</v>
      </c>
      <c r="V295">
        <v>0</v>
      </c>
      <c r="W295">
        <v>0.2</v>
      </c>
      <c r="X295">
        <v>0</v>
      </c>
      <c r="Y295">
        <v>0.45400000000000001</v>
      </c>
      <c r="Z295">
        <v>1</v>
      </c>
    </row>
    <row r="296" spans="1:26" x14ac:dyDescent="0.2">
      <c r="A296" t="s">
        <v>26</v>
      </c>
      <c r="B296">
        <v>2012</v>
      </c>
      <c r="C296" t="str">
        <f t="shared" si="4"/>
        <v>CMX2012</v>
      </c>
      <c r="D296">
        <v>5.5672755648463567E-15</v>
      </c>
      <c r="E296">
        <v>1.743555913755223E-2</v>
      </c>
      <c r="F296">
        <v>0.8397729366910498</v>
      </c>
      <c r="G296">
        <v>27.290426619694099</v>
      </c>
      <c r="H296">
        <v>0.99391081855597274</v>
      </c>
      <c r="I296">
        <v>0.77286266353790001</v>
      </c>
      <c r="J296">
        <v>-0.2058153877866733</v>
      </c>
      <c r="K296">
        <v>0.29971943034724302</v>
      </c>
      <c r="L296">
        <v>0.27216885138115859</v>
      </c>
      <c r="M296">
        <v>6</v>
      </c>
      <c r="N296">
        <v>0</v>
      </c>
      <c r="O296">
        <v>0</v>
      </c>
      <c r="P296">
        <v>0.52290000000000003</v>
      </c>
      <c r="Q296">
        <v>0.36099999999999999</v>
      </c>
      <c r="R296">
        <v>0</v>
      </c>
      <c r="S296">
        <v>0</v>
      </c>
      <c r="T296">
        <v>0.1923</v>
      </c>
      <c r="U296">
        <v>5</v>
      </c>
      <c r="V296">
        <v>0</v>
      </c>
      <c r="W296">
        <v>0</v>
      </c>
      <c r="X296">
        <v>1</v>
      </c>
      <c r="Y296">
        <v>0.38640000000000002</v>
      </c>
      <c r="Z296">
        <v>1</v>
      </c>
    </row>
    <row r="297" spans="1:26" x14ac:dyDescent="0.2">
      <c r="A297" t="s">
        <v>26</v>
      </c>
      <c r="B297">
        <v>2013</v>
      </c>
      <c r="C297" t="str">
        <f t="shared" si="4"/>
        <v>CMX2013</v>
      </c>
      <c r="D297">
        <v>-3.4126853257923631E-13</v>
      </c>
      <c r="E297">
        <v>-3.6740053540032842</v>
      </c>
      <c r="F297">
        <v>1.0671039549970971</v>
      </c>
      <c r="G297">
        <v>27.135490113141611</v>
      </c>
      <c r="H297">
        <v>0.96849977781573682</v>
      </c>
      <c r="I297">
        <v>0.94340864663693114</v>
      </c>
      <c r="J297">
        <v>-0.14353044403794901</v>
      </c>
      <c r="K297">
        <v>5.9326224797668532E-2</v>
      </c>
      <c r="L297">
        <v>0.3256436022466494</v>
      </c>
      <c r="M297">
        <v>7</v>
      </c>
      <c r="N297">
        <v>0</v>
      </c>
      <c r="O297">
        <v>0</v>
      </c>
      <c r="P297">
        <v>0.46720000000000012</v>
      </c>
      <c r="Q297">
        <v>0.1358</v>
      </c>
      <c r="R297">
        <v>0</v>
      </c>
      <c r="S297">
        <v>0</v>
      </c>
      <c r="T297">
        <v>0.1923</v>
      </c>
      <c r="U297">
        <v>5</v>
      </c>
      <c r="V297">
        <v>0</v>
      </c>
      <c r="W297">
        <v>0</v>
      </c>
      <c r="X297">
        <v>1</v>
      </c>
      <c r="Y297">
        <v>0.39900000000000002</v>
      </c>
      <c r="Z297">
        <v>1</v>
      </c>
    </row>
    <row r="298" spans="1:26" x14ac:dyDescent="0.2">
      <c r="A298" t="s">
        <v>26</v>
      </c>
      <c r="B298">
        <v>2014</v>
      </c>
      <c r="C298" t="str">
        <f t="shared" si="4"/>
        <v>CMX2014</v>
      </c>
      <c r="D298">
        <v>1.9171429761752619E-14</v>
      </c>
      <c r="E298">
        <v>0.17407513465839469</v>
      </c>
      <c r="F298">
        <v>1.1018461815085949</v>
      </c>
      <c r="G298">
        <v>27.14596475233385</v>
      </c>
      <c r="H298">
        <v>0.72011877319299245</v>
      </c>
      <c r="I298">
        <v>0.93219519663255146</v>
      </c>
      <c r="J298">
        <v>1.052969027084294E-2</v>
      </c>
      <c r="K298">
        <v>8.2406891911772431E-2</v>
      </c>
      <c r="L298">
        <v>0.30172596976820032</v>
      </c>
      <c r="M298">
        <v>8</v>
      </c>
      <c r="N298">
        <v>0</v>
      </c>
      <c r="O298">
        <v>0</v>
      </c>
      <c r="P298">
        <v>0.45700000000000002</v>
      </c>
      <c r="Q298">
        <v>0.12559999999999999</v>
      </c>
      <c r="R298">
        <v>0</v>
      </c>
      <c r="S298">
        <v>0</v>
      </c>
      <c r="T298">
        <v>0.1923</v>
      </c>
      <c r="U298">
        <v>5</v>
      </c>
      <c r="V298">
        <v>0</v>
      </c>
      <c r="W298">
        <v>0</v>
      </c>
      <c r="X298">
        <v>1</v>
      </c>
      <c r="Y298">
        <v>0.42</v>
      </c>
      <c r="Z298">
        <v>1</v>
      </c>
    </row>
    <row r="299" spans="1:26" x14ac:dyDescent="0.2">
      <c r="A299" t="s">
        <v>26</v>
      </c>
      <c r="B299">
        <v>2015</v>
      </c>
      <c r="C299" t="str">
        <f t="shared" si="4"/>
        <v>CMX2015</v>
      </c>
      <c r="D299">
        <v>5.3540067496089107E-14</v>
      </c>
      <c r="E299">
        <v>0.37135620020701959</v>
      </c>
      <c r="F299">
        <v>0.99956018826631698</v>
      </c>
      <c r="G299">
        <v>27.243392759092028</v>
      </c>
      <c r="H299">
        <v>0.74759167274798666</v>
      </c>
      <c r="I299">
        <v>0.90215393185801962</v>
      </c>
      <c r="J299">
        <v>0.1023320782466777</v>
      </c>
      <c r="K299">
        <v>6.6743017394705645E-2</v>
      </c>
      <c r="L299">
        <v>0.32311200609160751</v>
      </c>
      <c r="M299">
        <v>9</v>
      </c>
      <c r="N299">
        <v>0</v>
      </c>
      <c r="O299">
        <v>0</v>
      </c>
      <c r="P299">
        <v>0.39779999999999999</v>
      </c>
      <c r="Q299">
        <v>0.12559999999999999</v>
      </c>
      <c r="R299">
        <v>0</v>
      </c>
      <c r="S299">
        <v>0</v>
      </c>
      <c r="T299">
        <v>0.27310000000000001</v>
      </c>
      <c r="U299">
        <v>5</v>
      </c>
      <c r="V299">
        <v>0</v>
      </c>
      <c r="W299">
        <v>0</v>
      </c>
      <c r="X299">
        <v>1</v>
      </c>
      <c r="Y299">
        <v>0.43</v>
      </c>
      <c r="Z299">
        <v>1</v>
      </c>
    </row>
    <row r="300" spans="1:26" x14ac:dyDescent="0.2">
      <c r="A300" t="s">
        <v>26</v>
      </c>
      <c r="B300">
        <v>2016</v>
      </c>
      <c r="C300" t="str">
        <f t="shared" si="4"/>
        <v>CMX2016</v>
      </c>
      <c r="D300">
        <v>-9.0594293788749934E-14</v>
      </c>
      <c r="E300">
        <v>-1.874727252294109</v>
      </c>
      <c r="F300">
        <v>1.0538517515301731</v>
      </c>
      <c r="G300">
        <v>27.251860695820621</v>
      </c>
      <c r="H300">
        <v>0.74714565116539389</v>
      </c>
      <c r="I300">
        <v>0.96692533355657506</v>
      </c>
      <c r="J300">
        <v>8.5038911196579914E-3</v>
      </c>
      <c r="K300">
        <v>7.008212638343661E-2</v>
      </c>
      <c r="L300">
        <v>0.3515107761713947</v>
      </c>
      <c r="M300">
        <v>10</v>
      </c>
      <c r="N300">
        <v>0</v>
      </c>
      <c r="O300">
        <v>0</v>
      </c>
      <c r="P300">
        <v>0.317</v>
      </c>
      <c r="Q300">
        <v>0.27079999999999999</v>
      </c>
      <c r="R300">
        <v>0</v>
      </c>
      <c r="S300">
        <v>0</v>
      </c>
      <c r="T300">
        <v>0.1923</v>
      </c>
      <c r="U300">
        <v>5</v>
      </c>
      <c r="V300">
        <v>0</v>
      </c>
      <c r="W300">
        <v>0</v>
      </c>
      <c r="X300">
        <v>1</v>
      </c>
      <c r="Y300">
        <v>0.44700000000000001</v>
      </c>
      <c r="Z300">
        <v>1</v>
      </c>
    </row>
    <row r="301" spans="1:26" x14ac:dyDescent="0.2">
      <c r="A301" t="s">
        <v>26</v>
      </c>
      <c r="B301">
        <v>2017</v>
      </c>
      <c r="C301" t="str">
        <f t="shared" si="4"/>
        <v>CMX2017</v>
      </c>
      <c r="D301">
        <v>4.9545001568674092E-14</v>
      </c>
      <c r="E301">
        <v>0.4462958434253998</v>
      </c>
      <c r="F301">
        <v>0.99823948133749241</v>
      </c>
      <c r="G301">
        <v>27.321104396761111</v>
      </c>
      <c r="H301">
        <v>0.67498651802785703</v>
      </c>
      <c r="I301">
        <v>0.91857047837332806</v>
      </c>
      <c r="J301">
        <v>7.1697350979155861E-2</v>
      </c>
      <c r="K301">
        <v>7.2292303441148606E-2</v>
      </c>
      <c r="L301">
        <v>0.35315999425990258</v>
      </c>
      <c r="M301">
        <v>11</v>
      </c>
      <c r="N301">
        <v>0</v>
      </c>
      <c r="O301">
        <v>0</v>
      </c>
      <c r="P301">
        <v>0.4622</v>
      </c>
      <c r="Q301">
        <v>0.27079999999999999</v>
      </c>
      <c r="R301">
        <v>0</v>
      </c>
      <c r="S301">
        <v>0</v>
      </c>
      <c r="T301">
        <v>0.1923</v>
      </c>
      <c r="U301">
        <v>5</v>
      </c>
      <c r="V301">
        <v>0</v>
      </c>
      <c r="W301">
        <v>0</v>
      </c>
      <c r="X301">
        <v>1</v>
      </c>
      <c r="Y301">
        <v>0.45700000000000002</v>
      </c>
      <c r="Z301">
        <v>1</v>
      </c>
    </row>
    <row r="302" spans="1:26" x14ac:dyDescent="0.2">
      <c r="A302" t="s">
        <v>26</v>
      </c>
      <c r="B302">
        <v>2018</v>
      </c>
      <c r="C302" t="str">
        <f t="shared" si="4"/>
        <v>CMX2018</v>
      </c>
      <c r="D302">
        <v>1.051799498686388E-13</v>
      </c>
      <c r="E302">
        <v>0.58351017751307244</v>
      </c>
      <c r="F302">
        <v>1.0713733845814091</v>
      </c>
      <c r="G302">
        <v>27.49897737564379</v>
      </c>
      <c r="H302">
        <v>0.7079119783458685</v>
      </c>
      <c r="I302">
        <v>0.84204308018060747</v>
      </c>
      <c r="J302">
        <v>0.19467356282595019</v>
      </c>
      <c r="K302">
        <v>3.2714496419946372E-2</v>
      </c>
      <c r="L302">
        <v>0.30224138915883769</v>
      </c>
      <c r="M302">
        <v>12</v>
      </c>
      <c r="N302">
        <v>0</v>
      </c>
      <c r="O302">
        <v>0</v>
      </c>
      <c r="P302">
        <v>0.4622</v>
      </c>
      <c r="Q302">
        <v>0.27079999999999999</v>
      </c>
      <c r="R302">
        <v>0</v>
      </c>
      <c r="S302">
        <v>0</v>
      </c>
      <c r="T302">
        <v>0.1923</v>
      </c>
      <c r="U302">
        <v>5</v>
      </c>
      <c r="V302">
        <v>0</v>
      </c>
      <c r="W302">
        <v>0</v>
      </c>
      <c r="X302">
        <v>1</v>
      </c>
      <c r="Y302">
        <v>0.46700000000000003</v>
      </c>
      <c r="Z302">
        <v>1</v>
      </c>
    </row>
    <row r="303" spans="1:26" x14ac:dyDescent="0.2">
      <c r="A303" t="s">
        <v>26</v>
      </c>
      <c r="B303">
        <v>2019</v>
      </c>
      <c r="C303" t="str">
        <f t="shared" si="4"/>
        <v>CMX2019</v>
      </c>
      <c r="D303">
        <v>3.8353513708209439E-14</v>
      </c>
      <c r="E303">
        <v>0.2257104316586506</v>
      </c>
      <c r="F303">
        <v>0.88853054130398135</v>
      </c>
      <c r="G303">
        <v>27.98434759358803</v>
      </c>
      <c r="H303">
        <v>0.82428784584383819</v>
      </c>
      <c r="I303">
        <v>0.75806357126115387</v>
      </c>
      <c r="J303">
        <v>0.62477641889662183</v>
      </c>
      <c r="K303">
        <v>-5.6650376305424133E-2</v>
      </c>
      <c r="L303">
        <v>0.27003738520403009</v>
      </c>
      <c r="M303">
        <v>13</v>
      </c>
      <c r="N303">
        <v>0</v>
      </c>
      <c r="O303">
        <v>1</v>
      </c>
      <c r="P303">
        <v>0.51230000000000009</v>
      </c>
      <c r="Q303">
        <v>0.27079999999999999</v>
      </c>
      <c r="R303">
        <v>0</v>
      </c>
      <c r="S303">
        <v>0</v>
      </c>
      <c r="T303">
        <v>0.1923</v>
      </c>
      <c r="U303">
        <v>6</v>
      </c>
      <c r="V303">
        <v>0</v>
      </c>
      <c r="W303">
        <v>0</v>
      </c>
      <c r="X303">
        <v>0</v>
      </c>
      <c r="Y303">
        <v>0.4667</v>
      </c>
      <c r="Z303">
        <v>1</v>
      </c>
    </row>
    <row r="304" spans="1:26" x14ac:dyDescent="0.2">
      <c r="A304" t="s">
        <v>26</v>
      </c>
      <c r="B304">
        <v>2020</v>
      </c>
      <c r="C304" t="str">
        <f t="shared" si="4"/>
        <v>CMX2020</v>
      </c>
      <c r="D304">
        <v>2.6994249415483799E-14</v>
      </c>
      <c r="E304">
        <v>0.1078453698018786</v>
      </c>
      <c r="F304">
        <v>0.99103788472985366</v>
      </c>
      <c r="G304">
        <v>28.03158607221409</v>
      </c>
      <c r="H304">
        <v>0.92421693619513989</v>
      </c>
      <c r="I304">
        <v>0.62637760292774758</v>
      </c>
      <c r="J304">
        <v>4.8371993583125487E-2</v>
      </c>
      <c r="K304">
        <v>-7.6672957679135593E-3</v>
      </c>
      <c r="L304">
        <v>0.30127388561733542</v>
      </c>
      <c r="M304">
        <v>14</v>
      </c>
      <c r="N304">
        <v>0</v>
      </c>
      <c r="O304">
        <v>1</v>
      </c>
      <c r="P304">
        <v>0.41249999999999998</v>
      </c>
      <c r="Q304">
        <v>0.1048</v>
      </c>
      <c r="R304">
        <v>0.1389</v>
      </c>
      <c r="S304">
        <v>0</v>
      </c>
      <c r="T304">
        <v>0.23089999999999999</v>
      </c>
      <c r="U304">
        <v>5</v>
      </c>
      <c r="V304">
        <v>0</v>
      </c>
      <c r="W304">
        <v>0</v>
      </c>
      <c r="X304">
        <v>0</v>
      </c>
      <c r="Y304">
        <v>0.46560000000000001</v>
      </c>
      <c r="Z304">
        <v>1</v>
      </c>
    </row>
    <row r="305" spans="1:26" x14ac:dyDescent="0.2">
      <c r="A305" t="s">
        <v>26</v>
      </c>
      <c r="B305">
        <v>2021</v>
      </c>
      <c r="C305" t="str">
        <f t="shared" si="4"/>
        <v>CMX2021</v>
      </c>
      <c r="D305">
        <v>1.424338089143762E-14</v>
      </c>
      <c r="E305">
        <v>6.4439930357763672E-2</v>
      </c>
      <c r="F305">
        <v>1.182937823461486</v>
      </c>
      <c r="G305">
        <v>28.515443109285599</v>
      </c>
      <c r="H305">
        <v>1.0300277713992601</v>
      </c>
      <c r="I305">
        <v>0.46474883998016092</v>
      </c>
      <c r="J305">
        <v>0.62231969749775429</v>
      </c>
      <c r="K305">
        <v>-0.14727289718682959</v>
      </c>
      <c r="L305">
        <v>0.19691902693011801</v>
      </c>
      <c r="M305">
        <v>15</v>
      </c>
      <c r="N305">
        <v>0</v>
      </c>
      <c r="O305">
        <v>0</v>
      </c>
      <c r="P305">
        <v>0.52560000000000007</v>
      </c>
      <c r="Q305">
        <v>0.2477</v>
      </c>
      <c r="R305">
        <v>0</v>
      </c>
      <c r="S305">
        <v>0</v>
      </c>
      <c r="T305">
        <v>9.1999999999999998E-2</v>
      </c>
      <c r="U305">
        <v>5</v>
      </c>
      <c r="V305">
        <v>0</v>
      </c>
      <c r="W305">
        <v>0</v>
      </c>
      <c r="X305">
        <v>0</v>
      </c>
      <c r="Y305">
        <v>0.47560000000000002</v>
      </c>
      <c r="Z305">
        <v>1</v>
      </c>
    </row>
    <row r="306" spans="1:26" x14ac:dyDescent="0.2">
      <c r="A306" t="s">
        <v>26</v>
      </c>
      <c r="B306">
        <v>2022</v>
      </c>
      <c r="C306" t="str">
        <f t="shared" si="4"/>
        <v>CMX2022</v>
      </c>
      <c r="D306">
        <v>1.0702223410375031E-14</v>
      </c>
      <c r="E306">
        <v>6.5143728976471429E-2</v>
      </c>
      <c r="F306">
        <v>0.78702424174519581</v>
      </c>
      <c r="G306">
        <v>28.700558653761309</v>
      </c>
      <c r="H306">
        <v>1.929137716544675</v>
      </c>
      <c r="I306">
        <v>0.52126448302965833</v>
      </c>
      <c r="J306">
        <v>0.20335747340363461</v>
      </c>
      <c r="K306">
        <v>-5.6952847317805373E-2</v>
      </c>
      <c r="L306">
        <v>0.16847166730080579</v>
      </c>
      <c r="M306">
        <v>16</v>
      </c>
      <c r="N306">
        <v>0</v>
      </c>
      <c r="O306">
        <v>0</v>
      </c>
      <c r="P306">
        <v>0.44440000000000002</v>
      </c>
      <c r="Q306">
        <v>0.22120000000000001</v>
      </c>
      <c r="R306">
        <v>0</v>
      </c>
      <c r="S306">
        <v>0</v>
      </c>
      <c r="T306">
        <v>8.4399999999999989E-2</v>
      </c>
      <c r="U306">
        <v>5</v>
      </c>
      <c r="V306">
        <v>0</v>
      </c>
      <c r="W306">
        <v>0</v>
      </c>
      <c r="X306">
        <v>0</v>
      </c>
      <c r="Y306">
        <v>0.48499999999999999</v>
      </c>
      <c r="Z306">
        <v>1</v>
      </c>
    </row>
    <row r="307" spans="1:26" x14ac:dyDescent="0.2">
      <c r="A307" t="s">
        <v>26</v>
      </c>
      <c r="B307">
        <v>2023</v>
      </c>
      <c r="C307" t="str">
        <f t="shared" si="4"/>
        <v>CMX2023</v>
      </c>
      <c r="D307">
        <v>381253147046.20288</v>
      </c>
      <c r="E307">
        <v>3.5772327450779837E-2</v>
      </c>
      <c r="F307">
        <v>0.71304408920445295</v>
      </c>
      <c r="G307">
        <v>28.862345128263261</v>
      </c>
      <c r="H307">
        <v>1.4416551564445239</v>
      </c>
      <c r="I307">
        <v>0.45366847627397772</v>
      </c>
      <c r="J307">
        <v>0.17560919198100769</v>
      </c>
      <c r="K307">
        <v>-3.1292564325395428E-2</v>
      </c>
      <c r="L307">
        <v>0.23149080404076849</v>
      </c>
      <c r="M307">
        <v>17</v>
      </c>
      <c r="N307">
        <v>0</v>
      </c>
      <c r="O307">
        <v>0</v>
      </c>
      <c r="P307">
        <v>0.44440000000000002</v>
      </c>
      <c r="Q307">
        <v>0.22120000000000001</v>
      </c>
      <c r="R307">
        <v>0</v>
      </c>
      <c r="S307">
        <v>0</v>
      </c>
      <c r="T307">
        <v>8.4399999999999989E-2</v>
      </c>
      <c r="U307">
        <v>5</v>
      </c>
      <c r="V307">
        <v>0</v>
      </c>
      <c r="W307">
        <v>0</v>
      </c>
      <c r="X307">
        <v>0</v>
      </c>
      <c r="Y307">
        <v>0.48499999999999999</v>
      </c>
      <c r="Z307">
        <v>1</v>
      </c>
    </row>
    <row r="308" spans="1:26" x14ac:dyDescent="0.2">
      <c r="A308" t="s">
        <v>27</v>
      </c>
      <c r="B308">
        <v>2012</v>
      </c>
      <c r="C308" t="str">
        <f t="shared" si="4"/>
        <v>CPC2012</v>
      </c>
      <c r="D308">
        <v>1.165528057324129E-12</v>
      </c>
      <c r="E308">
        <v>0.1882393845016429</v>
      </c>
      <c r="F308">
        <v>0.76302363096439441</v>
      </c>
      <c r="G308">
        <v>25.440956525544468</v>
      </c>
      <c r="H308">
        <v>3.2165574064213018</v>
      </c>
      <c r="I308">
        <v>0.30708610257425778</v>
      </c>
      <c r="J308">
        <v>6.4614114237204534E-2</v>
      </c>
      <c r="K308">
        <v>0.1803323700438095</v>
      </c>
      <c r="L308">
        <v>0.103002718733712</v>
      </c>
      <c r="M308">
        <v>10</v>
      </c>
      <c r="N308">
        <v>0</v>
      </c>
      <c r="O308">
        <v>0</v>
      </c>
      <c r="P308">
        <v>0.2482</v>
      </c>
      <c r="Q308">
        <v>0.1668</v>
      </c>
      <c r="R308">
        <v>0</v>
      </c>
      <c r="S308">
        <v>0</v>
      </c>
      <c r="T308">
        <v>0.16450000000000001</v>
      </c>
      <c r="U308">
        <v>5</v>
      </c>
      <c r="V308">
        <v>1</v>
      </c>
      <c r="W308">
        <v>0</v>
      </c>
      <c r="X308">
        <v>0</v>
      </c>
      <c r="Y308">
        <v>0.51829999999999998</v>
      </c>
      <c r="Z308">
        <v>1</v>
      </c>
    </row>
    <row r="309" spans="1:26" x14ac:dyDescent="0.2">
      <c r="A309" t="s">
        <v>27</v>
      </c>
      <c r="B309">
        <v>2013</v>
      </c>
      <c r="C309" t="str">
        <f t="shared" si="4"/>
        <v>CPC2013</v>
      </c>
      <c r="D309">
        <v>7.8897479800694453E-13</v>
      </c>
      <c r="E309">
        <v>0.1749458939838586</v>
      </c>
      <c r="F309">
        <v>0.92465809686657496</v>
      </c>
      <c r="G309">
        <v>25.611140119103531</v>
      </c>
      <c r="H309">
        <v>2.884072810046669</v>
      </c>
      <c r="I309">
        <v>0.40167629995577908</v>
      </c>
      <c r="J309">
        <v>0.18552248563411</v>
      </c>
      <c r="K309">
        <v>-0.17080965625222971</v>
      </c>
      <c r="L309">
        <v>0.1028314195350425</v>
      </c>
      <c r="M309">
        <v>11</v>
      </c>
      <c r="N309">
        <v>0</v>
      </c>
      <c r="O309">
        <v>0</v>
      </c>
      <c r="P309">
        <v>0.2482</v>
      </c>
      <c r="Q309">
        <v>0.1668</v>
      </c>
      <c r="R309">
        <v>0</v>
      </c>
      <c r="S309">
        <v>0</v>
      </c>
      <c r="T309">
        <v>0.16450000000000001</v>
      </c>
      <c r="U309">
        <v>5</v>
      </c>
      <c r="V309">
        <v>1</v>
      </c>
      <c r="W309">
        <v>0</v>
      </c>
      <c r="X309">
        <v>0</v>
      </c>
      <c r="Y309">
        <v>0.52829999999999999</v>
      </c>
      <c r="Z309">
        <v>1</v>
      </c>
    </row>
    <row r="310" spans="1:26" x14ac:dyDescent="0.2">
      <c r="A310" t="s">
        <v>27</v>
      </c>
      <c r="B310">
        <v>2014</v>
      </c>
      <c r="C310" t="str">
        <f t="shared" si="4"/>
        <v>CPC2014</v>
      </c>
      <c r="D310">
        <v>7.7647196230060893E-13</v>
      </c>
      <c r="E310">
        <v>0.130395189472615</v>
      </c>
      <c r="F310">
        <v>1.138325088679774</v>
      </c>
      <c r="G310">
        <v>25.477702020178089</v>
      </c>
      <c r="H310">
        <v>2.198304348548576</v>
      </c>
      <c r="I310">
        <v>0.30866330747542531</v>
      </c>
      <c r="J310">
        <v>-0.13002281212104591</v>
      </c>
      <c r="K310">
        <v>0.25819178319748298</v>
      </c>
      <c r="L310">
        <v>0.1058903549630423</v>
      </c>
      <c r="M310">
        <v>12</v>
      </c>
      <c r="N310">
        <v>0</v>
      </c>
      <c r="O310">
        <v>0</v>
      </c>
      <c r="P310">
        <v>0.2487</v>
      </c>
      <c r="Q310">
        <v>0.16819999999999999</v>
      </c>
      <c r="R310">
        <v>0</v>
      </c>
      <c r="S310">
        <v>0</v>
      </c>
      <c r="T310">
        <v>0.16500000000000001</v>
      </c>
      <c r="U310">
        <v>5</v>
      </c>
      <c r="V310">
        <v>1</v>
      </c>
      <c r="W310">
        <v>0</v>
      </c>
      <c r="X310">
        <v>0</v>
      </c>
      <c r="Y310">
        <v>0.5383</v>
      </c>
      <c r="Z310">
        <v>1</v>
      </c>
    </row>
    <row r="311" spans="1:26" x14ac:dyDescent="0.2">
      <c r="A311" t="s">
        <v>27</v>
      </c>
      <c r="B311">
        <v>2015</v>
      </c>
      <c r="C311" t="str">
        <f t="shared" si="4"/>
        <v>CPC2015</v>
      </c>
      <c r="D311">
        <v>7.8347027067155252E-13</v>
      </c>
      <c r="E311">
        <v>0.14171553085882441</v>
      </c>
      <c r="F311">
        <v>1.0108961426943419</v>
      </c>
      <c r="G311">
        <v>25.5151702277529</v>
      </c>
      <c r="H311">
        <v>2.845647129954767</v>
      </c>
      <c r="I311">
        <v>0.333649530154559</v>
      </c>
      <c r="J311">
        <v>4.4270334627913188E-2</v>
      </c>
      <c r="K311">
        <v>0.11988239421194601</v>
      </c>
      <c r="L311">
        <v>0.1138869827083383</v>
      </c>
      <c r="M311">
        <v>13</v>
      </c>
      <c r="N311">
        <v>0</v>
      </c>
      <c r="O311">
        <v>0</v>
      </c>
      <c r="P311">
        <v>0.28699999999999998</v>
      </c>
      <c r="Q311">
        <v>0.16819999999999999</v>
      </c>
      <c r="R311">
        <v>0</v>
      </c>
      <c r="S311">
        <v>0</v>
      </c>
      <c r="T311">
        <v>0.20330000000000001</v>
      </c>
      <c r="U311">
        <v>5</v>
      </c>
      <c r="V311">
        <v>1</v>
      </c>
      <c r="W311">
        <v>0</v>
      </c>
      <c r="X311">
        <v>0</v>
      </c>
      <c r="Y311">
        <v>0.54830000000000001</v>
      </c>
      <c r="Z311">
        <v>1</v>
      </c>
    </row>
    <row r="312" spans="1:26" x14ac:dyDescent="0.2">
      <c r="A312" t="s">
        <v>27</v>
      </c>
      <c r="B312">
        <v>2016</v>
      </c>
      <c r="C312" t="str">
        <f t="shared" si="4"/>
        <v>CPC2016</v>
      </c>
      <c r="D312">
        <v>7.156265694002005E-13</v>
      </c>
      <c r="E312">
        <v>0.14415901675456741</v>
      </c>
      <c r="F312">
        <v>1.2474750327259241</v>
      </c>
      <c r="G312">
        <v>25.57763190019902</v>
      </c>
      <c r="H312">
        <v>2.59911940822226</v>
      </c>
      <c r="I312">
        <v>0.36310324032115732</v>
      </c>
      <c r="J312">
        <v>6.4453660230993526E-2</v>
      </c>
      <c r="K312">
        <v>9.863355127120213E-2</v>
      </c>
      <c r="L312">
        <v>9.7791874260792833E-2</v>
      </c>
      <c r="M312">
        <v>14</v>
      </c>
      <c r="N312">
        <v>0</v>
      </c>
      <c r="O312">
        <v>0</v>
      </c>
      <c r="P312">
        <v>0.44080000000000003</v>
      </c>
      <c r="Q312">
        <v>0.17960000000000001</v>
      </c>
      <c r="R312">
        <v>8.9700000000000002E-2</v>
      </c>
      <c r="S312">
        <v>0</v>
      </c>
      <c r="T312">
        <v>0.30409999999999998</v>
      </c>
      <c r="U312">
        <v>5</v>
      </c>
      <c r="V312">
        <v>1</v>
      </c>
      <c r="W312">
        <v>0</v>
      </c>
      <c r="X312">
        <v>0</v>
      </c>
      <c r="Y312">
        <v>0.54710000000000003</v>
      </c>
      <c r="Z312">
        <v>1</v>
      </c>
    </row>
    <row r="313" spans="1:26" x14ac:dyDescent="0.2">
      <c r="A313" t="s">
        <v>27</v>
      </c>
      <c r="B313">
        <v>2017</v>
      </c>
      <c r="C313" t="str">
        <f t="shared" si="4"/>
        <v>CPC2017</v>
      </c>
      <c r="D313">
        <v>6.3512078450721861E-13</v>
      </c>
      <c r="E313">
        <v>0.16641046251883601</v>
      </c>
      <c r="F313">
        <v>1.522706964278512</v>
      </c>
      <c r="G313">
        <v>25.719863932121189</v>
      </c>
      <c r="H313">
        <v>2.421008766128864</v>
      </c>
      <c r="I313">
        <v>0.43549124900377628</v>
      </c>
      <c r="J313">
        <v>0.164007935591199</v>
      </c>
      <c r="K313">
        <v>-2.652670663817925E-2</v>
      </c>
      <c r="L313">
        <v>9.9417419025020895E-2</v>
      </c>
      <c r="M313">
        <v>15</v>
      </c>
      <c r="N313">
        <v>0</v>
      </c>
      <c r="O313">
        <v>0</v>
      </c>
      <c r="P313">
        <v>0.43690000000000012</v>
      </c>
      <c r="Q313">
        <v>0.17799999999999999</v>
      </c>
      <c r="R313">
        <v>9.9399999999999988E-2</v>
      </c>
      <c r="S313">
        <v>0</v>
      </c>
      <c r="T313">
        <v>0.30280000000000001</v>
      </c>
      <c r="U313">
        <v>5</v>
      </c>
      <c r="V313">
        <v>1</v>
      </c>
      <c r="W313">
        <v>0</v>
      </c>
      <c r="X313">
        <v>0</v>
      </c>
      <c r="Y313">
        <v>0.55710000000000004</v>
      </c>
      <c r="Z313">
        <v>1</v>
      </c>
    </row>
    <row r="314" spans="1:26" x14ac:dyDescent="0.2">
      <c r="A314" t="s">
        <v>27</v>
      </c>
      <c r="B314">
        <v>2018</v>
      </c>
      <c r="C314" t="str">
        <f t="shared" si="4"/>
        <v>CPC2018</v>
      </c>
      <c r="D314">
        <v>5.1815502285267885E-13</v>
      </c>
      <c r="E314">
        <v>0.1537326047609564</v>
      </c>
      <c r="F314">
        <v>1.326516785681533</v>
      </c>
      <c r="G314">
        <v>25.799514793015391</v>
      </c>
      <c r="H314">
        <v>2.0454709662084909</v>
      </c>
      <c r="I314">
        <v>0.46014063797018739</v>
      </c>
      <c r="J314">
        <v>7.2522902615579588E-2</v>
      </c>
      <c r="K314">
        <v>-4.091841149954438E-2</v>
      </c>
      <c r="L314">
        <v>0.1076793556455513</v>
      </c>
      <c r="M314">
        <v>16</v>
      </c>
      <c r="N314">
        <v>0</v>
      </c>
      <c r="O314">
        <v>0</v>
      </c>
      <c r="P314">
        <v>0.41920000000000002</v>
      </c>
      <c r="Q314">
        <v>0.17949999999999999</v>
      </c>
      <c r="R314">
        <v>6.3500000000000001E-2</v>
      </c>
      <c r="S314">
        <v>0</v>
      </c>
      <c r="T314">
        <v>0.27789999999999998</v>
      </c>
      <c r="U314">
        <v>5</v>
      </c>
      <c r="V314">
        <v>1</v>
      </c>
      <c r="W314">
        <v>0</v>
      </c>
      <c r="X314">
        <v>0</v>
      </c>
      <c r="Y314">
        <v>0.56710000000000005</v>
      </c>
      <c r="Z314">
        <v>1</v>
      </c>
    </row>
    <row r="315" spans="1:26" x14ac:dyDescent="0.2">
      <c r="A315" t="s">
        <v>27</v>
      </c>
      <c r="B315">
        <v>2019</v>
      </c>
      <c r="C315" t="str">
        <f t="shared" si="4"/>
        <v>CPC2019</v>
      </c>
      <c r="D315">
        <v>6.7666551292588817E-13</v>
      </c>
      <c r="E315">
        <v>0.13548415707583131</v>
      </c>
      <c r="F315">
        <v>1.078672475462952</v>
      </c>
      <c r="G315">
        <v>25.56781339375059</v>
      </c>
      <c r="H315">
        <v>1.911582405439932</v>
      </c>
      <c r="I315">
        <v>0.36547929183702421</v>
      </c>
      <c r="J315">
        <v>-0.206817067043914</v>
      </c>
      <c r="K315">
        <v>0.29302960026586961</v>
      </c>
      <c r="L315">
        <v>0.1050182919993401</v>
      </c>
      <c r="M315">
        <v>17</v>
      </c>
      <c r="N315">
        <v>0</v>
      </c>
      <c r="O315">
        <v>1</v>
      </c>
      <c r="P315">
        <v>0.49640000000000001</v>
      </c>
      <c r="Q315">
        <v>0.17730000000000001</v>
      </c>
      <c r="R315">
        <v>0.1406</v>
      </c>
      <c r="S315">
        <v>0</v>
      </c>
      <c r="T315">
        <v>0.35499999999999998</v>
      </c>
      <c r="U315">
        <v>5</v>
      </c>
      <c r="V315">
        <v>1</v>
      </c>
      <c r="W315">
        <v>0</v>
      </c>
      <c r="X315">
        <v>0</v>
      </c>
      <c r="Y315">
        <v>0.58329999999999993</v>
      </c>
      <c r="Z315">
        <v>1</v>
      </c>
    </row>
    <row r="316" spans="1:26" x14ac:dyDescent="0.2">
      <c r="A316" t="s">
        <v>27</v>
      </c>
      <c r="B316">
        <v>2020</v>
      </c>
      <c r="C316" t="str">
        <f t="shared" si="4"/>
        <v>CPC2020</v>
      </c>
      <c r="D316">
        <v>6.3271190346843649E-13</v>
      </c>
      <c r="E316">
        <v>0.12671473811686679</v>
      </c>
      <c r="F316">
        <v>0.87307284805394514</v>
      </c>
      <c r="G316">
        <v>25.573537422203149</v>
      </c>
      <c r="H316">
        <v>2.380372394788306</v>
      </c>
      <c r="I316">
        <v>0.36199356372992941</v>
      </c>
      <c r="J316">
        <v>5.740442005683466E-3</v>
      </c>
      <c r="K316">
        <v>0.28249260442428598</v>
      </c>
      <c r="L316">
        <v>9.0509423094803601E-2</v>
      </c>
      <c r="M316">
        <v>18</v>
      </c>
      <c r="N316">
        <v>0</v>
      </c>
      <c r="O316">
        <v>1</v>
      </c>
      <c r="P316">
        <v>0.49669999999999997</v>
      </c>
      <c r="Q316">
        <v>0.1759</v>
      </c>
      <c r="R316">
        <v>0</v>
      </c>
      <c r="S316">
        <v>0</v>
      </c>
      <c r="T316">
        <v>0.21440000000000001</v>
      </c>
      <c r="U316">
        <v>4</v>
      </c>
      <c r="V316">
        <v>0</v>
      </c>
      <c r="W316">
        <v>0</v>
      </c>
      <c r="X316">
        <v>0</v>
      </c>
      <c r="Y316">
        <v>0.57600000000000007</v>
      </c>
      <c r="Z316">
        <v>1</v>
      </c>
    </row>
    <row r="317" spans="1:26" x14ac:dyDescent="0.2">
      <c r="A317" t="s">
        <v>27</v>
      </c>
      <c r="B317">
        <v>2021</v>
      </c>
      <c r="C317" t="str">
        <f t="shared" si="4"/>
        <v>CPC2021</v>
      </c>
      <c r="D317">
        <v>7.0349015997341848E-13</v>
      </c>
      <c r="E317">
        <v>0.12492811674651939</v>
      </c>
      <c r="F317">
        <v>1.1342812640553011</v>
      </c>
      <c r="G317">
        <v>25.523966162122871</v>
      </c>
      <c r="H317">
        <v>2.4377532353717069</v>
      </c>
      <c r="I317">
        <v>0.31527608821458669</v>
      </c>
      <c r="J317">
        <v>-4.8362658033181842E-2</v>
      </c>
      <c r="K317">
        <v>0.47743055928010719</v>
      </c>
      <c r="L317">
        <v>0.1042314292755529</v>
      </c>
      <c r="M317">
        <v>19</v>
      </c>
      <c r="N317">
        <v>0</v>
      </c>
      <c r="O317">
        <v>0</v>
      </c>
      <c r="P317">
        <v>0.49669999999999997</v>
      </c>
      <c r="Q317">
        <v>0.1721</v>
      </c>
      <c r="R317">
        <v>0</v>
      </c>
      <c r="S317">
        <v>0</v>
      </c>
      <c r="T317">
        <v>0.21440000000000001</v>
      </c>
      <c r="U317">
        <v>5</v>
      </c>
      <c r="V317">
        <v>0</v>
      </c>
      <c r="W317">
        <v>0</v>
      </c>
      <c r="X317">
        <v>0</v>
      </c>
      <c r="Y317">
        <v>0.58750000000000002</v>
      </c>
      <c r="Z317">
        <v>1</v>
      </c>
    </row>
    <row r="318" spans="1:26" x14ac:dyDescent="0.2">
      <c r="A318" t="s">
        <v>27</v>
      </c>
      <c r="B318">
        <v>2022</v>
      </c>
      <c r="C318" t="str">
        <f t="shared" si="4"/>
        <v>CPC2022</v>
      </c>
      <c r="D318">
        <v>6.2425767521203145E-13</v>
      </c>
      <c r="E318">
        <v>0.1146899814290417</v>
      </c>
      <c r="F318">
        <v>0.82114236803718144</v>
      </c>
      <c r="G318">
        <v>25.541535640378761</v>
      </c>
      <c r="H318">
        <v>2.767451021866032</v>
      </c>
      <c r="I318">
        <v>0.32642432310289188</v>
      </c>
      <c r="J318">
        <v>1.7724729433598711E-2</v>
      </c>
      <c r="K318">
        <v>1.8824869769976361E-2</v>
      </c>
      <c r="L318">
        <v>0.12611901614110471</v>
      </c>
      <c r="M318">
        <v>20</v>
      </c>
      <c r="N318">
        <v>0</v>
      </c>
      <c r="O318">
        <v>0</v>
      </c>
      <c r="P318">
        <v>0.49669999999999997</v>
      </c>
      <c r="Q318">
        <v>0.1225</v>
      </c>
      <c r="R318">
        <v>0</v>
      </c>
      <c r="S318">
        <v>0</v>
      </c>
      <c r="T318">
        <v>0.21440000000000001</v>
      </c>
      <c r="U318">
        <v>5</v>
      </c>
      <c r="V318">
        <v>0</v>
      </c>
      <c r="W318">
        <v>0</v>
      </c>
      <c r="X318">
        <v>0</v>
      </c>
      <c r="Y318">
        <v>0.59750000000000003</v>
      </c>
      <c r="Z318">
        <v>1</v>
      </c>
    </row>
    <row r="319" spans="1:26" x14ac:dyDescent="0.2">
      <c r="A319" t="s">
        <v>27</v>
      </c>
      <c r="B319">
        <v>2023</v>
      </c>
      <c r="C319" t="str">
        <f t="shared" si="4"/>
        <v>CPC2023</v>
      </c>
      <c r="D319">
        <v>1799504934075.2109</v>
      </c>
      <c r="E319">
        <v>8.0902650376091415E-2</v>
      </c>
      <c r="F319">
        <v>0.57219335389961445</v>
      </c>
      <c r="G319">
        <v>25.618784242605031</v>
      </c>
      <c r="H319">
        <v>2.6218832938853929</v>
      </c>
      <c r="I319">
        <v>5.6246990752863282E-2</v>
      </c>
      <c r="J319">
        <v>8.031061063498468E-2</v>
      </c>
      <c r="K319">
        <v>0.26493659899121158</v>
      </c>
      <c r="L319">
        <v>0.1174126633883246</v>
      </c>
      <c r="M319">
        <v>21</v>
      </c>
      <c r="N319">
        <v>0</v>
      </c>
      <c r="O319">
        <v>0</v>
      </c>
      <c r="P319">
        <v>0.49669999999999997</v>
      </c>
      <c r="Q319">
        <v>0.1225</v>
      </c>
      <c r="R319">
        <v>0</v>
      </c>
      <c r="S319">
        <v>0</v>
      </c>
      <c r="T319">
        <v>0.21440000000000001</v>
      </c>
      <c r="U319">
        <v>5</v>
      </c>
      <c r="V319">
        <v>0</v>
      </c>
      <c r="W319">
        <v>0</v>
      </c>
      <c r="X319">
        <v>0</v>
      </c>
      <c r="Y319">
        <v>0.59750000000000003</v>
      </c>
      <c r="Z319">
        <v>1</v>
      </c>
    </row>
    <row r="320" spans="1:26" x14ac:dyDescent="0.2">
      <c r="A320" t="s">
        <v>28</v>
      </c>
      <c r="B320">
        <v>2012</v>
      </c>
      <c r="C320" t="str">
        <f t="shared" si="4"/>
        <v>CSM2012</v>
      </c>
      <c r="D320">
        <v>7.4417882209965291E-14</v>
      </c>
      <c r="E320">
        <v>0.26261369404794233</v>
      </c>
      <c r="F320">
        <v>1.2115946416758721</v>
      </c>
      <c r="G320">
        <v>28.244611351061121</v>
      </c>
      <c r="H320">
        <v>1.410590782550476</v>
      </c>
      <c r="I320">
        <v>0.47659388622502652</v>
      </c>
      <c r="J320">
        <v>0.21286308641031451</v>
      </c>
      <c r="K320">
        <v>9.4350349798331359E-2</v>
      </c>
      <c r="L320">
        <v>0.1749914442981903</v>
      </c>
      <c r="M320">
        <v>36</v>
      </c>
      <c r="N320">
        <v>0</v>
      </c>
      <c r="O320">
        <v>0</v>
      </c>
      <c r="P320">
        <v>0.51</v>
      </c>
      <c r="Q320">
        <v>8.6E-3</v>
      </c>
      <c r="R320">
        <v>0</v>
      </c>
      <c r="S320">
        <v>0.51</v>
      </c>
      <c r="T320">
        <v>0.51</v>
      </c>
      <c r="U320">
        <v>5</v>
      </c>
      <c r="V320">
        <v>0</v>
      </c>
      <c r="W320">
        <v>0</v>
      </c>
      <c r="X320">
        <v>0</v>
      </c>
      <c r="Y320">
        <v>0.49270000000000003</v>
      </c>
      <c r="Z320">
        <v>1</v>
      </c>
    </row>
    <row r="321" spans="1:26" x14ac:dyDescent="0.2">
      <c r="A321" t="s">
        <v>28</v>
      </c>
      <c r="B321">
        <v>2013</v>
      </c>
      <c r="C321" t="str">
        <f t="shared" si="4"/>
        <v>CSM2013</v>
      </c>
      <c r="D321">
        <v>4.2206538163062859E-14</v>
      </c>
      <c r="E321">
        <v>0.29550908529342129</v>
      </c>
      <c r="F321">
        <v>1.412233644432576</v>
      </c>
      <c r="G321">
        <v>28.702877690139658</v>
      </c>
      <c r="H321">
        <v>1.94623358096918</v>
      </c>
      <c r="I321">
        <v>0.58283266964678493</v>
      </c>
      <c r="J321">
        <v>0.58133011698560955</v>
      </c>
      <c r="K321">
        <v>0.13330734579849021</v>
      </c>
      <c r="L321">
        <v>0.43896763972778319</v>
      </c>
      <c r="M321">
        <v>37</v>
      </c>
      <c r="N321">
        <v>0</v>
      </c>
      <c r="O321">
        <v>0</v>
      </c>
      <c r="P321">
        <v>0.51</v>
      </c>
      <c r="Q321">
        <v>3.8999999999999998E-3</v>
      </c>
      <c r="R321">
        <v>0</v>
      </c>
      <c r="S321">
        <v>0.51</v>
      </c>
      <c r="T321">
        <v>0.51</v>
      </c>
      <c r="U321">
        <v>5</v>
      </c>
      <c r="V321">
        <v>0</v>
      </c>
      <c r="W321">
        <v>0</v>
      </c>
      <c r="X321">
        <v>0</v>
      </c>
      <c r="Y321">
        <v>0.46</v>
      </c>
      <c r="Z321">
        <v>1</v>
      </c>
    </row>
    <row r="322" spans="1:26" x14ac:dyDescent="0.2">
      <c r="A322" t="s">
        <v>28</v>
      </c>
      <c r="B322">
        <v>2014</v>
      </c>
      <c r="C322" t="str">
        <f t="shared" si="4"/>
        <v>CSM2014</v>
      </c>
      <c r="D322">
        <v>2.8121699895852729E-14</v>
      </c>
      <c r="E322">
        <v>0.2425311443342717</v>
      </c>
      <c r="F322">
        <v>1.44567456319401</v>
      </c>
      <c r="G322">
        <v>28.863755590526569</v>
      </c>
      <c r="H322">
        <v>1.736136544201045</v>
      </c>
      <c r="I322">
        <v>0.60221918487902359</v>
      </c>
      <c r="J322">
        <v>0.1745415489896027</v>
      </c>
      <c r="K322">
        <v>0.1231535177652191</v>
      </c>
      <c r="L322">
        <v>0.45372902264273629</v>
      </c>
      <c r="M322">
        <v>38</v>
      </c>
      <c r="N322">
        <v>0</v>
      </c>
      <c r="O322">
        <v>0</v>
      </c>
      <c r="P322">
        <v>0.51</v>
      </c>
      <c r="Q322">
        <v>3.8999999999999998E-3</v>
      </c>
      <c r="R322">
        <v>0</v>
      </c>
      <c r="S322">
        <v>0.51</v>
      </c>
      <c r="T322">
        <v>0.51</v>
      </c>
      <c r="U322">
        <v>5</v>
      </c>
      <c r="V322">
        <v>0</v>
      </c>
      <c r="W322">
        <v>0</v>
      </c>
      <c r="X322">
        <v>0</v>
      </c>
      <c r="Y322">
        <v>0.47</v>
      </c>
      <c r="Z322">
        <v>1</v>
      </c>
    </row>
    <row r="323" spans="1:26" x14ac:dyDescent="0.2">
      <c r="A323" t="s">
        <v>28</v>
      </c>
      <c r="B323">
        <v>2015</v>
      </c>
      <c r="C323" t="str">
        <f t="shared" ref="C323:C386" si="5">A323&amp;B323</f>
        <v>CSM2015</v>
      </c>
      <c r="D323">
        <v>2.9310501686451243E-14</v>
      </c>
      <c r="E323">
        <v>0.21503159308334049</v>
      </c>
      <c r="F323">
        <v>1.152612504718826</v>
      </c>
      <c r="G323">
        <v>28.776861910257029</v>
      </c>
      <c r="H323">
        <v>1.4388677792582441</v>
      </c>
      <c r="I323">
        <v>0.57130016764755831</v>
      </c>
      <c r="J323">
        <v>-8.3225438323930478E-2</v>
      </c>
      <c r="K323">
        <v>0.15409400942242479</v>
      </c>
      <c r="L323">
        <v>0.4705204759345652</v>
      </c>
      <c r="M323">
        <v>39</v>
      </c>
      <c r="N323">
        <v>0</v>
      </c>
      <c r="O323">
        <v>0</v>
      </c>
      <c r="P323">
        <v>0.51</v>
      </c>
      <c r="Q323">
        <v>5.4000000000000003E-3</v>
      </c>
      <c r="R323">
        <v>0</v>
      </c>
      <c r="S323">
        <v>0.51</v>
      </c>
      <c r="T323">
        <v>0.51</v>
      </c>
      <c r="U323">
        <v>5</v>
      </c>
      <c r="V323">
        <v>1</v>
      </c>
      <c r="W323">
        <v>0</v>
      </c>
      <c r="X323">
        <v>0</v>
      </c>
      <c r="Y323">
        <v>0.48</v>
      </c>
      <c r="Z323">
        <v>1</v>
      </c>
    </row>
    <row r="324" spans="1:26" x14ac:dyDescent="0.2">
      <c r="A324" t="s">
        <v>28</v>
      </c>
      <c r="B324">
        <v>2016</v>
      </c>
      <c r="C324" t="str">
        <f t="shared" si="5"/>
        <v>CSM2016</v>
      </c>
      <c r="D324">
        <v>2.2351679328295391E-14</v>
      </c>
      <c r="E324">
        <v>0.19092926178328451</v>
      </c>
      <c r="F324">
        <v>1.226510938545839</v>
      </c>
      <c r="G324">
        <v>28.84755079702558</v>
      </c>
      <c r="H324">
        <v>1.597301760287033</v>
      </c>
      <c r="I324">
        <v>0.60484289746877595</v>
      </c>
      <c r="J324">
        <v>7.3247272495306159E-2</v>
      </c>
      <c r="K324">
        <v>-2.6900441805537221E-2</v>
      </c>
      <c r="L324">
        <v>0.46864452373428228</v>
      </c>
      <c r="M324">
        <v>40</v>
      </c>
      <c r="N324">
        <v>0</v>
      </c>
      <c r="O324">
        <v>0</v>
      </c>
      <c r="P324">
        <v>0.51</v>
      </c>
      <c r="Q324">
        <v>3.0999999999999999E-3</v>
      </c>
      <c r="R324">
        <v>0</v>
      </c>
      <c r="S324">
        <v>0.51</v>
      </c>
      <c r="T324">
        <v>0.51</v>
      </c>
      <c r="U324">
        <v>5</v>
      </c>
      <c r="V324">
        <v>0</v>
      </c>
      <c r="W324">
        <v>0</v>
      </c>
      <c r="X324">
        <v>0</v>
      </c>
      <c r="Y324">
        <v>0.45200000000000001</v>
      </c>
      <c r="Z324">
        <v>1</v>
      </c>
    </row>
    <row r="325" spans="1:26" x14ac:dyDescent="0.2">
      <c r="A325" t="s">
        <v>28</v>
      </c>
      <c r="B325">
        <v>2017</v>
      </c>
      <c r="C325" t="str">
        <f t="shared" si="5"/>
        <v>CSM2017</v>
      </c>
      <c r="D325">
        <v>3.4027347715455989E-15</v>
      </c>
      <c r="E325">
        <v>4.4750721542640627E-2</v>
      </c>
      <c r="F325">
        <v>1.098960545254853</v>
      </c>
      <c r="G325">
        <v>29.022407428550601</v>
      </c>
      <c r="H325">
        <v>1.285092609290815</v>
      </c>
      <c r="I325">
        <v>0.6942971731358496</v>
      </c>
      <c r="J325">
        <v>0.19107544170112331</v>
      </c>
      <c r="K325">
        <v>-6.7388298688417073E-2</v>
      </c>
      <c r="L325">
        <v>0.40861198177964803</v>
      </c>
      <c r="M325">
        <v>41</v>
      </c>
      <c r="N325">
        <v>0</v>
      </c>
      <c r="O325">
        <v>0</v>
      </c>
      <c r="P325">
        <v>0.51</v>
      </c>
      <c r="Q325">
        <v>2.2000000000000001E-3</v>
      </c>
      <c r="R325">
        <v>0</v>
      </c>
      <c r="S325">
        <v>0.51</v>
      </c>
      <c r="T325">
        <v>0.51</v>
      </c>
      <c r="U325">
        <v>5</v>
      </c>
      <c r="V325">
        <v>0</v>
      </c>
      <c r="W325">
        <v>0</v>
      </c>
      <c r="X325">
        <v>0</v>
      </c>
      <c r="Y325">
        <v>0.46200000000000002</v>
      </c>
      <c r="Z325">
        <v>1</v>
      </c>
    </row>
    <row r="326" spans="1:26" x14ac:dyDescent="0.2">
      <c r="A326" t="s">
        <v>28</v>
      </c>
      <c r="B326">
        <v>2018</v>
      </c>
      <c r="C326" t="str">
        <f t="shared" si="5"/>
        <v>CSM2018</v>
      </c>
      <c r="D326">
        <v>4.0389739760977911E-16</v>
      </c>
      <c r="E326">
        <v>5.0528201445174652E-3</v>
      </c>
      <c r="F326">
        <v>1.0843894810403001</v>
      </c>
      <c r="G326">
        <v>28.98410098886135</v>
      </c>
      <c r="H326">
        <v>1.037637967720302</v>
      </c>
      <c r="I326">
        <v>0.69070540009532677</v>
      </c>
      <c r="J326">
        <v>-3.9186846212757358E-2</v>
      </c>
      <c r="K326">
        <v>8.5427499749283042E-2</v>
      </c>
      <c r="L326">
        <v>0.4254716571081778</v>
      </c>
      <c r="M326">
        <v>42</v>
      </c>
      <c r="N326">
        <v>0</v>
      </c>
      <c r="O326">
        <v>0</v>
      </c>
      <c r="P326">
        <v>0.51</v>
      </c>
      <c r="Q326">
        <v>3.2000000000000002E-3</v>
      </c>
      <c r="R326">
        <v>0</v>
      </c>
      <c r="S326">
        <v>0.51</v>
      </c>
      <c r="T326">
        <v>0.51</v>
      </c>
      <c r="U326">
        <v>5</v>
      </c>
      <c r="V326">
        <v>0</v>
      </c>
      <c r="W326">
        <v>0</v>
      </c>
      <c r="X326">
        <v>0</v>
      </c>
      <c r="Y326">
        <v>0.46</v>
      </c>
      <c r="Z326">
        <v>1</v>
      </c>
    </row>
    <row r="327" spans="1:26" x14ac:dyDescent="0.2">
      <c r="A327" t="s">
        <v>28</v>
      </c>
      <c r="B327">
        <v>2019</v>
      </c>
      <c r="C327" t="str">
        <f t="shared" si="5"/>
        <v>CSM2019</v>
      </c>
      <c r="D327">
        <v>3.6018159422107777E-15</v>
      </c>
      <c r="E327">
        <v>4.2265992978575667E-2</v>
      </c>
      <c r="F327">
        <v>1.0454767740142921</v>
      </c>
      <c r="G327">
        <v>28.970229811304069</v>
      </c>
      <c r="H327">
        <v>0.96841908441438662</v>
      </c>
      <c r="I327">
        <v>0.67480685217102243</v>
      </c>
      <c r="J327">
        <v>-1.21281532252534E-2</v>
      </c>
      <c r="K327">
        <v>3.5877279088278327E-2</v>
      </c>
      <c r="L327">
        <v>0.39342902240108107</v>
      </c>
      <c r="M327">
        <v>43</v>
      </c>
      <c r="N327">
        <v>0</v>
      </c>
      <c r="O327">
        <v>1</v>
      </c>
      <c r="P327">
        <v>0.51</v>
      </c>
      <c r="Q327">
        <v>3.2000000000000002E-3</v>
      </c>
      <c r="R327">
        <v>0</v>
      </c>
      <c r="S327">
        <v>0.51</v>
      </c>
      <c r="T327">
        <v>0.51</v>
      </c>
      <c r="U327">
        <v>4</v>
      </c>
      <c r="V327">
        <v>0</v>
      </c>
      <c r="W327">
        <v>0</v>
      </c>
      <c r="X327">
        <v>0</v>
      </c>
      <c r="Y327">
        <v>0.47399999999999998</v>
      </c>
      <c r="Z327">
        <v>1</v>
      </c>
    </row>
    <row r="328" spans="1:26" x14ac:dyDescent="0.2">
      <c r="A328" t="s">
        <v>28</v>
      </c>
      <c r="B328">
        <v>2020</v>
      </c>
      <c r="C328" t="str">
        <f t="shared" si="5"/>
        <v>CSM2020</v>
      </c>
      <c r="D328">
        <v>6.2348929836389973E-15</v>
      </c>
      <c r="E328">
        <v>7.1081597747822592E-2</v>
      </c>
      <c r="F328">
        <v>1.14380333794293</v>
      </c>
      <c r="G328">
        <v>28.96950284349392</v>
      </c>
      <c r="H328">
        <v>1.0067323330186531</v>
      </c>
      <c r="I328">
        <v>0.66552239036073169</v>
      </c>
      <c r="J328">
        <v>-7.2670363306293062E-4</v>
      </c>
      <c r="K328">
        <v>8.4736453911890025E-2</v>
      </c>
      <c r="L328">
        <v>0.36304458394870331</v>
      </c>
      <c r="M328">
        <v>44</v>
      </c>
      <c r="N328">
        <v>0</v>
      </c>
      <c r="O328">
        <v>1</v>
      </c>
      <c r="P328">
        <v>0.51</v>
      </c>
      <c r="Q328">
        <v>3.3999999999999998E-3</v>
      </c>
      <c r="R328">
        <v>0</v>
      </c>
      <c r="S328">
        <v>0.51</v>
      </c>
      <c r="T328">
        <v>0.51</v>
      </c>
      <c r="U328">
        <v>5</v>
      </c>
      <c r="V328">
        <v>0</v>
      </c>
      <c r="W328">
        <v>0</v>
      </c>
      <c r="X328">
        <v>0</v>
      </c>
      <c r="Y328">
        <v>0.49130000000000001</v>
      </c>
      <c r="Z328">
        <v>1</v>
      </c>
    </row>
    <row r="329" spans="1:26" x14ac:dyDescent="0.2">
      <c r="A329" t="s">
        <v>28</v>
      </c>
      <c r="B329">
        <v>2021</v>
      </c>
      <c r="C329" t="str">
        <f t="shared" si="5"/>
        <v>CSM2021</v>
      </c>
      <c r="D329">
        <v>2.435665391064332E-15</v>
      </c>
      <c r="E329">
        <v>3.3416981689991493E-2</v>
      </c>
      <c r="F329">
        <v>1.168832755974559</v>
      </c>
      <c r="G329">
        <v>29.05492738940524</v>
      </c>
      <c r="H329">
        <v>1.0347520751736889</v>
      </c>
      <c r="I329">
        <v>0.69727726266861501</v>
      </c>
      <c r="J329">
        <v>8.917937520629815E-2</v>
      </c>
      <c r="K329">
        <v>-6.2133028250123283E-2</v>
      </c>
      <c r="L329">
        <v>0.28891209928735562</v>
      </c>
      <c r="M329">
        <v>45</v>
      </c>
      <c r="N329">
        <v>0</v>
      </c>
      <c r="O329">
        <v>0</v>
      </c>
      <c r="P329">
        <v>0.6</v>
      </c>
      <c r="Q329">
        <v>3.0000000000000001E-3</v>
      </c>
      <c r="R329">
        <v>0</v>
      </c>
      <c r="S329">
        <v>0.51</v>
      </c>
      <c r="T329">
        <v>0.6</v>
      </c>
      <c r="U329">
        <v>5</v>
      </c>
      <c r="V329">
        <v>0</v>
      </c>
      <c r="W329">
        <v>0</v>
      </c>
      <c r="X329">
        <v>0</v>
      </c>
      <c r="Y329">
        <v>0.46710000000000002</v>
      </c>
      <c r="Z329">
        <v>1</v>
      </c>
    </row>
    <row r="330" spans="1:26" x14ac:dyDescent="0.2">
      <c r="A330" t="s">
        <v>28</v>
      </c>
      <c r="B330">
        <v>2022</v>
      </c>
      <c r="C330" t="str">
        <f t="shared" si="5"/>
        <v>CSM2022</v>
      </c>
      <c r="D330">
        <v>4.479898834588521E-15</v>
      </c>
      <c r="E330">
        <v>6.0844366446839632E-2</v>
      </c>
      <c r="F330">
        <v>1.045375551678825</v>
      </c>
      <c r="G330">
        <v>29.067113943962379</v>
      </c>
      <c r="H330">
        <v>1.0524768407209759</v>
      </c>
      <c r="I330">
        <v>0.69044699502922036</v>
      </c>
      <c r="J330">
        <v>1.2261113176191831E-2</v>
      </c>
      <c r="K330">
        <v>1.4907111318358E-2</v>
      </c>
      <c r="L330">
        <v>0.24563284827959511</v>
      </c>
      <c r="M330">
        <v>46</v>
      </c>
      <c r="N330">
        <v>0</v>
      </c>
      <c r="O330">
        <v>0</v>
      </c>
      <c r="P330">
        <v>0.59299999999999997</v>
      </c>
      <c r="Q330">
        <v>2.8E-3</v>
      </c>
      <c r="R330">
        <v>0</v>
      </c>
      <c r="S330">
        <v>0.5101</v>
      </c>
      <c r="T330">
        <v>0.59299999999999997</v>
      </c>
      <c r="U330">
        <v>5</v>
      </c>
      <c r="V330">
        <v>0</v>
      </c>
      <c r="W330">
        <v>0</v>
      </c>
      <c r="X330">
        <v>0</v>
      </c>
      <c r="Y330">
        <v>0.46</v>
      </c>
      <c r="Z330">
        <v>1</v>
      </c>
    </row>
    <row r="331" spans="1:26" x14ac:dyDescent="0.2">
      <c r="A331" t="s">
        <v>28</v>
      </c>
      <c r="B331">
        <v>2023</v>
      </c>
      <c r="C331" t="str">
        <f t="shared" si="5"/>
        <v>CSM2023</v>
      </c>
      <c r="D331">
        <v>-124756197440324.41</v>
      </c>
      <c r="E331">
        <v>3.1817664580993707E-2</v>
      </c>
      <c r="F331">
        <v>0.8369612935031735</v>
      </c>
      <c r="G331">
        <v>28.987964128717021</v>
      </c>
      <c r="H331">
        <v>1.094924094963563</v>
      </c>
      <c r="I331">
        <v>0.51149006021431054</v>
      </c>
      <c r="J331">
        <v>-7.60985004535778E-2</v>
      </c>
      <c r="K331">
        <v>0.16166654587516169</v>
      </c>
      <c r="L331">
        <v>0.22652397583528561</v>
      </c>
      <c r="M331">
        <v>47</v>
      </c>
      <c r="N331">
        <v>0</v>
      </c>
      <c r="O331">
        <v>0</v>
      </c>
      <c r="P331">
        <v>0.59299999999999997</v>
      </c>
      <c r="Q331">
        <v>2.8E-3</v>
      </c>
      <c r="R331">
        <v>0</v>
      </c>
      <c r="S331">
        <v>0.5101</v>
      </c>
      <c r="T331">
        <v>0.59299999999999997</v>
      </c>
      <c r="U331">
        <v>5</v>
      </c>
      <c r="V331">
        <v>0</v>
      </c>
      <c r="W331">
        <v>0</v>
      </c>
      <c r="X331">
        <v>0</v>
      </c>
      <c r="Y331">
        <v>0.46</v>
      </c>
      <c r="Z331">
        <v>1</v>
      </c>
    </row>
    <row r="332" spans="1:26" x14ac:dyDescent="0.2">
      <c r="A332" t="s">
        <v>29</v>
      </c>
      <c r="B332">
        <v>2012</v>
      </c>
      <c r="C332" t="str">
        <f t="shared" si="5"/>
        <v>CSV2012</v>
      </c>
      <c r="D332">
        <v>1.136736519504876E-13</v>
      </c>
      <c r="E332">
        <v>0.29408881023340161</v>
      </c>
      <c r="F332">
        <v>1.3662978991540311</v>
      </c>
      <c r="G332">
        <v>27.57626936193909</v>
      </c>
      <c r="H332" t="e">
        <v>#N/A</v>
      </c>
      <c r="I332">
        <v>0.60291546732364731</v>
      </c>
      <c r="J332">
        <v>0</v>
      </c>
      <c r="K332">
        <v>0.17238345926934101</v>
      </c>
      <c r="L332">
        <v>0.33521799919235318</v>
      </c>
      <c r="M332">
        <v>19</v>
      </c>
      <c r="N332">
        <v>0</v>
      </c>
      <c r="O332">
        <v>0</v>
      </c>
      <c r="P332">
        <v>0.72499999999999998</v>
      </c>
      <c r="Q332">
        <v>1.9E-3</v>
      </c>
      <c r="R332">
        <v>7.4999999999999997E-2</v>
      </c>
      <c r="S332">
        <v>0.65</v>
      </c>
      <c r="T332">
        <v>0.72499999999999998</v>
      </c>
      <c r="U332">
        <v>5</v>
      </c>
      <c r="V332">
        <v>0</v>
      </c>
      <c r="W332">
        <v>0</v>
      </c>
      <c r="X332">
        <v>0</v>
      </c>
      <c r="Y332">
        <v>0.46639999999999998</v>
      </c>
      <c r="Z332">
        <v>1</v>
      </c>
    </row>
    <row r="333" spans="1:26" x14ac:dyDescent="0.2">
      <c r="A333" t="s">
        <v>29</v>
      </c>
      <c r="B333">
        <v>2013</v>
      </c>
      <c r="C333" t="str">
        <f t="shared" si="5"/>
        <v>CSV2013</v>
      </c>
      <c r="D333">
        <v>1.382992942735122E-13</v>
      </c>
      <c r="E333">
        <v>0.26658618254185268</v>
      </c>
      <c r="F333">
        <v>1.582971022152442</v>
      </c>
      <c r="G333">
        <v>27.676203393107208</v>
      </c>
      <c r="H333">
        <v>1.148396441195656</v>
      </c>
      <c r="I333">
        <v>0.4357621843681313</v>
      </c>
      <c r="J333">
        <v>0.1050980136458895</v>
      </c>
      <c r="K333">
        <v>0.1788091045874543</v>
      </c>
      <c r="L333">
        <v>0.3387279470965045</v>
      </c>
      <c r="M333">
        <v>20</v>
      </c>
      <c r="N333">
        <v>0</v>
      </c>
      <c r="O333">
        <v>0</v>
      </c>
      <c r="P333">
        <v>0.72499999999999998</v>
      </c>
      <c r="Q333">
        <v>1.9E-3</v>
      </c>
      <c r="R333">
        <v>7.4999999999999997E-2</v>
      </c>
      <c r="S333">
        <v>0.65</v>
      </c>
      <c r="T333">
        <v>0.72499999999999998</v>
      </c>
      <c r="U333">
        <v>5</v>
      </c>
      <c r="V333">
        <v>0</v>
      </c>
      <c r="W333">
        <v>0</v>
      </c>
      <c r="X333">
        <v>0</v>
      </c>
      <c r="Y333">
        <v>0.46639999999999998</v>
      </c>
      <c r="Z333">
        <v>1</v>
      </c>
    </row>
    <row r="334" spans="1:26" x14ac:dyDescent="0.2">
      <c r="A334" t="s">
        <v>29</v>
      </c>
      <c r="B334">
        <v>2014</v>
      </c>
      <c r="C334" t="str">
        <f t="shared" si="5"/>
        <v>CSV2014</v>
      </c>
      <c r="D334">
        <v>1.677328193666616E-13</v>
      </c>
      <c r="E334">
        <v>0.27301704816414468</v>
      </c>
      <c r="F334">
        <v>1.871511660532762</v>
      </c>
      <c r="G334">
        <v>27.601991311918521</v>
      </c>
      <c r="H334">
        <v>1.405713308231233</v>
      </c>
      <c r="I334">
        <v>0.36096276791760679</v>
      </c>
      <c r="J334">
        <v>-7.1525239071820179E-2</v>
      </c>
      <c r="K334">
        <v>0.49653932037963122</v>
      </c>
      <c r="L334">
        <v>0.2842788430338099</v>
      </c>
      <c r="M334">
        <v>21</v>
      </c>
      <c r="N334">
        <v>0</v>
      </c>
      <c r="O334">
        <v>0</v>
      </c>
      <c r="P334">
        <v>0.72499999999999998</v>
      </c>
      <c r="Q334">
        <v>1.9E-3</v>
      </c>
      <c r="R334">
        <v>7.4999999999999997E-2</v>
      </c>
      <c r="S334">
        <v>0.65</v>
      </c>
      <c r="T334">
        <v>0.72499999999999998</v>
      </c>
      <c r="U334">
        <v>5</v>
      </c>
      <c r="V334">
        <v>0</v>
      </c>
      <c r="W334">
        <v>0</v>
      </c>
      <c r="X334">
        <v>0</v>
      </c>
      <c r="Y334">
        <v>0.46639999999999998</v>
      </c>
      <c r="Z334">
        <v>1</v>
      </c>
    </row>
    <row r="335" spans="1:26" x14ac:dyDescent="0.2">
      <c r="A335" t="s">
        <v>29</v>
      </c>
      <c r="B335">
        <v>2015</v>
      </c>
      <c r="C335" t="str">
        <f t="shared" si="5"/>
        <v>CSV2015</v>
      </c>
      <c r="D335">
        <v>1.468071841393001E-13</v>
      </c>
      <c r="E335">
        <v>0.24101011802796049</v>
      </c>
      <c r="F335">
        <v>1.30123609443241</v>
      </c>
      <c r="G335">
        <v>27.642633533068551</v>
      </c>
      <c r="H335">
        <v>1.8849515508854779</v>
      </c>
      <c r="I335">
        <v>0.38375239850260873</v>
      </c>
      <c r="J335">
        <v>4.147941957086676E-2</v>
      </c>
      <c r="K335">
        <v>0.14967836726630801</v>
      </c>
      <c r="L335">
        <v>0.1729616936143569</v>
      </c>
      <c r="M335">
        <v>22</v>
      </c>
      <c r="N335">
        <v>0</v>
      </c>
      <c r="O335">
        <v>0</v>
      </c>
      <c r="P335">
        <v>0.72499999999999998</v>
      </c>
      <c r="Q335">
        <v>1.9E-3</v>
      </c>
      <c r="R335">
        <v>7.4999999999999997E-2</v>
      </c>
      <c r="S335">
        <v>0.65</v>
      </c>
      <c r="T335">
        <v>0.72499999999999998</v>
      </c>
      <c r="U335">
        <v>5</v>
      </c>
      <c r="V335">
        <v>0</v>
      </c>
      <c r="W335">
        <v>0</v>
      </c>
      <c r="X335">
        <v>0</v>
      </c>
      <c r="Y335">
        <v>0.47670000000000001</v>
      </c>
      <c r="Z335">
        <v>1</v>
      </c>
    </row>
    <row r="336" spans="1:26" x14ac:dyDescent="0.2">
      <c r="A336" t="s">
        <v>29</v>
      </c>
      <c r="B336">
        <v>2016</v>
      </c>
      <c r="C336" t="str">
        <f t="shared" si="5"/>
        <v>CSV2016</v>
      </c>
      <c r="D336">
        <v>1.769105639410783E-13</v>
      </c>
      <c r="E336">
        <v>0.2549420297763047</v>
      </c>
      <c r="F336">
        <v>1.5075914496689919</v>
      </c>
      <c r="G336">
        <v>27.64064989050982</v>
      </c>
      <c r="H336">
        <v>2.093527355985414</v>
      </c>
      <c r="I336">
        <v>0.29936141402257582</v>
      </c>
      <c r="J336">
        <v>-1.460026539632509E-4</v>
      </c>
      <c r="K336">
        <v>0.32040617385790338</v>
      </c>
      <c r="L336">
        <v>0.10418653055477491</v>
      </c>
      <c r="M336">
        <v>23</v>
      </c>
      <c r="N336">
        <v>0</v>
      </c>
      <c r="O336">
        <v>0</v>
      </c>
      <c r="P336">
        <v>0.72299999999999998</v>
      </c>
      <c r="Q336">
        <v>2E-3</v>
      </c>
      <c r="R336">
        <v>7.2999999999999995E-2</v>
      </c>
      <c r="S336">
        <v>0.65</v>
      </c>
      <c r="T336">
        <v>0.72299999999999998</v>
      </c>
      <c r="U336">
        <v>5</v>
      </c>
      <c r="V336">
        <v>0</v>
      </c>
      <c r="W336">
        <v>0.2</v>
      </c>
      <c r="X336">
        <v>0</v>
      </c>
      <c r="Y336">
        <v>0.49099999999999999</v>
      </c>
      <c r="Z336">
        <v>1</v>
      </c>
    </row>
    <row r="337" spans="1:26" x14ac:dyDescent="0.2">
      <c r="A337" t="s">
        <v>29</v>
      </c>
      <c r="B337">
        <v>2017</v>
      </c>
      <c r="C337" t="str">
        <f t="shared" si="5"/>
        <v>CSV2017</v>
      </c>
      <c r="D337">
        <v>2.07325549445962E-13</v>
      </c>
      <c r="E337">
        <v>0.30016156956558332</v>
      </c>
      <c r="F337">
        <v>1.782392057650249</v>
      </c>
      <c r="G337">
        <v>27.71612183881625</v>
      </c>
      <c r="H337">
        <v>3.0430922068434021</v>
      </c>
      <c r="I337">
        <v>0.2479330362912375</v>
      </c>
      <c r="J337">
        <v>7.6413109760459452E-2</v>
      </c>
      <c r="K337">
        <v>0.25277460876568458</v>
      </c>
      <c r="L337">
        <v>7.2457713417184461E-2</v>
      </c>
      <c r="M337">
        <v>24</v>
      </c>
      <c r="N337">
        <v>0</v>
      </c>
      <c r="O337">
        <v>0</v>
      </c>
      <c r="P337">
        <v>0.72299999999999998</v>
      </c>
      <c r="Q337">
        <v>2E-3</v>
      </c>
      <c r="R337">
        <v>7.2999999999999995E-2</v>
      </c>
      <c r="S337">
        <v>0.65</v>
      </c>
      <c r="T337">
        <v>0.72299999999999998</v>
      </c>
      <c r="U337">
        <v>5</v>
      </c>
      <c r="V337">
        <v>0</v>
      </c>
      <c r="W337">
        <v>0.2</v>
      </c>
      <c r="X337">
        <v>0</v>
      </c>
      <c r="Y337">
        <v>0.501</v>
      </c>
      <c r="Z337">
        <v>1</v>
      </c>
    </row>
    <row r="338" spans="1:26" x14ac:dyDescent="0.2">
      <c r="A338" t="s">
        <v>29</v>
      </c>
      <c r="B338">
        <v>2018</v>
      </c>
      <c r="C338" t="str">
        <f t="shared" si="5"/>
        <v>CSV2018</v>
      </c>
      <c r="D338">
        <v>1.9989941866056451E-13</v>
      </c>
      <c r="E338">
        <v>0.30181678307541349</v>
      </c>
      <c r="F338">
        <v>1.3484445674901799</v>
      </c>
      <c r="G338">
        <v>27.751283751161608</v>
      </c>
      <c r="H338">
        <v>3.7359716433729999</v>
      </c>
      <c r="I338">
        <v>0.25303965887996999</v>
      </c>
      <c r="J338">
        <v>3.5787401991016043E-2</v>
      </c>
      <c r="K338">
        <v>0.116126021030507</v>
      </c>
      <c r="L338">
        <v>0.13338168796449451</v>
      </c>
      <c r="M338">
        <v>25</v>
      </c>
      <c r="N338">
        <v>0</v>
      </c>
      <c r="O338">
        <v>0</v>
      </c>
      <c r="P338">
        <v>0.71870000000000001</v>
      </c>
      <c r="Q338">
        <v>2E-3</v>
      </c>
      <c r="R338">
        <v>6.8699999999999997E-2</v>
      </c>
      <c r="S338">
        <v>0.65</v>
      </c>
      <c r="T338">
        <v>0.71870000000000001</v>
      </c>
      <c r="U338">
        <v>5</v>
      </c>
      <c r="V338">
        <v>0</v>
      </c>
      <c r="W338">
        <v>0</v>
      </c>
      <c r="X338">
        <v>0</v>
      </c>
      <c r="Y338">
        <v>0.5</v>
      </c>
      <c r="Z338">
        <v>1</v>
      </c>
    </row>
    <row r="339" spans="1:26" x14ac:dyDescent="0.2">
      <c r="A339" t="s">
        <v>29</v>
      </c>
      <c r="B339">
        <v>2019</v>
      </c>
      <c r="C339" t="str">
        <f t="shared" si="5"/>
        <v>CSV2019</v>
      </c>
      <c r="D339">
        <v>1.569442864851846E-13</v>
      </c>
      <c r="E339">
        <v>0.26838867268491279</v>
      </c>
      <c r="F339">
        <v>1.011504063401832</v>
      </c>
      <c r="G339">
        <v>27.866088933497181</v>
      </c>
      <c r="H339">
        <v>3.7069746628504321</v>
      </c>
      <c r="I339">
        <v>0.26027553321962588</v>
      </c>
      <c r="J339">
        <v>0.12165489809741351</v>
      </c>
      <c r="K339">
        <v>-8.0167001456961692E-2</v>
      </c>
      <c r="L339">
        <v>0.120782845048508</v>
      </c>
      <c r="M339">
        <v>26</v>
      </c>
      <c r="N339">
        <v>0</v>
      </c>
      <c r="O339">
        <v>1</v>
      </c>
      <c r="P339">
        <v>0.71560000000000001</v>
      </c>
      <c r="Q339">
        <v>8.0000000000000004E-4</v>
      </c>
      <c r="R339">
        <v>6.5599999999999992E-2</v>
      </c>
      <c r="S339">
        <v>0.65</v>
      </c>
      <c r="T339">
        <v>0.71560000000000001</v>
      </c>
      <c r="U339">
        <v>5</v>
      </c>
      <c r="V339">
        <v>0</v>
      </c>
      <c r="W339">
        <v>0.2</v>
      </c>
      <c r="X339">
        <v>0</v>
      </c>
      <c r="Y339">
        <v>0.50180000000000002</v>
      </c>
      <c r="Z339">
        <v>1</v>
      </c>
    </row>
    <row r="340" spans="1:26" x14ac:dyDescent="0.2">
      <c r="A340" t="s">
        <v>29</v>
      </c>
      <c r="B340">
        <v>2020</v>
      </c>
      <c r="C340" t="str">
        <f t="shared" si="5"/>
        <v>CSV2020</v>
      </c>
      <c r="D340">
        <v>1.068213745373966E-13</v>
      </c>
      <c r="E340">
        <v>0.17947493300357159</v>
      </c>
      <c r="F340">
        <v>1.216934405769841</v>
      </c>
      <c r="G340">
        <v>27.892659916756301</v>
      </c>
      <c r="H340">
        <v>3.413205098323993</v>
      </c>
      <c r="I340">
        <v>0.2268163716223425</v>
      </c>
      <c r="J340">
        <v>2.6927139309815828E-2</v>
      </c>
      <c r="K340">
        <v>0.2322032761192406</v>
      </c>
      <c r="L340">
        <v>0.1202144037053168</v>
      </c>
      <c r="M340">
        <v>27</v>
      </c>
      <c r="N340">
        <v>0</v>
      </c>
      <c r="O340">
        <v>1</v>
      </c>
      <c r="P340">
        <v>0.7409</v>
      </c>
      <c r="Q340">
        <v>2.9999999999999997E-4</v>
      </c>
      <c r="R340">
        <v>9.0899999999999995E-2</v>
      </c>
      <c r="S340">
        <v>0.65</v>
      </c>
      <c r="T340">
        <v>0.7409</v>
      </c>
      <c r="U340">
        <v>5</v>
      </c>
      <c r="V340">
        <v>0</v>
      </c>
      <c r="W340">
        <v>0.2</v>
      </c>
      <c r="X340">
        <v>0</v>
      </c>
      <c r="Y340">
        <v>0.49819999999999998</v>
      </c>
      <c r="Z340">
        <v>1</v>
      </c>
    </row>
    <row r="341" spans="1:26" x14ac:dyDescent="0.2">
      <c r="A341" t="s">
        <v>29</v>
      </c>
      <c r="B341">
        <v>2021</v>
      </c>
      <c r="C341" t="str">
        <f t="shared" si="5"/>
        <v>CSV2021</v>
      </c>
      <c r="D341">
        <v>1.028805972336715E-13</v>
      </c>
      <c r="E341">
        <v>0.18802366974032469</v>
      </c>
      <c r="F341">
        <v>1.4952454767767669</v>
      </c>
      <c r="G341">
        <v>28.00660578396716</v>
      </c>
      <c r="H341">
        <v>3.2151199636113121</v>
      </c>
      <c r="I341">
        <v>0.20340917350101939</v>
      </c>
      <c r="J341">
        <v>0.12069145708777131</v>
      </c>
      <c r="K341">
        <v>0.1016797743496396</v>
      </c>
      <c r="L341">
        <v>0.111328282465807</v>
      </c>
      <c r="M341">
        <v>28</v>
      </c>
      <c r="N341">
        <v>0</v>
      </c>
      <c r="O341">
        <v>0</v>
      </c>
      <c r="P341">
        <v>0.65</v>
      </c>
      <c r="Q341">
        <v>2.0000000000000001E-4</v>
      </c>
      <c r="R341">
        <v>0</v>
      </c>
      <c r="S341">
        <v>0.65</v>
      </c>
      <c r="T341">
        <v>0.65</v>
      </c>
      <c r="U341">
        <v>5</v>
      </c>
      <c r="V341">
        <v>0</v>
      </c>
      <c r="W341">
        <v>0.2</v>
      </c>
      <c r="X341">
        <v>0</v>
      </c>
      <c r="Y341">
        <v>0.47749999999999998</v>
      </c>
      <c r="Z341">
        <v>1</v>
      </c>
    </row>
    <row r="342" spans="1:26" x14ac:dyDescent="0.2">
      <c r="A342" t="s">
        <v>29</v>
      </c>
      <c r="B342">
        <v>2022</v>
      </c>
      <c r="C342" t="str">
        <f t="shared" si="5"/>
        <v>CSV2022</v>
      </c>
      <c r="D342">
        <v>1.3813714137131691E-13</v>
      </c>
      <c r="E342">
        <v>0.28547072061266598</v>
      </c>
      <c r="F342">
        <v>0.94782575987878404</v>
      </c>
      <c r="G342">
        <v>28.172425846371549</v>
      </c>
      <c r="H342">
        <v>3.1598533691527808</v>
      </c>
      <c r="I342">
        <v>0.1684698896203051</v>
      </c>
      <c r="J342">
        <v>0.1803606913487863</v>
      </c>
      <c r="K342">
        <v>0.15274236711060141</v>
      </c>
      <c r="L342">
        <v>7.0527790983552788E-2</v>
      </c>
      <c r="M342">
        <v>29</v>
      </c>
      <c r="N342">
        <v>0</v>
      </c>
      <c r="O342">
        <v>0</v>
      </c>
      <c r="P342">
        <v>0.65</v>
      </c>
      <c r="Q342">
        <v>2.0000000000000001E-4</v>
      </c>
      <c r="R342">
        <v>0</v>
      </c>
      <c r="S342">
        <v>0.65</v>
      </c>
      <c r="T342">
        <v>0.65</v>
      </c>
      <c r="U342">
        <v>5</v>
      </c>
      <c r="V342">
        <v>0</v>
      </c>
      <c r="W342">
        <v>0.2</v>
      </c>
      <c r="X342">
        <v>0</v>
      </c>
      <c r="Y342">
        <v>0.48580000000000001</v>
      </c>
      <c r="Z342">
        <v>1</v>
      </c>
    </row>
    <row r="343" spans="1:26" x14ac:dyDescent="0.2">
      <c r="A343" t="s">
        <v>29</v>
      </c>
      <c r="B343">
        <v>2023</v>
      </c>
      <c r="C343" t="str">
        <f t="shared" si="5"/>
        <v>CSV2023</v>
      </c>
      <c r="D343">
        <v>112066393256151.3</v>
      </c>
      <c r="E343">
        <v>0.14226628796671331</v>
      </c>
      <c r="F343">
        <v>6.5789584943575541</v>
      </c>
      <c r="G343">
        <v>28.17448161233769</v>
      </c>
      <c r="H343">
        <v>4.3107029998194868</v>
      </c>
      <c r="I343">
        <v>5.8605509212875641E-2</v>
      </c>
      <c r="J343">
        <v>2.0578805017474888E-3</v>
      </c>
      <c r="K343">
        <v>0.2102681378194188</v>
      </c>
      <c r="L343">
        <v>4.5330202086427261E-2</v>
      </c>
      <c r="M343">
        <v>30</v>
      </c>
      <c r="N343">
        <v>0</v>
      </c>
      <c r="O343">
        <v>0</v>
      </c>
      <c r="P343">
        <v>0.65</v>
      </c>
      <c r="Q343">
        <v>2.0000000000000001E-4</v>
      </c>
      <c r="R343">
        <v>0</v>
      </c>
      <c r="S343">
        <v>0.65</v>
      </c>
      <c r="T343">
        <v>0.65</v>
      </c>
      <c r="U343">
        <v>5</v>
      </c>
      <c r="V343">
        <v>0</v>
      </c>
      <c r="W343">
        <v>0.2</v>
      </c>
      <c r="X343">
        <v>0</v>
      </c>
      <c r="Y343">
        <v>0.48580000000000001</v>
      </c>
      <c r="Z343">
        <v>1</v>
      </c>
    </row>
    <row r="344" spans="1:26" x14ac:dyDescent="0.2">
      <c r="A344" t="s">
        <v>30</v>
      </c>
      <c r="B344">
        <v>2012</v>
      </c>
      <c r="C344" t="str">
        <f t="shared" si="5"/>
        <v>CTB2012</v>
      </c>
      <c r="D344">
        <v>2.9508698247393068E-13</v>
      </c>
      <c r="E344">
        <v>0.1597666425819689</v>
      </c>
      <c r="F344">
        <v>0.96774562425995825</v>
      </c>
      <c r="G344">
        <v>25.817531073964279</v>
      </c>
      <c r="H344">
        <v>1.414535172381252</v>
      </c>
      <c r="I344">
        <v>0.69878595078084915</v>
      </c>
      <c r="J344">
        <v>0.30527608058817651</v>
      </c>
      <c r="K344">
        <v>0.17468841218981709</v>
      </c>
      <c r="L344">
        <v>0.39559180717841658</v>
      </c>
      <c r="M344">
        <v>8</v>
      </c>
      <c r="N344">
        <v>0</v>
      </c>
      <c r="O344">
        <v>0</v>
      </c>
      <c r="P344">
        <v>0.6502</v>
      </c>
      <c r="Q344">
        <v>2.4400000000000002E-2</v>
      </c>
      <c r="R344">
        <v>0</v>
      </c>
      <c r="S344">
        <v>0</v>
      </c>
      <c r="T344">
        <v>0.6502</v>
      </c>
      <c r="U344">
        <v>5</v>
      </c>
      <c r="V344">
        <v>0</v>
      </c>
      <c r="W344">
        <v>0</v>
      </c>
      <c r="X344">
        <v>1</v>
      </c>
      <c r="Y344">
        <v>0.4667</v>
      </c>
      <c r="Z344">
        <v>1</v>
      </c>
    </row>
    <row r="345" spans="1:26" x14ac:dyDescent="0.2">
      <c r="A345" t="s">
        <v>30</v>
      </c>
      <c r="B345">
        <v>2013</v>
      </c>
      <c r="C345" t="str">
        <f t="shared" si="5"/>
        <v>CTB2013</v>
      </c>
      <c r="D345">
        <v>1.815297268643142E-13</v>
      </c>
      <c r="E345">
        <v>0.14997214187280369</v>
      </c>
      <c r="F345">
        <v>1.000688167272346</v>
      </c>
      <c r="G345">
        <v>26.102792786075351</v>
      </c>
      <c r="H345">
        <v>0.9954046645152318</v>
      </c>
      <c r="I345">
        <v>0.73743548643475598</v>
      </c>
      <c r="J345">
        <v>0.33011008849289142</v>
      </c>
      <c r="K345">
        <v>-3.7458565520477813E-2</v>
      </c>
      <c r="L345">
        <v>0.28159162850820119</v>
      </c>
      <c r="M345">
        <v>9</v>
      </c>
      <c r="N345">
        <v>0</v>
      </c>
      <c r="O345">
        <v>0</v>
      </c>
      <c r="P345">
        <v>0.6502</v>
      </c>
      <c r="Q345">
        <v>2.7300000000000001E-2</v>
      </c>
      <c r="R345">
        <v>0</v>
      </c>
      <c r="S345">
        <v>0</v>
      </c>
      <c r="T345">
        <v>0.6502</v>
      </c>
      <c r="U345">
        <v>5</v>
      </c>
      <c r="V345">
        <v>0</v>
      </c>
      <c r="W345">
        <v>0</v>
      </c>
      <c r="X345">
        <v>1</v>
      </c>
      <c r="Y345">
        <v>0.47670000000000001</v>
      </c>
      <c r="Z345">
        <v>1</v>
      </c>
    </row>
    <row r="346" spans="1:26" x14ac:dyDescent="0.2">
      <c r="A346" t="s">
        <v>30</v>
      </c>
      <c r="B346">
        <v>2014</v>
      </c>
      <c r="C346" t="str">
        <f t="shared" si="5"/>
        <v>CTB2014</v>
      </c>
      <c r="D346">
        <v>1.021441394914209E-13</v>
      </c>
      <c r="E346">
        <v>0.13885227324153901</v>
      </c>
      <c r="F346">
        <v>1.053808590388785</v>
      </c>
      <c r="G346">
        <v>26.438964357755069</v>
      </c>
      <c r="H346">
        <v>1.2294126678569159</v>
      </c>
      <c r="I346">
        <v>0.77666500068957567</v>
      </c>
      <c r="J346">
        <v>0.39957913235514703</v>
      </c>
      <c r="K346">
        <v>-8.1418399445830382E-3</v>
      </c>
      <c r="L346">
        <v>0.2417735150484642</v>
      </c>
      <c r="M346">
        <v>10</v>
      </c>
      <c r="N346">
        <v>0</v>
      </c>
      <c r="O346">
        <v>0</v>
      </c>
      <c r="P346">
        <v>0.57119999999999993</v>
      </c>
      <c r="Q346">
        <v>2.47E-2</v>
      </c>
      <c r="R346">
        <v>5.8700000000000002E-2</v>
      </c>
      <c r="S346">
        <v>0</v>
      </c>
      <c r="T346">
        <v>0.57119999999999993</v>
      </c>
      <c r="U346">
        <v>4</v>
      </c>
      <c r="V346">
        <v>0</v>
      </c>
      <c r="W346">
        <v>0</v>
      </c>
      <c r="X346">
        <v>1</v>
      </c>
      <c r="Y346">
        <v>0.48670000000000002</v>
      </c>
      <c r="Z346">
        <v>1</v>
      </c>
    </row>
    <row r="347" spans="1:26" x14ac:dyDescent="0.2">
      <c r="A347" t="s">
        <v>30</v>
      </c>
      <c r="B347">
        <v>2015</v>
      </c>
      <c r="C347" t="str">
        <f t="shared" si="5"/>
        <v>CTB2015</v>
      </c>
      <c r="D347">
        <v>8.1957309362559056E-14</v>
      </c>
      <c r="E347">
        <v>0.130183986001675</v>
      </c>
      <c r="F347">
        <v>1.1156307598472259</v>
      </c>
      <c r="G347">
        <v>26.604136845186151</v>
      </c>
      <c r="H347">
        <v>0.96804585626134276</v>
      </c>
      <c r="I347">
        <v>0.77454495646753641</v>
      </c>
      <c r="J347">
        <v>0.17959656674628949</v>
      </c>
      <c r="K347">
        <v>2.0041362626612529E-2</v>
      </c>
      <c r="L347">
        <v>0.22041935169511501</v>
      </c>
      <c r="M347">
        <v>11</v>
      </c>
      <c r="N347">
        <v>0</v>
      </c>
      <c r="O347">
        <v>0</v>
      </c>
      <c r="P347">
        <v>0.59319999999999995</v>
      </c>
      <c r="Q347">
        <v>0.16719999999999999</v>
      </c>
      <c r="R347">
        <v>8.0700000000000008E-2</v>
      </c>
      <c r="S347">
        <v>0</v>
      </c>
      <c r="T347">
        <v>0.59319999999999995</v>
      </c>
      <c r="U347">
        <v>5</v>
      </c>
      <c r="V347">
        <v>0</v>
      </c>
      <c r="W347">
        <v>0</v>
      </c>
      <c r="X347">
        <v>1</v>
      </c>
      <c r="Y347">
        <v>0.503</v>
      </c>
      <c r="Z347">
        <v>1</v>
      </c>
    </row>
    <row r="348" spans="1:26" x14ac:dyDescent="0.2">
      <c r="A348" t="s">
        <v>30</v>
      </c>
      <c r="B348">
        <v>2016</v>
      </c>
      <c r="C348" t="str">
        <f t="shared" si="5"/>
        <v>CTB2016</v>
      </c>
      <c r="D348">
        <v>4.9823610913512189E-14</v>
      </c>
      <c r="E348">
        <v>0.17621189401928961</v>
      </c>
      <c r="F348">
        <v>1.05779744483206</v>
      </c>
      <c r="G348">
        <v>26.9687796261329</v>
      </c>
      <c r="H348">
        <v>1.0188880304712831</v>
      </c>
      <c r="I348">
        <v>0.85418837317560781</v>
      </c>
      <c r="J348">
        <v>0.43999952099680129</v>
      </c>
      <c r="K348">
        <v>0.39845581302802918</v>
      </c>
      <c r="L348">
        <v>0.13140062407137459</v>
      </c>
      <c r="M348">
        <v>12</v>
      </c>
      <c r="N348">
        <v>0</v>
      </c>
      <c r="O348">
        <v>0</v>
      </c>
      <c r="P348">
        <v>0.51249999999999996</v>
      </c>
      <c r="Q348">
        <v>0.1585</v>
      </c>
      <c r="R348">
        <v>0</v>
      </c>
      <c r="S348">
        <v>0</v>
      </c>
      <c r="T348">
        <v>0.51249999999999996</v>
      </c>
      <c r="U348">
        <v>5</v>
      </c>
      <c r="V348">
        <v>0</v>
      </c>
      <c r="W348">
        <v>0</v>
      </c>
      <c r="X348">
        <v>1</v>
      </c>
      <c r="Y348">
        <v>0.51300000000000001</v>
      </c>
      <c r="Z348">
        <v>1</v>
      </c>
    </row>
    <row r="349" spans="1:26" x14ac:dyDescent="0.2">
      <c r="A349" t="s">
        <v>30</v>
      </c>
      <c r="B349">
        <v>2017</v>
      </c>
      <c r="C349" t="str">
        <f t="shared" si="5"/>
        <v>CTB2017</v>
      </c>
      <c r="D349">
        <v>3.8876766683999603E-14</v>
      </c>
      <c r="E349">
        <v>0.121075860438458</v>
      </c>
      <c r="F349">
        <v>1.2419590363588029</v>
      </c>
      <c r="G349">
        <v>27.218770186202349</v>
      </c>
      <c r="H349">
        <v>2.4708015000764809</v>
      </c>
      <c r="I349">
        <v>0.78738481915009206</v>
      </c>
      <c r="J349">
        <v>0.28401329563420141</v>
      </c>
      <c r="K349">
        <v>-0.4427496932372107</v>
      </c>
      <c r="L349">
        <v>9.2271598844912719E-2</v>
      </c>
      <c r="M349">
        <v>13</v>
      </c>
      <c r="N349">
        <v>0</v>
      </c>
      <c r="O349">
        <v>0</v>
      </c>
      <c r="P349">
        <v>0.6029000000000001</v>
      </c>
      <c r="Q349">
        <v>8.72E-2</v>
      </c>
      <c r="R349">
        <v>6.0100000000000001E-2</v>
      </c>
      <c r="S349">
        <v>0</v>
      </c>
      <c r="T349">
        <v>0.4496</v>
      </c>
      <c r="U349">
        <v>5</v>
      </c>
      <c r="V349">
        <v>0</v>
      </c>
      <c r="W349">
        <v>0</v>
      </c>
      <c r="X349">
        <v>1</v>
      </c>
      <c r="Y349">
        <v>0.52100000000000002</v>
      </c>
      <c r="Z349">
        <v>1</v>
      </c>
    </row>
    <row r="350" spans="1:26" x14ac:dyDescent="0.2">
      <c r="A350" t="s">
        <v>30</v>
      </c>
      <c r="B350">
        <v>2018</v>
      </c>
      <c r="C350" t="str">
        <f t="shared" si="5"/>
        <v>CTB2018</v>
      </c>
      <c r="D350">
        <v>1.4220797767543461E-13</v>
      </c>
      <c r="E350">
        <v>0.20699926804592059</v>
      </c>
      <c r="F350">
        <v>1.3250165531520299</v>
      </c>
      <c r="G350">
        <v>26.82879298328648</v>
      </c>
      <c r="H350">
        <v>1.894404560738616</v>
      </c>
      <c r="I350">
        <v>0.6919991610964179</v>
      </c>
      <c r="J350">
        <v>-0.3229276904033716</v>
      </c>
      <c r="K350">
        <v>0.35292125553672532</v>
      </c>
      <c r="L350">
        <v>0.121255439642084</v>
      </c>
      <c r="M350">
        <v>14</v>
      </c>
      <c r="N350">
        <v>0</v>
      </c>
      <c r="O350">
        <v>0</v>
      </c>
      <c r="P350">
        <v>0.2848</v>
      </c>
      <c r="Q350">
        <v>0.17949999999999999</v>
      </c>
      <c r="R350">
        <v>7.0000000000000007E-2</v>
      </c>
      <c r="S350">
        <v>0</v>
      </c>
      <c r="T350">
        <v>7.0000000000000007E-2</v>
      </c>
      <c r="U350">
        <v>5</v>
      </c>
      <c r="V350">
        <v>0</v>
      </c>
      <c r="W350">
        <v>0.2</v>
      </c>
      <c r="X350">
        <v>1</v>
      </c>
      <c r="Y350">
        <v>0.50109999999999999</v>
      </c>
      <c r="Z350">
        <v>1</v>
      </c>
    </row>
    <row r="351" spans="1:26" x14ac:dyDescent="0.2">
      <c r="A351" t="s">
        <v>30</v>
      </c>
      <c r="B351">
        <v>2019</v>
      </c>
      <c r="C351" t="str">
        <f t="shared" si="5"/>
        <v>CTB2019</v>
      </c>
      <c r="D351">
        <v>1.090834047506759E-13</v>
      </c>
      <c r="E351">
        <v>0.12980655409794639</v>
      </c>
      <c r="F351">
        <v>1.4435213323983229</v>
      </c>
      <c r="G351">
        <v>26.967645893743189</v>
      </c>
      <c r="H351">
        <v>1.3253263876991019</v>
      </c>
      <c r="I351">
        <v>0.56712563715506203</v>
      </c>
      <c r="J351">
        <v>0.1489550882947881</v>
      </c>
      <c r="K351">
        <v>-6.0103830136406793E-2</v>
      </c>
      <c r="L351">
        <v>0.15503631327257431</v>
      </c>
      <c r="M351">
        <v>15</v>
      </c>
      <c r="N351">
        <v>0</v>
      </c>
      <c r="O351">
        <v>1</v>
      </c>
      <c r="P351">
        <v>0.43419999999999997</v>
      </c>
      <c r="Q351">
        <v>0.18459999999999999</v>
      </c>
      <c r="R351">
        <v>5.28E-2</v>
      </c>
      <c r="S351">
        <v>0</v>
      </c>
      <c r="T351">
        <v>0.2984</v>
      </c>
      <c r="U351">
        <v>5</v>
      </c>
      <c r="V351">
        <v>0</v>
      </c>
      <c r="W351">
        <v>0.2</v>
      </c>
      <c r="X351">
        <v>1</v>
      </c>
      <c r="Y351">
        <v>0.51100000000000001</v>
      </c>
      <c r="Z351">
        <v>1</v>
      </c>
    </row>
    <row r="352" spans="1:26" x14ac:dyDescent="0.2">
      <c r="A352" t="s">
        <v>30</v>
      </c>
      <c r="B352">
        <v>2020</v>
      </c>
      <c r="C352" t="str">
        <f t="shared" si="5"/>
        <v>CTB2020</v>
      </c>
      <c r="D352">
        <v>1.068425041841355E-13</v>
      </c>
      <c r="E352">
        <v>0.1484140750591631</v>
      </c>
      <c r="F352">
        <v>1.276457389925818</v>
      </c>
      <c r="G352">
        <v>27.05748942045199</v>
      </c>
      <c r="H352">
        <v>1.655203734293319</v>
      </c>
      <c r="I352">
        <v>0.59431652453409167</v>
      </c>
      <c r="J352">
        <v>9.4003088048011829E-2</v>
      </c>
      <c r="K352">
        <v>8.1608498934646015E-2</v>
      </c>
      <c r="L352">
        <v>0.14905940949863661</v>
      </c>
      <c r="M352">
        <v>16</v>
      </c>
      <c r="N352">
        <v>0</v>
      </c>
      <c r="O352">
        <v>1</v>
      </c>
      <c r="P352">
        <v>0.43419999999999997</v>
      </c>
      <c r="Q352">
        <v>0.17299999999999999</v>
      </c>
      <c r="R352">
        <v>5.28E-2</v>
      </c>
      <c r="S352">
        <v>0</v>
      </c>
      <c r="T352">
        <v>0.2984</v>
      </c>
      <c r="U352">
        <v>5</v>
      </c>
      <c r="V352">
        <v>0</v>
      </c>
      <c r="W352">
        <v>0.2</v>
      </c>
      <c r="X352">
        <v>1</v>
      </c>
      <c r="Y352">
        <v>0.48830000000000001</v>
      </c>
      <c r="Z352">
        <v>1</v>
      </c>
    </row>
    <row r="353" spans="1:26" x14ac:dyDescent="0.2">
      <c r="A353" t="s">
        <v>30</v>
      </c>
      <c r="B353">
        <v>2021</v>
      </c>
      <c r="C353" t="str">
        <f t="shared" si="5"/>
        <v>CTB2021</v>
      </c>
      <c r="D353">
        <v>4.8566145485111561E-14</v>
      </c>
      <c r="E353">
        <v>0.1105497218648753</v>
      </c>
      <c r="F353">
        <v>1.176384984832471</v>
      </c>
      <c r="G353">
        <v>27.313421827125438</v>
      </c>
      <c r="H353">
        <v>1.480354507722266</v>
      </c>
      <c r="I353">
        <v>0.68022510599589647</v>
      </c>
      <c r="J353">
        <v>0.29166541702659421</v>
      </c>
      <c r="K353">
        <v>4.2843076144980417E-2</v>
      </c>
      <c r="L353">
        <v>0.1146059681000519</v>
      </c>
      <c r="M353">
        <v>17</v>
      </c>
      <c r="N353">
        <v>0</v>
      </c>
      <c r="O353">
        <v>0</v>
      </c>
      <c r="P353">
        <v>0.43419999999999997</v>
      </c>
      <c r="Q353">
        <v>0.1583</v>
      </c>
      <c r="R353">
        <v>5.28E-2</v>
      </c>
      <c r="S353">
        <v>0</v>
      </c>
      <c r="T353">
        <v>0.2984</v>
      </c>
      <c r="U353">
        <v>5</v>
      </c>
      <c r="V353">
        <v>0</v>
      </c>
      <c r="W353">
        <v>0.2</v>
      </c>
      <c r="X353">
        <v>1</v>
      </c>
      <c r="Y353">
        <v>0.49830000000000002</v>
      </c>
      <c r="Z353">
        <v>1</v>
      </c>
    </row>
    <row r="354" spans="1:26" x14ac:dyDescent="0.2">
      <c r="A354" t="s">
        <v>30</v>
      </c>
      <c r="B354">
        <v>2022</v>
      </c>
      <c r="C354" t="str">
        <f t="shared" si="5"/>
        <v>CTB2022</v>
      </c>
      <c r="D354">
        <v>6.4177217878301298E-14</v>
      </c>
      <c r="E354">
        <v>0.1920210629567155</v>
      </c>
      <c r="F354">
        <v>0.92461720518100043</v>
      </c>
      <c r="G354">
        <v>27.50408459434669</v>
      </c>
      <c r="H354">
        <v>2.0222563344477988</v>
      </c>
      <c r="I354">
        <v>0.70562278931549616</v>
      </c>
      <c r="J354">
        <v>0.21005131429930191</v>
      </c>
      <c r="K354">
        <v>-0.1188231384368299</v>
      </c>
      <c r="L354">
        <v>8.6234541385775909E-2</v>
      </c>
      <c r="M354">
        <v>18</v>
      </c>
      <c r="N354">
        <v>0</v>
      </c>
      <c r="O354">
        <v>0</v>
      </c>
      <c r="P354">
        <v>0.43419999999999997</v>
      </c>
      <c r="Q354">
        <v>0.1134</v>
      </c>
      <c r="R354">
        <v>5.28E-2</v>
      </c>
      <c r="S354">
        <v>0</v>
      </c>
      <c r="T354">
        <v>0.2984</v>
      </c>
      <c r="U354">
        <v>5</v>
      </c>
      <c r="V354">
        <v>0</v>
      </c>
      <c r="W354">
        <v>0.2</v>
      </c>
      <c r="X354">
        <v>0</v>
      </c>
      <c r="Y354">
        <v>0.52670000000000006</v>
      </c>
      <c r="Z354">
        <v>1</v>
      </c>
    </row>
    <row r="355" spans="1:26" x14ac:dyDescent="0.2">
      <c r="A355" t="s">
        <v>30</v>
      </c>
      <c r="B355">
        <v>2023</v>
      </c>
      <c r="C355" t="str">
        <f t="shared" si="5"/>
        <v>CTB2023</v>
      </c>
      <c r="D355">
        <v>360943010900.56183</v>
      </c>
      <c r="E355">
        <v>9.2099238121761171E-2</v>
      </c>
      <c r="F355">
        <v>0.44973500424262791</v>
      </c>
      <c r="G355">
        <v>27.08985770964231</v>
      </c>
      <c r="H355">
        <v>1.102766621691643</v>
      </c>
      <c r="I355">
        <v>5.242460376885668E-2</v>
      </c>
      <c r="J355">
        <v>-0.33914900272773563</v>
      </c>
      <c r="K355">
        <v>0.40820419514403777</v>
      </c>
      <c r="L355">
        <v>0.1411186329112761</v>
      </c>
      <c r="M355">
        <v>19</v>
      </c>
      <c r="N355">
        <v>0</v>
      </c>
      <c r="O355">
        <v>0</v>
      </c>
      <c r="P355">
        <v>0.43419999999999997</v>
      </c>
      <c r="Q355">
        <v>0.1134</v>
      </c>
      <c r="R355">
        <v>5.28E-2</v>
      </c>
      <c r="S355">
        <v>0</v>
      </c>
      <c r="T355">
        <v>0.2984</v>
      </c>
      <c r="U355">
        <v>5</v>
      </c>
      <c r="V355">
        <v>0</v>
      </c>
      <c r="W355">
        <v>0.2</v>
      </c>
      <c r="X355">
        <v>0</v>
      </c>
      <c r="Y355">
        <v>0.52670000000000006</v>
      </c>
      <c r="Z355">
        <v>1</v>
      </c>
    </row>
    <row r="356" spans="1:26" x14ac:dyDescent="0.2">
      <c r="A356" t="s">
        <v>31</v>
      </c>
      <c r="B356">
        <v>2015</v>
      </c>
      <c r="C356" t="str">
        <f t="shared" si="5"/>
        <v>CTT2015</v>
      </c>
      <c r="D356">
        <v>1.19811491140399E-14</v>
      </c>
      <c r="E356">
        <v>0.1106826619212337</v>
      </c>
      <c r="F356">
        <v>0.96799703804549986</v>
      </c>
      <c r="G356">
        <v>27.28873226048302</v>
      </c>
      <c r="H356" t="e">
        <v>#N/A</v>
      </c>
      <c r="I356">
        <v>0.92312861306859484</v>
      </c>
      <c r="J356">
        <v>0</v>
      </c>
      <c r="K356">
        <v>-0.14111895257142201</v>
      </c>
      <c r="L356">
        <v>0.33864865717994008</v>
      </c>
      <c r="M356">
        <v>11</v>
      </c>
      <c r="N356">
        <v>0</v>
      </c>
      <c r="O356">
        <v>0</v>
      </c>
      <c r="P356">
        <v>0.48319999999999991</v>
      </c>
      <c r="Q356">
        <v>9.1999999999999998E-3</v>
      </c>
      <c r="R356">
        <v>0</v>
      </c>
      <c r="S356">
        <v>0.40979999999999989</v>
      </c>
      <c r="T356">
        <v>0.48319999999999991</v>
      </c>
      <c r="U356">
        <v>5</v>
      </c>
      <c r="V356">
        <v>1</v>
      </c>
      <c r="W356">
        <v>0</v>
      </c>
      <c r="X356">
        <v>0</v>
      </c>
      <c r="Y356">
        <v>0.50219999999999998</v>
      </c>
      <c r="Z356">
        <v>1</v>
      </c>
    </row>
    <row r="357" spans="1:26" x14ac:dyDescent="0.2">
      <c r="A357" t="s">
        <v>31</v>
      </c>
      <c r="B357">
        <v>2016</v>
      </c>
      <c r="C357" t="str">
        <f t="shared" si="5"/>
        <v>CTT2016</v>
      </c>
      <c r="D357">
        <v>1.3137498093865739E-14</v>
      </c>
      <c r="E357">
        <v>9.2670647644081755E-2</v>
      </c>
      <c r="F357">
        <v>0.96108735675688617</v>
      </c>
      <c r="G357">
        <v>27.201903896416049</v>
      </c>
      <c r="H357">
        <v>0.84377032686785358</v>
      </c>
      <c r="I357">
        <v>0.90769882549486325</v>
      </c>
      <c r="J357">
        <v>-8.3165556135337826E-2</v>
      </c>
      <c r="K357">
        <v>7.4584076479129097E-2</v>
      </c>
      <c r="L357">
        <v>0.33851440844883107</v>
      </c>
      <c r="M357">
        <v>12</v>
      </c>
      <c r="N357">
        <v>0</v>
      </c>
      <c r="O357">
        <v>0</v>
      </c>
      <c r="P357">
        <v>0.48319999999999991</v>
      </c>
      <c r="Q357">
        <v>9.4999999999999998E-3</v>
      </c>
      <c r="R357">
        <v>0</v>
      </c>
      <c r="S357">
        <v>0.40979999999999989</v>
      </c>
      <c r="T357">
        <v>0.48319999999999991</v>
      </c>
      <c r="U357">
        <v>5</v>
      </c>
      <c r="V357">
        <v>0</v>
      </c>
      <c r="W357">
        <v>0</v>
      </c>
      <c r="X357">
        <v>0</v>
      </c>
      <c r="Y357">
        <v>0.51300000000000001</v>
      </c>
      <c r="Z357">
        <v>1</v>
      </c>
    </row>
    <row r="358" spans="1:26" x14ac:dyDescent="0.2">
      <c r="A358" t="s">
        <v>31</v>
      </c>
      <c r="B358">
        <v>2017</v>
      </c>
      <c r="C358" t="str">
        <f t="shared" si="5"/>
        <v>CTT2017</v>
      </c>
      <c r="D358">
        <v>1.599532824459739E-14</v>
      </c>
      <c r="E358">
        <v>0.110215293299097</v>
      </c>
      <c r="F358">
        <v>1.0096410576893</v>
      </c>
      <c r="G358">
        <v>27.207923078177711</v>
      </c>
      <c r="H358">
        <v>0.79863494887277753</v>
      </c>
      <c r="I358">
        <v>0.90493904937833824</v>
      </c>
      <c r="J358">
        <v>6.037333437339143E-3</v>
      </c>
      <c r="K358">
        <v>0.13589295846231131</v>
      </c>
      <c r="L358">
        <v>0.31058254147161801</v>
      </c>
      <c r="M358">
        <v>13</v>
      </c>
      <c r="N358">
        <v>0</v>
      </c>
      <c r="O358">
        <v>0</v>
      </c>
      <c r="P358">
        <v>0.48319999999999991</v>
      </c>
      <c r="Q358">
        <v>8.3000000000000001E-3</v>
      </c>
      <c r="R358">
        <v>0</v>
      </c>
      <c r="S358">
        <v>0.40979999999999989</v>
      </c>
      <c r="T358">
        <v>0.48319999999999991</v>
      </c>
      <c r="U358">
        <v>5</v>
      </c>
      <c r="V358">
        <v>0</v>
      </c>
      <c r="W358">
        <v>0</v>
      </c>
      <c r="X358">
        <v>0</v>
      </c>
      <c r="Y358">
        <v>0.49330000000000002</v>
      </c>
      <c r="Z358">
        <v>1</v>
      </c>
    </row>
    <row r="359" spans="1:26" x14ac:dyDescent="0.2">
      <c r="A359" t="s">
        <v>31</v>
      </c>
      <c r="B359">
        <v>2018</v>
      </c>
      <c r="C359" t="str">
        <f t="shared" si="5"/>
        <v>CTT2018</v>
      </c>
      <c r="D359">
        <v>2.0902250744344352E-14</v>
      </c>
      <c r="E359">
        <v>0.13416549408835271</v>
      </c>
      <c r="F359">
        <v>0.96914246850433727</v>
      </c>
      <c r="G359">
        <v>27.144680493354389</v>
      </c>
      <c r="H359">
        <v>0.79618373209448223</v>
      </c>
      <c r="I359">
        <v>0.90420625100639251</v>
      </c>
      <c r="J359">
        <v>-6.1284272122576589E-2</v>
      </c>
      <c r="K359">
        <v>8.8162637801982732E-2</v>
      </c>
      <c r="L359">
        <v>0.30838485572003671</v>
      </c>
      <c r="M359">
        <v>14</v>
      </c>
      <c r="N359">
        <v>0</v>
      </c>
      <c r="O359">
        <v>0</v>
      </c>
      <c r="P359">
        <v>0.48319999999999991</v>
      </c>
      <c r="Q359">
        <v>8.1000000000000013E-3</v>
      </c>
      <c r="R359">
        <v>0</v>
      </c>
      <c r="S359">
        <v>0.40979999999999989</v>
      </c>
      <c r="T359">
        <v>0.48319999999999991</v>
      </c>
      <c r="U359">
        <v>5</v>
      </c>
      <c r="V359">
        <v>0</v>
      </c>
      <c r="W359">
        <v>0</v>
      </c>
      <c r="X359">
        <v>0</v>
      </c>
      <c r="Y359">
        <v>0.49</v>
      </c>
      <c r="Z359">
        <v>1</v>
      </c>
    </row>
    <row r="360" spans="1:26" x14ac:dyDescent="0.2">
      <c r="A360" t="s">
        <v>31</v>
      </c>
      <c r="B360">
        <v>2019</v>
      </c>
      <c r="C360" t="str">
        <f t="shared" si="5"/>
        <v>CTT2019</v>
      </c>
      <c r="D360">
        <v>2.8477440802126228E-14</v>
      </c>
      <c r="E360">
        <v>0.1195903999526121</v>
      </c>
      <c r="F360">
        <v>0.95851242514996216</v>
      </c>
      <c r="G360">
        <v>26.930295715111729</v>
      </c>
      <c r="H360">
        <v>0.77847875634154895</v>
      </c>
      <c r="I360">
        <v>0.88183646783377267</v>
      </c>
      <c r="J360">
        <v>-0.19296220531209429</v>
      </c>
      <c r="K360">
        <v>6.4266789563016638E-2</v>
      </c>
      <c r="L360">
        <v>0.38003780300142581</v>
      </c>
      <c r="M360">
        <v>15</v>
      </c>
      <c r="N360">
        <v>0</v>
      </c>
      <c r="O360">
        <v>1</v>
      </c>
      <c r="P360">
        <v>0.48599999999999988</v>
      </c>
      <c r="Q360">
        <v>8.1000000000000013E-3</v>
      </c>
      <c r="R360">
        <v>0</v>
      </c>
      <c r="S360">
        <v>0.40979999999999989</v>
      </c>
      <c r="T360">
        <v>0.48599999999999988</v>
      </c>
      <c r="U360">
        <v>5</v>
      </c>
      <c r="V360">
        <v>0</v>
      </c>
      <c r="W360">
        <v>0</v>
      </c>
      <c r="X360">
        <v>0</v>
      </c>
      <c r="Y360">
        <v>0.5</v>
      </c>
      <c r="Z360">
        <v>1</v>
      </c>
    </row>
    <row r="361" spans="1:26" x14ac:dyDescent="0.2">
      <c r="A361" t="s">
        <v>31</v>
      </c>
      <c r="B361">
        <v>2020</v>
      </c>
      <c r="C361" t="str">
        <f t="shared" si="5"/>
        <v>CTT2020</v>
      </c>
      <c r="D361">
        <v>3.2363983579392898E-14</v>
      </c>
      <c r="E361">
        <v>0.15642671157122481</v>
      </c>
      <c r="F361">
        <v>0.97511397790986143</v>
      </c>
      <c r="G361">
        <v>27.028534018949038</v>
      </c>
      <c r="H361">
        <v>0.71301746090081519</v>
      </c>
      <c r="I361">
        <v>0.88673538974120425</v>
      </c>
      <c r="J361">
        <v>0.1032256566930245</v>
      </c>
      <c r="K361">
        <v>1.9226951317761139E-2</v>
      </c>
      <c r="L361">
        <v>0.31381159874535552</v>
      </c>
      <c r="M361">
        <v>16</v>
      </c>
      <c r="N361">
        <v>0</v>
      </c>
      <c r="O361">
        <v>1</v>
      </c>
      <c r="P361">
        <v>0.48599999999999988</v>
      </c>
      <c r="Q361">
        <v>8.1000000000000013E-3</v>
      </c>
      <c r="R361">
        <v>0</v>
      </c>
      <c r="S361">
        <v>0.40979999999999989</v>
      </c>
      <c r="T361">
        <v>0.48599999999999988</v>
      </c>
      <c r="U361">
        <v>5</v>
      </c>
      <c r="V361">
        <v>0</v>
      </c>
      <c r="W361">
        <v>0</v>
      </c>
      <c r="X361">
        <v>0</v>
      </c>
      <c r="Y361">
        <v>0.51</v>
      </c>
      <c r="Z361">
        <v>1</v>
      </c>
    </row>
    <row r="362" spans="1:26" x14ac:dyDescent="0.2">
      <c r="A362" t="s">
        <v>31</v>
      </c>
      <c r="B362">
        <v>2021</v>
      </c>
      <c r="C362" t="str">
        <f t="shared" si="5"/>
        <v>CTT2021</v>
      </c>
      <c r="D362">
        <v>3.3868242215504997E-14</v>
      </c>
      <c r="E362">
        <v>0.15716069719277809</v>
      </c>
      <c r="F362">
        <v>1.0021955554049971</v>
      </c>
      <c r="G362">
        <v>27.02834571343692</v>
      </c>
      <c r="H362">
        <v>0.77374790785216807</v>
      </c>
      <c r="I362">
        <v>0.88204669649688472</v>
      </c>
      <c r="J362">
        <v>-1.882877837534602E-4</v>
      </c>
      <c r="K362">
        <v>5.8462124485724493E-2</v>
      </c>
      <c r="L362">
        <v>0.28671889309455878</v>
      </c>
      <c r="M362">
        <v>17</v>
      </c>
      <c r="N362">
        <v>0</v>
      </c>
      <c r="O362">
        <v>0</v>
      </c>
      <c r="P362">
        <v>0.48599999999999988</v>
      </c>
      <c r="Q362">
        <v>8.1000000000000013E-3</v>
      </c>
      <c r="R362">
        <v>0</v>
      </c>
      <c r="S362">
        <v>0.40979999999999989</v>
      </c>
      <c r="T362">
        <v>0.48599999999999988</v>
      </c>
      <c r="U362">
        <v>5</v>
      </c>
      <c r="V362">
        <v>0</v>
      </c>
      <c r="W362">
        <v>0</v>
      </c>
      <c r="X362">
        <v>0</v>
      </c>
      <c r="Y362">
        <v>0.52</v>
      </c>
      <c r="Z362">
        <v>1</v>
      </c>
    </row>
    <row r="363" spans="1:26" x14ac:dyDescent="0.2">
      <c r="A363" t="s">
        <v>31</v>
      </c>
      <c r="B363">
        <v>2022</v>
      </c>
      <c r="C363" t="str">
        <f t="shared" si="5"/>
        <v>CTT2022</v>
      </c>
      <c r="D363">
        <v>2.3803208348445371E-14</v>
      </c>
      <c r="E363">
        <v>0.1638471632679058</v>
      </c>
      <c r="F363">
        <v>1.01137048955496</v>
      </c>
      <c r="G363">
        <v>27.226953852872111</v>
      </c>
      <c r="H363">
        <v>0.80710917650881542</v>
      </c>
      <c r="I363">
        <v>0.90301325399328858</v>
      </c>
      <c r="J363">
        <v>0.2197039183756451</v>
      </c>
      <c r="K363">
        <v>2.230691681552012E-2</v>
      </c>
      <c r="L363">
        <v>0.20478799557909</v>
      </c>
      <c r="M363">
        <v>18</v>
      </c>
      <c r="N363">
        <v>0</v>
      </c>
      <c r="O363">
        <v>0</v>
      </c>
      <c r="P363">
        <v>0.57189999999999996</v>
      </c>
      <c r="Q363">
        <v>8.1000000000000013E-3</v>
      </c>
      <c r="R363">
        <v>0</v>
      </c>
      <c r="S363">
        <v>0.40979999999999989</v>
      </c>
      <c r="T363">
        <v>0.57189999999999996</v>
      </c>
      <c r="U363">
        <v>5</v>
      </c>
      <c r="V363">
        <v>0</v>
      </c>
      <c r="W363">
        <v>0</v>
      </c>
      <c r="X363">
        <v>0</v>
      </c>
      <c r="Y363">
        <v>0.54330000000000001</v>
      </c>
      <c r="Z363">
        <v>1</v>
      </c>
    </row>
    <row r="364" spans="1:26" x14ac:dyDescent="0.2">
      <c r="A364" t="s">
        <v>31</v>
      </c>
      <c r="B364">
        <v>2023</v>
      </c>
      <c r="C364" t="str">
        <f t="shared" si="5"/>
        <v>CTT2023</v>
      </c>
      <c r="D364">
        <v>430951545697.25427</v>
      </c>
      <c r="E364">
        <v>1.9856268471912322E-2</v>
      </c>
      <c r="F364">
        <v>0.23196012780178571</v>
      </c>
      <c r="G364">
        <v>27.2545348265336</v>
      </c>
      <c r="H364">
        <v>0.8822579983052995</v>
      </c>
      <c r="I364">
        <v>0.1155990185800075</v>
      </c>
      <c r="J364">
        <v>2.7964849815079299E-2</v>
      </c>
      <c r="K364">
        <v>0.21971150926837749</v>
      </c>
      <c r="L364">
        <v>0.1868767658906493</v>
      </c>
      <c r="M364">
        <v>19</v>
      </c>
      <c r="N364">
        <v>0</v>
      </c>
      <c r="O364">
        <v>0</v>
      </c>
      <c r="P364">
        <v>0.57189999999999996</v>
      </c>
      <c r="Q364">
        <v>8.1000000000000013E-3</v>
      </c>
      <c r="R364">
        <v>0</v>
      </c>
      <c r="S364">
        <v>0.40979999999999989</v>
      </c>
      <c r="T364">
        <v>0.57189999999999996</v>
      </c>
      <c r="U364">
        <v>5</v>
      </c>
      <c r="V364">
        <v>0</v>
      </c>
      <c r="W364">
        <v>0</v>
      </c>
      <c r="X364">
        <v>0</v>
      </c>
      <c r="Y364">
        <v>0.54330000000000001</v>
      </c>
      <c r="Z364">
        <v>1</v>
      </c>
    </row>
    <row r="365" spans="1:26" x14ac:dyDescent="0.2">
      <c r="A365" t="s">
        <v>32</v>
      </c>
      <c r="B365">
        <v>2012</v>
      </c>
      <c r="C365" t="str">
        <f t="shared" si="5"/>
        <v>CVT2012</v>
      </c>
      <c r="D365">
        <v>5.3073923967844838E-14</v>
      </c>
      <c r="E365">
        <v>0.1028636271844712</v>
      </c>
      <c r="F365">
        <v>0.89765309244761482</v>
      </c>
      <c r="G365">
        <v>26.878086764344349</v>
      </c>
      <c r="H365">
        <v>0.93566768266681988</v>
      </c>
      <c r="I365">
        <v>0.75699000894728052</v>
      </c>
      <c r="J365">
        <v>0.38388608416975528</v>
      </c>
      <c r="K365">
        <v>-1.335825176269121E-2</v>
      </c>
      <c r="L365">
        <v>0.60169040483650449</v>
      </c>
      <c r="M365">
        <v>6</v>
      </c>
      <c r="N365">
        <v>0</v>
      </c>
      <c r="O365">
        <v>0</v>
      </c>
      <c r="P365">
        <v>0.22009999999999999</v>
      </c>
      <c r="Q365">
        <v>0.122</v>
      </c>
      <c r="R365">
        <v>0</v>
      </c>
      <c r="S365">
        <v>0.05</v>
      </c>
      <c r="T365">
        <v>0.05</v>
      </c>
      <c r="U365">
        <v>5</v>
      </c>
      <c r="V365">
        <v>0</v>
      </c>
      <c r="W365">
        <v>0.2</v>
      </c>
      <c r="X365">
        <v>0</v>
      </c>
      <c r="Y365">
        <v>0.48749999999999999</v>
      </c>
      <c r="Z365">
        <v>1</v>
      </c>
    </row>
    <row r="366" spans="1:26" x14ac:dyDescent="0.2">
      <c r="A366" t="s">
        <v>32</v>
      </c>
      <c r="B366">
        <v>2013</v>
      </c>
      <c r="C366" t="str">
        <f t="shared" si="5"/>
        <v>CVT2013</v>
      </c>
      <c r="D366">
        <v>7.821296763473911E-14</v>
      </c>
      <c r="E366">
        <v>0.15393078127686491</v>
      </c>
      <c r="F366">
        <v>0.91552623179078996</v>
      </c>
      <c r="G366">
        <v>26.919910639435379</v>
      </c>
      <c r="H366">
        <v>0.75405520694629957</v>
      </c>
      <c r="I366">
        <v>0.75047047779037035</v>
      </c>
      <c r="J366">
        <v>4.2710815229963117E-2</v>
      </c>
      <c r="K366">
        <v>7.9496487162484905E-2</v>
      </c>
      <c r="L366">
        <v>0.56098512383306065</v>
      </c>
      <c r="M366">
        <v>7</v>
      </c>
      <c r="N366">
        <v>0</v>
      </c>
      <c r="O366">
        <v>0</v>
      </c>
      <c r="P366">
        <v>0.22009999999999999</v>
      </c>
      <c r="Q366">
        <v>0.14050000000000001</v>
      </c>
      <c r="R366">
        <v>0</v>
      </c>
      <c r="S366">
        <v>0.05</v>
      </c>
      <c r="T366">
        <v>0.05</v>
      </c>
      <c r="U366">
        <v>5</v>
      </c>
      <c r="V366">
        <v>0</v>
      </c>
      <c r="W366">
        <v>0.2</v>
      </c>
      <c r="X366">
        <v>0</v>
      </c>
      <c r="Y366">
        <v>0.4975</v>
      </c>
      <c r="Z366">
        <v>1</v>
      </c>
    </row>
    <row r="367" spans="1:26" x14ac:dyDescent="0.2">
      <c r="A367" t="s">
        <v>32</v>
      </c>
      <c r="B367">
        <v>2014</v>
      </c>
      <c r="C367" t="str">
        <f t="shared" si="5"/>
        <v>CVT2014</v>
      </c>
      <c r="D367">
        <v>1.1790288269295559E-13</v>
      </c>
      <c r="E367">
        <v>0.21040959085923411</v>
      </c>
      <c r="F367">
        <v>0.92171487968450605</v>
      </c>
      <c r="G367">
        <v>27.209000673022349</v>
      </c>
      <c r="H367">
        <v>0.76741389701099738</v>
      </c>
      <c r="I367">
        <v>0.63256735244919737</v>
      </c>
      <c r="J367">
        <v>0.33521193703708357</v>
      </c>
      <c r="K367">
        <v>8.5578360663531458E-2</v>
      </c>
      <c r="L367">
        <v>0.41029770632208701</v>
      </c>
      <c r="M367">
        <v>8</v>
      </c>
      <c r="N367">
        <v>0</v>
      </c>
      <c r="O367">
        <v>0</v>
      </c>
      <c r="P367">
        <v>0.1875</v>
      </c>
      <c r="Q367">
        <v>0.25790000000000002</v>
      </c>
      <c r="R367">
        <v>0</v>
      </c>
      <c r="S367">
        <v>0</v>
      </c>
      <c r="T367">
        <v>0</v>
      </c>
      <c r="U367">
        <v>5</v>
      </c>
      <c r="V367">
        <v>1</v>
      </c>
      <c r="W367">
        <v>0.2</v>
      </c>
      <c r="X367">
        <v>0</v>
      </c>
      <c r="Y367">
        <v>0.50749999999999995</v>
      </c>
      <c r="Z367">
        <v>1</v>
      </c>
    </row>
    <row r="368" spans="1:26" x14ac:dyDescent="0.2">
      <c r="A368" t="s">
        <v>32</v>
      </c>
      <c r="B368">
        <v>2015</v>
      </c>
      <c r="C368" t="str">
        <f t="shared" si="5"/>
        <v>CVT2015</v>
      </c>
      <c r="D368">
        <v>7.2178901751737254E-14</v>
      </c>
      <c r="E368">
        <v>0.2162700632852568</v>
      </c>
      <c r="F368">
        <v>1.162952926323781</v>
      </c>
      <c r="G368">
        <v>27.560364650152788</v>
      </c>
      <c r="H368">
        <v>1.2835948071495671</v>
      </c>
      <c r="I368">
        <v>0.68902308622485775</v>
      </c>
      <c r="J368">
        <v>0.42100444491694478</v>
      </c>
      <c r="K368">
        <v>2.888471892963557E-2</v>
      </c>
      <c r="L368">
        <v>0.58327443812097546</v>
      </c>
      <c r="M368">
        <v>9</v>
      </c>
      <c r="N368">
        <v>0</v>
      </c>
      <c r="O368">
        <v>0</v>
      </c>
      <c r="P368">
        <v>5.21E-2</v>
      </c>
      <c r="Q368">
        <v>0.13150000000000001</v>
      </c>
      <c r="R368">
        <v>0</v>
      </c>
      <c r="S368">
        <v>0</v>
      </c>
      <c r="T368">
        <v>0</v>
      </c>
      <c r="U368">
        <v>5</v>
      </c>
      <c r="V368">
        <v>1</v>
      </c>
      <c r="W368">
        <v>0.2</v>
      </c>
      <c r="X368">
        <v>1</v>
      </c>
      <c r="Y368">
        <v>0.49249999999999999</v>
      </c>
      <c r="Z368">
        <v>1</v>
      </c>
    </row>
    <row r="369" spans="1:26" x14ac:dyDescent="0.2">
      <c r="A369" t="s">
        <v>32</v>
      </c>
      <c r="B369">
        <v>2016</v>
      </c>
      <c r="C369" t="str">
        <f t="shared" si="5"/>
        <v>CVT2016</v>
      </c>
      <c r="D369">
        <v>1.501904983239682E-13</v>
      </c>
      <c r="E369">
        <v>0.39322171165696362</v>
      </c>
      <c r="F369">
        <v>1.354203827581852</v>
      </c>
      <c r="G369">
        <v>27.63714832070599</v>
      </c>
      <c r="H369">
        <v>0.99858009878760201</v>
      </c>
      <c r="I369">
        <v>0.61570389725744346</v>
      </c>
      <c r="J369">
        <v>7.9808456758004853E-2</v>
      </c>
      <c r="K369">
        <v>0.26889503929313968</v>
      </c>
      <c r="L369">
        <v>0.53439945495426533</v>
      </c>
      <c r="M369">
        <v>10</v>
      </c>
      <c r="N369">
        <v>0</v>
      </c>
      <c r="O369">
        <v>0</v>
      </c>
      <c r="P369">
        <v>5.21E-2</v>
      </c>
      <c r="Q369">
        <v>0.1132</v>
      </c>
      <c r="R369">
        <v>0</v>
      </c>
      <c r="S369">
        <v>0</v>
      </c>
      <c r="T369">
        <v>0</v>
      </c>
      <c r="U369">
        <v>5</v>
      </c>
      <c r="V369">
        <v>1</v>
      </c>
      <c r="W369">
        <v>0</v>
      </c>
      <c r="X369">
        <v>1</v>
      </c>
      <c r="Y369">
        <v>0.45600000000000002</v>
      </c>
      <c r="Z369">
        <v>1</v>
      </c>
    </row>
    <row r="370" spans="1:26" x14ac:dyDescent="0.2">
      <c r="A370" t="s">
        <v>32</v>
      </c>
      <c r="B370">
        <v>2017</v>
      </c>
      <c r="C370" t="str">
        <f t="shared" si="5"/>
        <v>CVT2017</v>
      </c>
      <c r="D370">
        <v>1.135325697130832E-13</v>
      </c>
      <c r="E370">
        <v>0.32151908821143999</v>
      </c>
      <c r="F370">
        <v>1.7904602307329009</v>
      </c>
      <c r="G370">
        <v>27.84386764442311</v>
      </c>
      <c r="H370">
        <v>1.0059650570300409</v>
      </c>
      <c r="I370">
        <v>0.56313044613628982</v>
      </c>
      <c r="J370">
        <v>0.22963739328848451</v>
      </c>
      <c r="K370">
        <v>0.156928435037157</v>
      </c>
      <c r="L370">
        <v>0.58137847423481848</v>
      </c>
      <c r="M370">
        <v>11</v>
      </c>
      <c r="N370">
        <v>0</v>
      </c>
      <c r="O370">
        <v>0</v>
      </c>
      <c r="P370">
        <v>6.7199999999999996E-2</v>
      </c>
      <c r="Q370">
        <v>0.1202</v>
      </c>
      <c r="R370">
        <v>0</v>
      </c>
      <c r="S370">
        <v>0</v>
      </c>
      <c r="T370">
        <v>0</v>
      </c>
      <c r="U370">
        <v>5</v>
      </c>
      <c r="V370">
        <v>1</v>
      </c>
      <c r="W370">
        <v>0</v>
      </c>
      <c r="X370">
        <v>1</v>
      </c>
      <c r="Y370">
        <v>0.46600000000000003</v>
      </c>
      <c r="Z370">
        <v>1</v>
      </c>
    </row>
    <row r="371" spans="1:26" x14ac:dyDescent="0.2">
      <c r="A371" t="s">
        <v>32</v>
      </c>
      <c r="B371">
        <v>2018</v>
      </c>
      <c r="C371" t="str">
        <f t="shared" si="5"/>
        <v>CVT2018</v>
      </c>
      <c r="D371">
        <v>9.0884475394129798E-14</v>
      </c>
      <c r="E371">
        <v>0.25540741097068242</v>
      </c>
      <c r="F371">
        <v>1.0498621957316789</v>
      </c>
      <c r="G371">
        <v>27.91998301274538</v>
      </c>
      <c r="H371">
        <v>0.96080766689534536</v>
      </c>
      <c r="I371">
        <v>0.52493748098021942</v>
      </c>
      <c r="J371">
        <v>7.9087059439945984E-2</v>
      </c>
      <c r="K371">
        <v>6.8856944909755857E-2</v>
      </c>
      <c r="L371">
        <v>0.51861730410859819</v>
      </c>
      <c r="M371">
        <v>12</v>
      </c>
      <c r="N371">
        <v>0</v>
      </c>
      <c r="O371">
        <v>0</v>
      </c>
      <c r="P371">
        <v>0.18740000000000001</v>
      </c>
      <c r="Q371">
        <v>9.5700000000000007E-2</v>
      </c>
      <c r="R371">
        <v>0</v>
      </c>
      <c r="S371">
        <v>0</v>
      </c>
      <c r="T371">
        <v>0.1202</v>
      </c>
      <c r="U371">
        <v>5</v>
      </c>
      <c r="V371">
        <v>1</v>
      </c>
      <c r="W371">
        <v>0</v>
      </c>
      <c r="X371">
        <v>0</v>
      </c>
      <c r="Y371">
        <v>0.43440000000000001</v>
      </c>
      <c r="Z371">
        <v>0.8</v>
      </c>
    </row>
    <row r="372" spans="1:26" x14ac:dyDescent="0.2">
      <c r="A372" t="s">
        <v>32</v>
      </c>
      <c r="B372">
        <v>2019</v>
      </c>
      <c r="C372" t="str">
        <f t="shared" si="5"/>
        <v>CVT2019</v>
      </c>
      <c r="D372">
        <v>1.083056685836474E-13</v>
      </c>
      <c r="E372">
        <v>0.23554461423021489</v>
      </c>
      <c r="F372">
        <v>1.044554351461342</v>
      </c>
      <c r="G372">
        <v>27.840484261962381</v>
      </c>
      <c r="H372">
        <v>0.93772880566311612</v>
      </c>
      <c r="I372">
        <v>0.43304746998025528</v>
      </c>
      <c r="J372">
        <v>-7.6420826281307308E-2</v>
      </c>
      <c r="K372">
        <v>0.22953373331413521</v>
      </c>
      <c r="L372">
        <v>0.49067111578162431</v>
      </c>
      <c r="M372">
        <v>13</v>
      </c>
      <c r="N372">
        <v>0</v>
      </c>
      <c r="O372">
        <v>1</v>
      </c>
      <c r="P372">
        <v>0.2266</v>
      </c>
      <c r="Q372">
        <v>0.12889999999999999</v>
      </c>
      <c r="R372">
        <v>0</v>
      </c>
      <c r="S372">
        <v>0</v>
      </c>
      <c r="T372">
        <v>0.1089</v>
      </c>
      <c r="U372">
        <v>7</v>
      </c>
      <c r="V372">
        <v>1</v>
      </c>
      <c r="W372">
        <v>0.14285714285714279</v>
      </c>
      <c r="X372">
        <v>1</v>
      </c>
      <c r="Y372">
        <v>0.44359999999999999</v>
      </c>
      <c r="Z372">
        <v>0.8571428571428571</v>
      </c>
    </row>
    <row r="373" spans="1:26" x14ac:dyDescent="0.2">
      <c r="A373" t="s">
        <v>32</v>
      </c>
      <c r="B373">
        <v>2020</v>
      </c>
      <c r="C373" t="str">
        <f t="shared" si="5"/>
        <v>CVT2020</v>
      </c>
      <c r="D373">
        <v>6.2081486273119192E-14</v>
      </c>
      <c r="E373">
        <v>0.1579644357511773</v>
      </c>
      <c r="F373">
        <v>1.5353353261634171</v>
      </c>
      <c r="G373">
        <v>27.963138086688119</v>
      </c>
      <c r="H373">
        <v>1.1826000968700849</v>
      </c>
      <c r="I373">
        <v>0.45217814659049582</v>
      </c>
      <c r="J373">
        <v>0.13049300447615961</v>
      </c>
      <c r="K373">
        <v>0.17811966768979701</v>
      </c>
      <c r="L373">
        <v>0.41975304669549701</v>
      </c>
      <c r="M373">
        <v>14</v>
      </c>
      <c r="N373">
        <v>1</v>
      </c>
      <c r="O373">
        <v>1</v>
      </c>
      <c r="P373">
        <v>9.5199999999999993E-2</v>
      </c>
      <c r="Q373">
        <v>1.6000000000000001E-3</v>
      </c>
      <c r="R373">
        <v>0</v>
      </c>
      <c r="S373">
        <v>0</v>
      </c>
      <c r="T373">
        <v>9.5199999999999993E-2</v>
      </c>
      <c r="U373">
        <v>7</v>
      </c>
      <c r="V373">
        <v>0</v>
      </c>
      <c r="W373">
        <v>0.14285714285714279</v>
      </c>
      <c r="X373">
        <v>1</v>
      </c>
      <c r="Y373">
        <v>0.45579999999999998</v>
      </c>
      <c r="Z373">
        <v>0.8571428571428571</v>
      </c>
    </row>
    <row r="374" spans="1:26" x14ac:dyDescent="0.2">
      <c r="A374" t="s">
        <v>32</v>
      </c>
      <c r="B374">
        <v>2021</v>
      </c>
      <c r="C374" t="str">
        <f t="shared" si="5"/>
        <v>CVT2021</v>
      </c>
      <c r="D374">
        <v>1.5981821143247988E-14</v>
      </c>
      <c r="E374">
        <v>0.12114395945229189</v>
      </c>
      <c r="F374">
        <v>1.3673729941113211</v>
      </c>
      <c r="G374">
        <v>28.517981207609999</v>
      </c>
      <c r="H374">
        <v>1.340451201010987</v>
      </c>
      <c r="I374">
        <v>0.67972254004599697</v>
      </c>
      <c r="J374">
        <v>0.74166773211263282</v>
      </c>
      <c r="K374">
        <v>8.8357544314568423E-2</v>
      </c>
      <c r="L374">
        <v>0.30845023164954688</v>
      </c>
      <c r="M374">
        <v>15</v>
      </c>
      <c r="N374">
        <v>1</v>
      </c>
      <c r="O374">
        <v>0</v>
      </c>
      <c r="P374">
        <v>0.51139999999999997</v>
      </c>
      <c r="Q374">
        <v>2.0000000000000001E-4</v>
      </c>
      <c r="R374">
        <v>0</v>
      </c>
      <c r="S374">
        <v>0</v>
      </c>
      <c r="T374">
        <v>0.51139999999999997</v>
      </c>
      <c r="U374">
        <v>5</v>
      </c>
      <c r="V374">
        <v>0</v>
      </c>
      <c r="W374">
        <v>0</v>
      </c>
      <c r="X374">
        <v>1</v>
      </c>
      <c r="Y374">
        <v>0.47639999999999999</v>
      </c>
      <c r="Z374">
        <v>1</v>
      </c>
    </row>
    <row r="375" spans="1:26" x14ac:dyDescent="0.2">
      <c r="A375" t="s">
        <v>32</v>
      </c>
      <c r="B375">
        <v>2022</v>
      </c>
      <c r="C375" t="str">
        <f t="shared" si="5"/>
        <v>CVT2022</v>
      </c>
      <c r="D375">
        <v>8.3479539912232878E-15</v>
      </c>
      <c r="E375">
        <v>0.10891865797454001</v>
      </c>
      <c r="F375">
        <v>1.192475417900563</v>
      </c>
      <c r="G375">
        <v>28.846668964220498</v>
      </c>
      <c r="H375">
        <v>1.773192668285634</v>
      </c>
      <c r="I375">
        <v>0.74152001626407726</v>
      </c>
      <c r="J375">
        <v>0.38914403682004672</v>
      </c>
      <c r="K375">
        <v>-2.7257753446196849E-2</v>
      </c>
      <c r="L375">
        <v>0.28218837212381592</v>
      </c>
      <c r="M375">
        <v>16</v>
      </c>
      <c r="N375">
        <v>1</v>
      </c>
      <c r="O375">
        <v>0</v>
      </c>
      <c r="P375">
        <v>0.51139999999999997</v>
      </c>
      <c r="Q375">
        <v>1E-4</v>
      </c>
      <c r="R375">
        <v>0</v>
      </c>
      <c r="S375">
        <v>0</v>
      </c>
      <c r="T375">
        <v>0.51139999999999997</v>
      </c>
      <c r="U375">
        <v>5</v>
      </c>
      <c r="V375">
        <v>0</v>
      </c>
      <c r="W375">
        <v>0.2</v>
      </c>
      <c r="X375">
        <v>1</v>
      </c>
      <c r="Y375">
        <v>0.44779999999999998</v>
      </c>
      <c r="Z375">
        <v>1</v>
      </c>
    </row>
    <row r="376" spans="1:26" x14ac:dyDescent="0.2">
      <c r="A376" t="s">
        <v>32</v>
      </c>
      <c r="B376">
        <v>2023</v>
      </c>
      <c r="C376" t="str">
        <f t="shared" si="5"/>
        <v>CVT2023</v>
      </c>
      <c r="D376">
        <v>924374615552.95447</v>
      </c>
      <c r="E376">
        <v>2.7818483319009501E-2</v>
      </c>
      <c r="F376">
        <v>0.90032752190462173</v>
      </c>
      <c r="G376">
        <v>28.828477557623049</v>
      </c>
      <c r="H376">
        <v>1.772247742680418</v>
      </c>
      <c r="I376">
        <v>0.55908731038893122</v>
      </c>
      <c r="J376">
        <v>-1.802694175273711E-2</v>
      </c>
      <c r="K376">
        <v>1.8953080282796599E-2</v>
      </c>
      <c r="L376">
        <v>0.25919757371503099</v>
      </c>
      <c r="M376">
        <v>17</v>
      </c>
      <c r="N376">
        <v>0</v>
      </c>
      <c r="O376">
        <v>0</v>
      </c>
      <c r="P376">
        <v>0.51139999999999997</v>
      </c>
      <c r="Q376">
        <v>1E-4</v>
      </c>
      <c r="R376">
        <v>0</v>
      </c>
      <c r="S376">
        <v>0</v>
      </c>
      <c r="T376">
        <v>0.51139999999999997</v>
      </c>
      <c r="U376">
        <v>5</v>
      </c>
      <c r="V376">
        <v>0</v>
      </c>
      <c r="W376">
        <v>0.2</v>
      </c>
      <c r="X376">
        <v>1</v>
      </c>
      <c r="Y376">
        <v>0.44779999999999998</v>
      </c>
      <c r="Z376">
        <v>1</v>
      </c>
    </row>
    <row r="377" spans="1:26" x14ac:dyDescent="0.2">
      <c r="A377" t="s">
        <v>33</v>
      </c>
      <c r="B377">
        <v>2012</v>
      </c>
      <c r="C377" t="str">
        <f t="shared" si="5"/>
        <v>DBC2012</v>
      </c>
      <c r="D377">
        <v>1.9810955079150692E-14</v>
      </c>
      <c r="E377">
        <v>0.18145364139373649</v>
      </c>
      <c r="F377">
        <v>0.89186955758299891</v>
      </c>
      <c r="G377">
        <v>28.898110995314461</v>
      </c>
      <c r="H377">
        <v>1.6795964807632899</v>
      </c>
      <c r="I377">
        <v>0.61235885480908614</v>
      </c>
      <c r="J377">
        <v>0.10888771673950499</v>
      </c>
      <c r="K377">
        <v>7.7269022553501071E-2</v>
      </c>
      <c r="L377">
        <v>0.22171558031920249</v>
      </c>
      <c r="M377">
        <v>8</v>
      </c>
      <c r="N377">
        <v>1</v>
      </c>
      <c r="O377">
        <v>0</v>
      </c>
      <c r="P377">
        <v>0.54210000000000003</v>
      </c>
      <c r="Q377">
        <v>0.1575</v>
      </c>
      <c r="R377">
        <v>0.2445</v>
      </c>
      <c r="S377">
        <v>9.5600000000000004E-2</v>
      </c>
      <c r="T377">
        <v>0.39929999999999999</v>
      </c>
      <c r="U377">
        <v>9</v>
      </c>
      <c r="V377">
        <v>1</v>
      </c>
      <c r="W377">
        <v>0.1111111111111111</v>
      </c>
      <c r="X377">
        <v>0</v>
      </c>
      <c r="Y377">
        <v>0.47920000000000001</v>
      </c>
      <c r="Z377">
        <v>1</v>
      </c>
    </row>
    <row r="378" spans="1:26" x14ac:dyDescent="0.2">
      <c r="A378" t="s">
        <v>33</v>
      </c>
      <c r="B378">
        <v>2013</v>
      </c>
      <c r="C378" t="str">
        <f t="shared" si="5"/>
        <v>DBC2013</v>
      </c>
      <c r="D378">
        <v>1.1864862209407971E-14</v>
      </c>
      <c r="E378">
        <v>0.1109620173141644</v>
      </c>
      <c r="F378">
        <v>0.87250491613746028</v>
      </c>
      <c r="G378">
        <v>29.020758829665251</v>
      </c>
      <c r="H378">
        <v>1.353826027853543</v>
      </c>
      <c r="I378">
        <v>0.57081575041086041</v>
      </c>
      <c r="J378">
        <v>0.130486232420048</v>
      </c>
      <c r="K378">
        <v>3.1417131397519872E-2</v>
      </c>
      <c r="L378">
        <v>0.24352876078270219</v>
      </c>
      <c r="M378">
        <v>9</v>
      </c>
      <c r="N378">
        <v>1</v>
      </c>
      <c r="O378">
        <v>0</v>
      </c>
      <c r="P378">
        <v>0.45</v>
      </c>
      <c r="Q378">
        <v>0.1646</v>
      </c>
      <c r="R378">
        <v>0.2044</v>
      </c>
      <c r="S378">
        <v>9.5600000000000004E-2</v>
      </c>
      <c r="T378">
        <v>0.3</v>
      </c>
      <c r="U378">
        <v>9</v>
      </c>
      <c r="V378">
        <v>1</v>
      </c>
      <c r="W378">
        <v>0.1111111111111111</v>
      </c>
      <c r="X378">
        <v>0</v>
      </c>
      <c r="Y378">
        <v>0.48920000000000002</v>
      </c>
      <c r="Z378">
        <v>1</v>
      </c>
    </row>
    <row r="379" spans="1:26" x14ac:dyDescent="0.2">
      <c r="A379" t="s">
        <v>33</v>
      </c>
      <c r="B379">
        <v>2014</v>
      </c>
      <c r="C379" t="str">
        <f t="shared" si="5"/>
        <v>DBC2014</v>
      </c>
      <c r="D379">
        <v>1.155285341774176E-14</v>
      </c>
      <c r="E379">
        <v>0.1124282331698216</v>
      </c>
      <c r="F379">
        <v>0.9751540370283972</v>
      </c>
      <c r="G379">
        <v>29.070941950851399</v>
      </c>
      <c r="H379">
        <v>1.3964424921612359</v>
      </c>
      <c r="I379">
        <v>0.56632583561894534</v>
      </c>
      <c r="J379">
        <v>5.1463624013035059E-2</v>
      </c>
      <c r="K379">
        <v>0.1075389891470719</v>
      </c>
      <c r="L379">
        <v>0.39554074272059769</v>
      </c>
      <c r="M379">
        <v>10</v>
      </c>
      <c r="N379">
        <v>1</v>
      </c>
      <c r="O379">
        <v>0</v>
      </c>
      <c r="P379">
        <v>0.33410000000000012</v>
      </c>
      <c r="Q379">
        <v>0.2293</v>
      </c>
      <c r="R379">
        <v>8.72E-2</v>
      </c>
      <c r="S379">
        <v>0</v>
      </c>
      <c r="T379">
        <v>0.15140000000000001</v>
      </c>
      <c r="U379">
        <v>9</v>
      </c>
      <c r="V379">
        <v>1</v>
      </c>
      <c r="W379">
        <v>0.1111111111111111</v>
      </c>
      <c r="X379">
        <v>0</v>
      </c>
      <c r="Y379">
        <v>0.48930000000000001</v>
      </c>
      <c r="Z379">
        <v>1</v>
      </c>
    </row>
    <row r="380" spans="1:26" x14ac:dyDescent="0.2">
      <c r="A380" t="s">
        <v>33</v>
      </c>
      <c r="B380">
        <v>2015</v>
      </c>
      <c r="C380" t="str">
        <f t="shared" si="5"/>
        <v>DBC2015</v>
      </c>
      <c r="D380">
        <v>1.1870119841659421E-14</v>
      </c>
      <c r="E380">
        <v>0.12989590857125161</v>
      </c>
      <c r="F380">
        <v>0.93579167261158624</v>
      </c>
      <c r="G380">
        <v>29.160378644180462</v>
      </c>
      <c r="H380">
        <v>1.1395284723745509</v>
      </c>
      <c r="I380">
        <v>0.57825381085867444</v>
      </c>
      <c r="J380">
        <v>9.3558101598072665E-2</v>
      </c>
      <c r="K380">
        <v>5.2803920628361388E-2</v>
      </c>
      <c r="L380">
        <v>0.31917229913862338</v>
      </c>
      <c r="M380">
        <v>11</v>
      </c>
      <c r="N380">
        <v>1</v>
      </c>
      <c r="O380">
        <v>0</v>
      </c>
      <c r="P380">
        <v>0.3306</v>
      </c>
      <c r="Q380">
        <v>0.24060000000000001</v>
      </c>
      <c r="R380">
        <v>8.72E-2</v>
      </c>
      <c r="S380">
        <v>0</v>
      </c>
      <c r="T380">
        <v>0.1479</v>
      </c>
      <c r="U380">
        <v>8</v>
      </c>
      <c r="V380">
        <v>0</v>
      </c>
      <c r="W380">
        <v>0.125</v>
      </c>
      <c r="X380">
        <v>1</v>
      </c>
      <c r="Y380">
        <v>0.48249999999999998</v>
      </c>
      <c r="Z380">
        <v>1</v>
      </c>
    </row>
    <row r="381" spans="1:26" x14ac:dyDescent="0.2">
      <c r="A381" t="s">
        <v>33</v>
      </c>
      <c r="B381">
        <v>2016</v>
      </c>
      <c r="C381" t="str">
        <f t="shared" si="5"/>
        <v>DBC2016</v>
      </c>
      <c r="D381">
        <v>1.47588030599787E-14</v>
      </c>
      <c r="E381">
        <v>0.1928992103803398</v>
      </c>
      <c r="F381">
        <v>1.0807677019247399</v>
      </c>
      <c r="G381">
        <v>29.341077245298699</v>
      </c>
      <c r="H381">
        <v>1.29364738171833</v>
      </c>
      <c r="I381">
        <v>0.57695299142687462</v>
      </c>
      <c r="J381">
        <v>0.19805403272559169</v>
      </c>
      <c r="K381">
        <v>5.3184771777422563E-2</v>
      </c>
      <c r="L381">
        <v>0.40845293999529958</v>
      </c>
      <c r="M381">
        <v>12</v>
      </c>
      <c r="N381">
        <v>1</v>
      </c>
      <c r="O381">
        <v>0</v>
      </c>
      <c r="P381">
        <v>0.375</v>
      </c>
      <c r="Q381">
        <v>0.24010000000000001</v>
      </c>
      <c r="R381">
        <v>8.6999999999999994E-2</v>
      </c>
      <c r="S381">
        <v>0</v>
      </c>
      <c r="T381">
        <v>0.192</v>
      </c>
      <c r="U381">
        <v>8</v>
      </c>
      <c r="V381">
        <v>0</v>
      </c>
      <c r="W381">
        <v>0.125</v>
      </c>
      <c r="X381">
        <v>1</v>
      </c>
      <c r="Y381">
        <v>0.48180000000000001</v>
      </c>
      <c r="Z381">
        <v>1</v>
      </c>
    </row>
    <row r="382" spans="1:26" x14ac:dyDescent="0.2">
      <c r="A382" t="s">
        <v>33</v>
      </c>
      <c r="B382">
        <v>2017</v>
      </c>
      <c r="C382" t="str">
        <f t="shared" si="5"/>
        <v>DBC2017</v>
      </c>
      <c r="D382">
        <v>4.0963919392019701E-15</v>
      </c>
      <c r="E382">
        <v>7.9958401007672472E-2</v>
      </c>
      <c r="F382">
        <v>0.98912101425932919</v>
      </c>
      <c r="G382">
        <v>29.57538949953322</v>
      </c>
      <c r="H382">
        <v>1.227639189374762</v>
      </c>
      <c r="I382">
        <v>0.64193171014355399</v>
      </c>
      <c r="J382">
        <v>0.26403913216219638</v>
      </c>
      <c r="K382">
        <v>1.754067214899285E-2</v>
      </c>
      <c r="L382">
        <v>0.50009927870912096</v>
      </c>
      <c r="M382">
        <v>13</v>
      </c>
      <c r="N382">
        <v>1</v>
      </c>
      <c r="O382">
        <v>0</v>
      </c>
      <c r="P382">
        <v>0.375</v>
      </c>
      <c r="Q382">
        <v>0.2402</v>
      </c>
      <c r="R382">
        <v>8.6999999999999994E-2</v>
      </c>
      <c r="S382">
        <v>0</v>
      </c>
      <c r="T382">
        <v>0.192</v>
      </c>
      <c r="U382">
        <v>8</v>
      </c>
      <c r="V382">
        <v>0</v>
      </c>
      <c r="W382">
        <v>0.125</v>
      </c>
      <c r="X382">
        <v>1</v>
      </c>
      <c r="Y382">
        <v>0.50409999999999999</v>
      </c>
      <c r="Z382">
        <v>1</v>
      </c>
    </row>
    <row r="383" spans="1:26" x14ac:dyDescent="0.2">
      <c r="A383" t="s">
        <v>33</v>
      </c>
      <c r="B383">
        <v>2018</v>
      </c>
      <c r="C383" t="str">
        <f t="shared" si="5"/>
        <v>DBC2018</v>
      </c>
      <c r="D383">
        <v>5.1666849827138539E-15</v>
      </c>
      <c r="E383">
        <v>0.13116025009603319</v>
      </c>
      <c r="F383">
        <v>0.92895241052650501</v>
      </c>
      <c r="G383">
        <v>29.753284265471091</v>
      </c>
      <c r="H383">
        <v>0.96116533802106208</v>
      </c>
      <c r="I383">
        <v>0.67107497079499723</v>
      </c>
      <c r="J383">
        <v>0.1946995915283512</v>
      </c>
      <c r="K383">
        <v>3.0881357964651732E-2</v>
      </c>
      <c r="L383">
        <v>0.5315907224417924</v>
      </c>
      <c r="M383">
        <v>14</v>
      </c>
      <c r="N383">
        <v>1</v>
      </c>
      <c r="O383">
        <v>0</v>
      </c>
      <c r="P383">
        <v>0.375</v>
      </c>
      <c r="Q383">
        <v>0.23930000000000001</v>
      </c>
      <c r="R383">
        <v>8.6999999999999994E-2</v>
      </c>
      <c r="S383">
        <v>0</v>
      </c>
      <c r="T383">
        <v>0.192</v>
      </c>
      <c r="U383">
        <v>8</v>
      </c>
      <c r="V383">
        <v>0</v>
      </c>
      <c r="W383">
        <v>0.125</v>
      </c>
      <c r="X383">
        <v>1</v>
      </c>
      <c r="Y383">
        <v>0.50880000000000003</v>
      </c>
      <c r="Z383">
        <v>1</v>
      </c>
    </row>
    <row r="384" spans="1:26" x14ac:dyDescent="0.2">
      <c r="A384" t="s">
        <v>33</v>
      </c>
      <c r="B384">
        <v>2019</v>
      </c>
      <c r="C384" t="str">
        <f t="shared" si="5"/>
        <v>DBC2019</v>
      </c>
      <c r="D384">
        <v>3.3164519703241529E-15</v>
      </c>
      <c r="E384">
        <v>0.1008375842541432</v>
      </c>
      <c r="F384">
        <v>0.91532130776874721</v>
      </c>
      <c r="G384">
        <v>29.891942706579758</v>
      </c>
      <c r="H384">
        <v>0.92535708377630543</v>
      </c>
      <c r="I384">
        <v>0.68453073776628437</v>
      </c>
      <c r="J384">
        <v>0.14873167347220481</v>
      </c>
      <c r="K384">
        <v>5.4271018835100188E-2</v>
      </c>
      <c r="L384">
        <v>0.52761150995082695</v>
      </c>
      <c r="M384">
        <v>15</v>
      </c>
      <c r="N384">
        <v>1</v>
      </c>
      <c r="O384">
        <v>1</v>
      </c>
      <c r="P384">
        <v>0.33979999999999999</v>
      </c>
      <c r="Q384">
        <v>0.23930000000000001</v>
      </c>
      <c r="R384">
        <v>8.72E-2</v>
      </c>
      <c r="S384">
        <v>0</v>
      </c>
      <c r="T384">
        <v>0.15709999999999999</v>
      </c>
      <c r="U384">
        <v>8</v>
      </c>
      <c r="V384">
        <v>0</v>
      </c>
      <c r="W384">
        <v>0.125</v>
      </c>
      <c r="X384">
        <v>1</v>
      </c>
      <c r="Y384">
        <v>0.51</v>
      </c>
      <c r="Z384">
        <v>1</v>
      </c>
    </row>
    <row r="385" spans="1:26" x14ac:dyDescent="0.2">
      <c r="A385" t="s">
        <v>33</v>
      </c>
      <c r="B385">
        <v>2020</v>
      </c>
      <c r="C385" t="str">
        <f t="shared" si="5"/>
        <v>DBC2020</v>
      </c>
      <c r="D385">
        <v>1.3723591668122229E-14</v>
      </c>
      <c r="E385">
        <v>0.33285221843256801</v>
      </c>
      <c r="F385">
        <v>1.1715777660410469</v>
      </c>
      <c r="G385">
        <v>29.943682402670639</v>
      </c>
      <c r="H385">
        <v>0.908331118041934</v>
      </c>
      <c r="I385">
        <v>0.58352171051281232</v>
      </c>
      <c r="J385">
        <v>5.3101580374098178E-2</v>
      </c>
      <c r="K385">
        <v>0.21778289453768351</v>
      </c>
      <c r="L385">
        <v>0.51819218900397979</v>
      </c>
      <c r="M385">
        <v>16</v>
      </c>
      <c r="N385">
        <v>1</v>
      </c>
      <c r="O385">
        <v>1</v>
      </c>
      <c r="P385">
        <v>0.26989999999999997</v>
      </c>
      <c r="Q385">
        <v>0.2248</v>
      </c>
      <c r="R385">
        <v>8.72E-2</v>
      </c>
      <c r="S385">
        <v>0</v>
      </c>
      <c r="T385">
        <v>8.72E-2</v>
      </c>
      <c r="U385">
        <v>9</v>
      </c>
      <c r="V385">
        <v>0</v>
      </c>
      <c r="W385">
        <v>0.22222222222222221</v>
      </c>
      <c r="X385">
        <v>1</v>
      </c>
      <c r="Y385">
        <v>0.53920000000000001</v>
      </c>
      <c r="Z385">
        <v>1</v>
      </c>
    </row>
    <row r="386" spans="1:26" x14ac:dyDescent="0.2">
      <c r="A386" t="s">
        <v>33</v>
      </c>
      <c r="B386">
        <v>2021</v>
      </c>
      <c r="C386" t="str">
        <f t="shared" si="5"/>
        <v>DBC2021</v>
      </c>
      <c r="D386">
        <v>7.0304447780436019E-15</v>
      </c>
      <c r="E386">
        <v>0.1770319130678093</v>
      </c>
      <c r="F386">
        <v>1.3430643630989569</v>
      </c>
      <c r="G386">
        <v>30.016342604634609</v>
      </c>
      <c r="H386">
        <v>1.093664771698359</v>
      </c>
      <c r="I386">
        <v>0.56861682859268181</v>
      </c>
      <c r="J386">
        <v>7.1681040366090354E-2</v>
      </c>
      <c r="K386">
        <v>5.6770669047652197E-2</v>
      </c>
      <c r="L386">
        <v>0.46663573956524701</v>
      </c>
      <c r="M386">
        <v>17</v>
      </c>
      <c r="N386">
        <v>1</v>
      </c>
      <c r="O386">
        <v>0</v>
      </c>
      <c r="P386">
        <v>0.28289999999999998</v>
      </c>
      <c r="Q386">
        <v>0.32500000000000001</v>
      </c>
      <c r="R386">
        <v>0</v>
      </c>
      <c r="S386">
        <v>0</v>
      </c>
      <c r="T386">
        <v>0</v>
      </c>
      <c r="U386">
        <v>9</v>
      </c>
      <c r="V386">
        <v>0</v>
      </c>
      <c r="W386">
        <v>0.22222222222222221</v>
      </c>
      <c r="X386">
        <v>1</v>
      </c>
      <c r="Y386">
        <v>0.54920000000000002</v>
      </c>
      <c r="Z386">
        <v>1</v>
      </c>
    </row>
    <row r="387" spans="1:26" x14ac:dyDescent="0.2">
      <c r="A387" t="s">
        <v>33</v>
      </c>
      <c r="B387">
        <v>2022</v>
      </c>
      <c r="C387" t="str">
        <f t="shared" ref="C387:C450" si="6">A387&amp;B387</f>
        <v>DBC2022</v>
      </c>
      <c r="D387">
        <v>3.0860026019160988E-17</v>
      </c>
      <c r="E387">
        <v>1.1192269532806711E-3</v>
      </c>
      <c r="F387">
        <v>0.90527272952480575</v>
      </c>
      <c r="G387">
        <v>30.19397648065727</v>
      </c>
      <c r="H387">
        <v>1.09264328353719</v>
      </c>
      <c r="I387">
        <v>0.64226988689419529</v>
      </c>
      <c r="J387">
        <v>0.19849379381220661</v>
      </c>
      <c r="K387">
        <v>2.6116630154735379E-2</v>
      </c>
      <c r="L387">
        <v>0.43929270851754942</v>
      </c>
      <c r="M387">
        <v>18</v>
      </c>
      <c r="N387">
        <v>1</v>
      </c>
      <c r="O387">
        <v>0</v>
      </c>
      <c r="P387">
        <v>0.24160000000000001</v>
      </c>
      <c r="Q387">
        <v>0.28120000000000001</v>
      </c>
      <c r="R387">
        <v>0</v>
      </c>
      <c r="S387">
        <v>0</v>
      </c>
      <c r="T387">
        <v>0</v>
      </c>
      <c r="U387">
        <v>9</v>
      </c>
      <c r="V387">
        <v>0</v>
      </c>
      <c r="W387">
        <v>0.22222222222222221</v>
      </c>
      <c r="X387">
        <v>1</v>
      </c>
      <c r="Y387">
        <v>0.54770000000000008</v>
      </c>
      <c r="Z387">
        <v>1</v>
      </c>
    </row>
    <row r="388" spans="1:26" x14ac:dyDescent="0.2">
      <c r="A388" t="s">
        <v>33</v>
      </c>
      <c r="B388">
        <v>2023</v>
      </c>
      <c r="C388" t="str">
        <f t="shared" si="6"/>
        <v>DBC2023</v>
      </c>
      <c r="D388">
        <v>26370138562034.859</v>
      </c>
      <c r="E388">
        <v>3.5001683905285892E-3</v>
      </c>
      <c r="F388">
        <v>0.96051877989378653</v>
      </c>
      <c r="G388">
        <v>30.19687039586697</v>
      </c>
      <c r="H388">
        <v>0.97949560547130998</v>
      </c>
      <c r="I388">
        <v>0.45091213612240072</v>
      </c>
      <c r="J388">
        <v>2.8981066245450382E-3</v>
      </c>
      <c r="K388">
        <v>-7.2137949760050071E-2</v>
      </c>
      <c r="L388">
        <v>0.43223570997307598</v>
      </c>
      <c r="M388">
        <v>19</v>
      </c>
      <c r="N388">
        <v>0</v>
      </c>
      <c r="O388">
        <v>0</v>
      </c>
      <c r="P388">
        <v>0.24160000000000001</v>
      </c>
      <c r="Q388">
        <v>0.28120000000000001</v>
      </c>
      <c r="R388">
        <v>0</v>
      </c>
      <c r="S388">
        <v>0</v>
      </c>
      <c r="T388">
        <v>0</v>
      </c>
      <c r="U388">
        <v>9</v>
      </c>
      <c r="V388">
        <v>0</v>
      </c>
      <c r="W388">
        <v>0.22222222222222221</v>
      </c>
      <c r="X388">
        <v>1</v>
      </c>
      <c r="Y388">
        <v>0.54770000000000008</v>
      </c>
      <c r="Z388">
        <v>1</v>
      </c>
    </row>
    <row r="389" spans="1:26" x14ac:dyDescent="0.2">
      <c r="A389" t="s">
        <v>34</v>
      </c>
      <c r="B389">
        <v>2014</v>
      </c>
      <c r="C389" t="str">
        <f t="shared" si="6"/>
        <v>DBD2014</v>
      </c>
      <c r="D389">
        <v>0</v>
      </c>
      <c r="E389">
        <v>0</v>
      </c>
      <c r="F389">
        <v>2.1518834186207898</v>
      </c>
      <c r="G389">
        <v>27.403325668038029</v>
      </c>
      <c r="H389" t="e">
        <v>#N/A</v>
      </c>
      <c r="I389">
        <v>0.61139919091054507</v>
      </c>
      <c r="J389">
        <v>0</v>
      </c>
      <c r="K389">
        <v>0.39487178828881458</v>
      </c>
      <c r="L389">
        <v>0.13459598946221779</v>
      </c>
      <c r="M389">
        <v>19</v>
      </c>
      <c r="N389">
        <v>1</v>
      </c>
      <c r="O389">
        <v>0</v>
      </c>
      <c r="P389">
        <v>0.33339999999999997</v>
      </c>
      <c r="Q389">
        <v>4.41E-2</v>
      </c>
      <c r="R389">
        <v>0</v>
      </c>
      <c r="S389">
        <v>0.33339999999999997</v>
      </c>
      <c r="T389">
        <v>0.33339999999999997</v>
      </c>
      <c r="U389">
        <v>7</v>
      </c>
      <c r="V389">
        <v>1</v>
      </c>
      <c r="W389">
        <v>0.42857142857142849</v>
      </c>
      <c r="X389">
        <v>0</v>
      </c>
      <c r="Y389">
        <v>0.45800000000000002</v>
      </c>
      <c r="Z389">
        <v>1</v>
      </c>
    </row>
    <row r="390" spans="1:26" x14ac:dyDescent="0.2">
      <c r="A390" t="s">
        <v>34</v>
      </c>
      <c r="B390">
        <v>2015</v>
      </c>
      <c r="C390" t="str">
        <f t="shared" si="6"/>
        <v>DBD2015</v>
      </c>
      <c r="D390">
        <v>1.8831128675268149E-13</v>
      </c>
      <c r="E390">
        <v>0.38756216833566209</v>
      </c>
      <c r="F390">
        <v>2.299532009300667</v>
      </c>
      <c r="G390">
        <v>27.696746305491551</v>
      </c>
      <c r="H390" t="e">
        <v>#N/A</v>
      </c>
      <c r="I390">
        <v>0.48110550759219778</v>
      </c>
      <c r="J390">
        <v>0</v>
      </c>
      <c r="K390">
        <v>0.258773264371437</v>
      </c>
      <c r="L390">
        <v>0.1376586357365546</v>
      </c>
      <c r="M390">
        <v>20</v>
      </c>
      <c r="N390">
        <v>1</v>
      </c>
      <c r="O390">
        <v>0</v>
      </c>
      <c r="P390">
        <v>0.33339999999999997</v>
      </c>
      <c r="Q390">
        <v>4.41E-2</v>
      </c>
      <c r="R390">
        <v>0</v>
      </c>
      <c r="S390">
        <v>0.33339999999999997</v>
      </c>
      <c r="T390">
        <v>0.33339999999999997</v>
      </c>
      <c r="U390">
        <v>7</v>
      </c>
      <c r="V390">
        <v>1</v>
      </c>
      <c r="W390">
        <v>0.42857142857142849</v>
      </c>
      <c r="X390">
        <v>1</v>
      </c>
      <c r="Y390">
        <v>0.45800000000000002</v>
      </c>
      <c r="Z390">
        <v>1</v>
      </c>
    </row>
    <row r="391" spans="1:26" x14ac:dyDescent="0.2">
      <c r="A391" t="s">
        <v>34</v>
      </c>
      <c r="B391">
        <v>2016</v>
      </c>
      <c r="C391" t="str">
        <f t="shared" si="6"/>
        <v>DBD2016</v>
      </c>
      <c r="D391">
        <v>6.8781987647726154E-14</v>
      </c>
      <c r="E391">
        <v>0.18303516225917921</v>
      </c>
      <c r="F391">
        <v>1.8322083234669391</v>
      </c>
      <c r="G391">
        <v>27.991670120674829</v>
      </c>
      <c r="H391">
        <v>1.6025397014374361</v>
      </c>
      <c r="I391">
        <v>0.46102568912046388</v>
      </c>
      <c r="J391">
        <v>0.34302403674854609</v>
      </c>
      <c r="K391">
        <v>8.9010861093603469E-2</v>
      </c>
      <c r="L391">
        <v>0.14891812246166899</v>
      </c>
      <c r="M391">
        <v>21</v>
      </c>
      <c r="N391">
        <v>1</v>
      </c>
      <c r="O391">
        <v>0</v>
      </c>
      <c r="P391">
        <v>0.33339999999999997</v>
      </c>
      <c r="Q391">
        <v>4.41E-2</v>
      </c>
      <c r="R391">
        <v>0</v>
      </c>
      <c r="S391">
        <v>0.33339999999999997</v>
      </c>
      <c r="T391">
        <v>0.33339999999999997</v>
      </c>
      <c r="U391">
        <v>7</v>
      </c>
      <c r="V391">
        <v>1</v>
      </c>
      <c r="W391">
        <v>0.42857142857142849</v>
      </c>
      <c r="X391">
        <v>1</v>
      </c>
      <c r="Y391">
        <v>0.45800000000000002</v>
      </c>
      <c r="Z391">
        <v>1</v>
      </c>
    </row>
    <row r="392" spans="1:26" x14ac:dyDescent="0.2">
      <c r="A392" t="s">
        <v>34</v>
      </c>
      <c r="B392">
        <v>2017</v>
      </c>
      <c r="C392" t="str">
        <f t="shared" si="6"/>
        <v>DBD2017</v>
      </c>
      <c r="D392">
        <v>6.8940751093928372E-14</v>
      </c>
      <c r="E392">
        <v>0.1973454633944986</v>
      </c>
      <c r="F392">
        <v>2.322759605354209</v>
      </c>
      <c r="G392">
        <v>28.065520630097229</v>
      </c>
      <c r="H392">
        <v>1.671371152548178</v>
      </c>
      <c r="I392">
        <v>0.46055197824332378</v>
      </c>
      <c r="J392">
        <v>7.6645845056229289E-2</v>
      </c>
      <c r="K392">
        <v>2.3175823458039389E-2</v>
      </c>
      <c r="L392">
        <v>0.13330098518432951</v>
      </c>
      <c r="M392">
        <v>22</v>
      </c>
      <c r="N392">
        <v>1</v>
      </c>
      <c r="O392">
        <v>0</v>
      </c>
      <c r="P392">
        <v>0.13339999999999999</v>
      </c>
      <c r="Q392">
        <v>3.9100000000000003E-2</v>
      </c>
      <c r="R392">
        <v>0</v>
      </c>
      <c r="S392">
        <v>0.13339999999999999</v>
      </c>
      <c r="T392">
        <v>0.13339999999999999</v>
      </c>
      <c r="U392">
        <v>7</v>
      </c>
      <c r="V392">
        <v>1</v>
      </c>
      <c r="W392">
        <v>0.42857142857142849</v>
      </c>
      <c r="X392">
        <v>1</v>
      </c>
      <c r="Y392">
        <v>0.46800000000000003</v>
      </c>
      <c r="Z392">
        <v>1</v>
      </c>
    </row>
    <row r="393" spans="1:26" x14ac:dyDescent="0.2">
      <c r="A393" t="s">
        <v>34</v>
      </c>
      <c r="B393">
        <v>2018</v>
      </c>
      <c r="C393" t="str">
        <f t="shared" si="6"/>
        <v>DBD2018</v>
      </c>
      <c r="D393">
        <v>7.9231091279271483E-14</v>
      </c>
      <c r="E393">
        <v>0.18301691270344381</v>
      </c>
      <c r="F393">
        <v>1.8507154782494331</v>
      </c>
      <c r="G393">
        <v>27.99172654058669</v>
      </c>
      <c r="H393">
        <v>1.700822822307376</v>
      </c>
      <c r="I393">
        <v>0.37904977585289629</v>
      </c>
      <c r="J393">
        <v>-7.11370632268985E-2</v>
      </c>
      <c r="K393">
        <v>9.031620197783792E-2</v>
      </c>
      <c r="L393">
        <v>0.13457519557324099</v>
      </c>
      <c r="M393">
        <v>23</v>
      </c>
      <c r="N393">
        <v>1</v>
      </c>
      <c r="O393">
        <v>0</v>
      </c>
      <c r="P393">
        <v>0.13339999999999999</v>
      </c>
      <c r="Q393">
        <v>3.8600000000000002E-2</v>
      </c>
      <c r="R393">
        <v>0</v>
      </c>
      <c r="S393">
        <v>0.13339999999999999</v>
      </c>
      <c r="T393">
        <v>0.13339999999999999</v>
      </c>
      <c r="U393">
        <v>7</v>
      </c>
      <c r="V393">
        <v>1</v>
      </c>
      <c r="W393">
        <v>0.42857142857142849</v>
      </c>
      <c r="X393">
        <v>1</v>
      </c>
      <c r="Y393">
        <v>0.48099999999999998</v>
      </c>
      <c r="Z393">
        <v>1</v>
      </c>
    </row>
    <row r="394" spans="1:26" x14ac:dyDescent="0.2">
      <c r="A394" t="s">
        <v>34</v>
      </c>
      <c r="B394">
        <v>2019</v>
      </c>
      <c r="C394" t="str">
        <f t="shared" si="6"/>
        <v>DBD2019</v>
      </c>
      <c r="D394">
        <v>5.4157285440846349E-14</v>
      </c>
      <c r="E394">
        <v>0.1525213384748933</v>
      </c>
      <c r="F394">
        <v>2.195799406755909</v>
      </c>
      <c r="G394">
        <v>28.113788515987071</v>
      </c>
      <c r="H394">
        <v>2.0534821776582461</v>
      </c>
      <c r="I394">
        <v>0.42457397782139661</v>
      </c>
      <c r="J394">
        <v>0.129824120912823</v>
      </c>
      <c r="K394">
        <v>1.269889394396915E-2</v>
      </c>
      <c r="L394">
        <v>0.2129030118771657</v>
      </c>
      <c r="M394">
        <v>24</v>
      </c>
      <c r="N394">
        <v>1</v>
      </c>
      <c r="O394">
        <v>1</v>
      </c>
      <c r="P394">
        <v>0.13339999999999999</v>
      </c>
      <c r="Q394">
        <v>3.4599999999999999E-2</v>
      </c>
      <c r="R394">
        <v>0</v>
      </c>
      <c r="S394">
        <v>0.13339999999999999</v>
      </c>
      <c r="T394">
        <v>0.13339999999999999</v>
      </c>
      <c r="U394">
        <v>7</v>
      </c>
      <c r="V394">
        <v>0</v>
      </c>
      <c r="W394">
        <v>0</v>
      </c>
      <c r="X394">
        <v>1</v>
      </c>
      <c r="Y394">
        <v>0.47210000000000002</v>
      </c>
      <c r="Z394">
        <v>0.8571428571428571</v>
      </c>
    </row>
    <row r="395" spans="1:26" x14ac:dyDescent="0.2">
      <c r="A395" t="s">
        <v>34</v>
      </c>
      <c r="B395">
        <v>2020</v>
      </c>
      <c r="C395" t="str">
        <f t="shared" si="6"/>
        <v>DBD2020</v>
      </c>
      <c r="D395">
        <v>7.640291311141934E-14</v>
      </c>
      <c r="E395">
        <v>0.15967579228838499</v>
      </c>
      <c r="F395">
        <v>2.0941234787322971</v>
      </c>
      <c r="G395">
        <v>27.993863607092781</v>
      </c>
      <c r="H395">
        <v>1.772853299321909</v>
      </c>
      <c r="I395">
        <v>0.31221717001951488</v>
      </c>
      <c r="J395">
        <v>-0.11301296094598599</v>
      </c>
      <c r="K395">
        <v>0.1545703440813127</v>
      </c>
      <c r="L395">
        <v>0.24868970517610919</v>
      </c>
      <c r="M395">
        <v>25</v>
      </c>
      <c r="N395">
        <v>1</v>
      </c>
      <c r="O395">
        <v>1</v>
      </c>
      <c r="P395">
        <v>0.13339999999999999</v>
      </c>
      <c r="Q395">
        <v>3.4599999999999999E-2</v>
      </c>
      <c r="R395">
        <v>0</v>
      </c>
      <c r="S395">
        <v>0.13339999999999999</v>
      </c>
      <c r="T395">
        <v>0.13339999999999999</v>
      </c>
      <c r="U395">
        <v>7</v>
      </c>
      <c r="V395">
        <v>0</v>
      </c>
      <c r="W395">
        <v>0</v>
      </c>
      <c r="X395">
        <v>1</v>
      </c>
      <c r="Y395">
        <v>0.48209999999999997</v>
      </c>
      <c r="Z395">
        <v>0.8571428571428571</v>
      </c>
    </row>
    <row r="396" spans="1:26" x14ac:dyDescent="0.2">
      <c r="A396" t="s">
        <v>34</v>
      </c>
      <c r="B396">
        <v>2021</v>
      </c>
      <c r="C396" t="str">
        <f t="shared" si="6"/>
        <v>DBD2021</v>
      </c>
      <c r="D396">
        <v>7.7761548509401351E-14</v>
      </c>
      <c r="E396">
        <v>0.16581803751907931</v>
      </c>
      <c r="F396">
        <v>2.1846330459854011</v>
      </c>
      <c r="G396">
        <v>28.07539790677065</v>
      </c>
      <c r="H396">
        <v>2.4027369551213891</v>
      </c>
      <c r="I396">
        <v>0.26865294382941779</v>
      </c>
      <c r="J396">
        <v>8.4950430396075985E-2</v>
      </c>
      <c r="K396">
        <v>7.8765095740312596E-2</v>
      </c>
      <c r="L396">
        <v>0.23793334025607349</v>
      </c>
      <c r="M396">
        <v>26</v>
      </c>
      <c r="N396">
        <v>1</v>
      </c>
      <c r="O396">
        <v>0</v>
      </c>
      <c r="P396">
        <v>0.13339999999999999</v>
      </c>
      <c r="Q396">
        <v>3.2599999999999997E-2</v>
      </c>
      <c r="R396">
        <v>0</v>
      </c>
      <c r="S396">
        <v>0.13339999999999999</v>
      </c>
      <c r="T396">
        <v>0.13339999999999999</v>
      </c>
      <c r="U396">
        <v>6</v>
      </c>
      <c r="V396">
        <v>0</v>
      </c>
      <c r="W396">
        <v>0.1666666666666666</v>
      </c>
      <c r="X396">
        <v>1</v>
      </c>
      <c r="Y396">
        <v>0.51729999999999998</v>
      </c>
      <c r="Z396">
        <v>0.83333333333333337</v>
      </c>
    </row>
    <row r="397" spans="1:26" x14ac:dyDescent="0.2">
      <c r="A397" t="s">
        <v>34</v>
      </c>
      <c r="B397">
        <v>2022</v>
      </c>
      <c r="C397" t="str">
        <f t="shared" si="6"/>
        <v>DBD2022</v>
      </c>
      <c r="D397">
        <v>6.7771976723200827E-14</v>
      </c>
      <c r="E397">
        <v>0.1797272946395988</v>
      </c>
      <c r="F397">
        <v>1.842656270225552</v>
      </c>
      <c r="G397">
        <v>28.270618357501689</v>
      </c>
      <c r="H397">
        <v>3.304215919576809</v>
      </c>
      <c r="I397">
        <v>0.28515864632557342</v>
      </c>
      <c r="J397">
        <v>0.2155789322184738</v>
      </c>
      <c r="K397">
        <v>9.0908991967358188E-2</v>
      </c>
      <c r="L397">
        <v>0.2077293323648596</v>
      </c>
      <c r="M397">
        <v>27</v>
      </c>
      <c r="N397">
        <v>1</v>
      </c>
      <c r="O397">
        <v>0</v>
      </c>
      <c r="P397">
        <v>0.13339999999999999</v>
      </c>
      <c r="Q397">
        <v>2.5700000000000001E-2</v>
      </c>
      <c r="R397">
        <v>0</v>
      </c>
      <c r="S397">
        <v>0.13339999999999999</v>
      </c>
      <c r="T397">
        <v>0.13339999999999999</v>
      </c>
      <c r="U397">
        <v>6</v>
      </c>
      <c r="V397">
        <v>0</v>
      </c>
      <c r="W397">
        <v>0.1666666666666666</v>
      </c>
      <c r="X397">
        <v>1</v>
      </c>
      <c r="Y397">
        <v>0.50800000000000001</v>
      </c>
      <c r="Z397">
        <v>0.83333333333333337</v>
      </c>
    </row>
    <row r="398" spans="1:26" x14ac:dyDescent="0.2">
      <c r="A398" t="s">
        <v>34</v>
      </c>
      <c r="B398">
        <v>2023</v>
      </c>
      <c r="C398" t="str">
        <f t="shared" si="6"/>
        <v>DBD2023</v>
      </c>
      <c r="D398">
        <v>5473124585083.0381</v>
      </c>
      <c r="E398">
        <v>0.14089281883133151</v>
      </c>
      <c r="F398">
        <v>3.2266799923867029</v>
      </c>
      <c r="G398">
        <v>28.318607516367582</v>
      </c>
      <c r="H398">
        <v>3.0774877745810389</v>
      </c>
      <c r="I398">
        <v>3.9854567177023847E-2</v>
      </c>
      <c r="J398">
        <v>4.9159281186345938E-2</v>
      </c>
      <c r="K398">
        <v>0.14801530981735489</v>
      </c>
      <c r="L398">
        <v>0.23222116130950129</v>
      </c>
      <c r="M398">
        <v>28</v>
      </c>
      <c r="N398">
        <v>0</v>
      </c>
      <c r="O398">
        <v>0</v>
      </c>
      <c r="P398">
        <v>0.13339999999999999</v>
      </c>
      <c r="Q398">
        <v>2.5700000000000001E-2</v>
      </c>
      <c r="R398">
        <v>0</v>
      </c>
      <c r="S398">
        <v>0.13339999999999999</v>
      </c>
      <c r="T398">
        <v>0.13339999999999999</v>
      </c>
      <c r="U398">
        <v>6</v>
      </c>
      <c r="V398">
        <v>0</v>
      </c>
      <c r="W398">
        <v>0.1666666666666666</v>
      </c>
      <c r="X398">
        <v>1</v>
      </c>
      <c r="Y398">
        <v>0.50800000000000001</v>
      </c>
      <c r="Z398">
        <v>0.83333333333333337</v>
      </c>
    </row>
    <row r="399" spans="1:26" x14ac:dyDescent="0.2">
      <c r="A399" t="s">
        <v>35</v>
      </c>
      <c r="B399">
        <v>2012</v>
      </c>
      <c r="C399" t="str">
        <f t="shared" si="6"/>
        <v>DBT2012</v>
      </c>
      <c r="D399">
        <v>1.1369473435989739E-13</v>
      </c>
      <c r="E399">
        <v>0.15948136572410321</v>
      </c>
      <c r="F399">
        <v>0.87947459119487648</v>
      </c>
      <c r="G399">
        <v>26.559098357117829</v>
      </c>
      <c r="H399">
        <v>1.2257439740706999</v>
      </c>
      <c r="I399">
        <v>0.72617137236859763</v>
      </c>
      <c r="J399">
        <v>0.17046746690856349</v>
      </c>
      <c r="K399">
        <v>8.7795901666832543E-2</v>
      </c>
      <c r="L399">
        <v>0.13174080818433831</v>
      </c>
      <c r="M399">
        <v>8</v>
      </c>
      <c r="N399">
        <v>0</v>
      </c>
      <c r="O399">
        <v>0</v>
      </c>
      <c r="P399">
        <v>0.60609999999999997</v>
      </c>
      <c r="Q399">
        <v>4.6199999999999998E-2</v>
      </c>
      <c r="R399">
        <v>0</v>
      </c>
      <c r="S399">
        <v>0.34</v>
      </c>
      <c r="T399">
        <v>0.60609999999999997</v>
      </c>
      <c r="U399">
        <v>5</v>
      </c>
      <c r="V399">
        <v>0</v>
      </c>
      <c r="W399">
        <v>0</v>
      </c>
      <c r="X399">
        <v>1</v>
      </c>
      <c r="Y399">
        <v>0.53380000000000005</v>
      </c>
      <c r="Z399">
        <v>1</v>
      </c>
    </row>
    <row r="400" spans="1:26" x14ac:dyDescent="0.2">
      <c r="A400" t="s">
        <v>35</v>
      </c>
      <c r="B400">
        <v>2013</v>
      </c>
      <c r="C400" t="str">
        <f t="shared" si="6"/>
        <v>DBT2013</v>
      </c>
      <c r="D400">
        <v>1.4443729290937161E-13</v>
      </c>
      <c r="E400">
        <v>0.12870708119238941</v>
      </c>
      <c r="F400">
        <v>0.96509469637846401</v>
      </c>
      <c r="G400">
        <v>26.345023137731449</v>
      </c>
      <c r="H400">
        <v>1.178814953573309</v>
      </c>
      <c r="I400">
        <v>0.68984765227776346</v>
      </c>
      <c r="J400">
        <v>-0.1927123409435233</v>
      </c>
      <c r="K400">
        <v>-1.2940220419942659E-2</v>
      </c>
      <c r="L400">
        <v>0.10152153610714849</v>
      </c>
      <c r="M400">
        <v>9</v>
      </c>
      <c r="N400">
        <v>0</v>
      </c>
      <c r="O400">
        <v>0</v>
      </c>
      <c r="P400">
        <v>0.67009999999999992</v>
      </c>
      <c r="Q400">
        <v>3.2099999999999997E-2</v>
      </c>
      <c r="R400">
        <v>0</v>
      </c>
      <c r="S400">
        <v>0.34</v>
      </c>
      <c r="T400">
        <v>0.67009999999999992</v>
      </c>
      <c r="U400">
        <v>5</v>
      </c>
      <c r="V400">
        <v>0</v>
      </c>
      <c r="W400">
        <v>0</v>
      </c>
      <c r="X400">
        <v>1</v>
      </c>
      <c r="Y400">
        <v>0.53920000000000001</v>
      </c>
      <c r="Z400">
        <v>1</v>
      </c>
    </row>
    <row r="401" spans="1:26" x14ac:dyDescent="0.2">
      <c r="A401" t="s">
        <v>35</v>
      </c>
      <c r="B401">
        <v>2014</v>
      </c>
      <c r="C401" t="str">
        <f t="shared" si="6"/>
        <v>DBT2014</v>
      </c>
      <c r="D401">
        <v>1.136012084899774E-13</v>
      </c>
      <c r="E401">
        <v>0.12253001157724169</v>
      </c>
      <c r="F401">
        <v>1.182479560894155</v>
      </c>
      <c r="G401">
        <v>26.480056167228462</v>
      </c>
      <c r="H401">
        <v>1.196317900680127</v>
      </c>
      <c r="I401">
        <v>0.70671979526385476</v>
      </c>
      <c r="J401">
        <v>0.14457458844993629</v>
      </c>
      <c r="K401">
        <v>-3.1873899711080622E-2</v>
      </c>
      <c r="L401">
        <v>7.8422271625674486E-2</v>
      </c>
      <c r="M401">
        <v>10</v>
      </c>
      <c r="N401">
        <v>0</v>
      </c>
      <c r="O401">
        <v>0</v>
      </c>
      <c r="P401">
        <v>0.51880000000000004</v>
      </c>
      <c r="Q401">
        <v>3.0000000000000001E-3</v>
      </c>
      <c r="R401">
        <v>0</v>
      </c>
      <c r="S401">
        <v>0</v>
      </c>
      <c r="T401">
        <v>0.24379999999999999</v>
      </c>
      <c r="U401">
        <v>4</v>
      </c>
      <c r="V401">
        <v>0</v>
      </c>
      <c r="W401">
        <v>0.25</v>
      </c>
      <c r="X401">
        <v>1</v>
      </c>
      <c r="Y401">
        <v>0.46779999999999999</v>
      </c>
      <c r="Z401">
        <v>1</v>
      </c>
    </row>
    <row r="402" spans="1:26" x14ac:dyDescent="0.2">
      <c r="A402" t="s">
        <v>35</v>
      </c>
      <c r="B402">
        <v>2015</v>
      </c>
      <c r="C402" t="str">
        <f t="shared" si="6"/>
        <v>DBT2015</v>
      </c>
      <c r="D402">
        <v>1.095029796963742E-13</v>
      </c>
      <c r="E402">
        <v>0.19503830230186431</v>
      </c>
      <c r="F402">
        <v>1.097727349388729</v>
      </c>
      <c r="G402">
        <v>26.833163291049761</v>
      </c>
      <c r="H402">
        <v>1.1887187521634861</v>
      </c>
      <c r="I402">
        <v>0.74718619896295646</v>
      </c>
      <c r="J402">
        <v>0.42348362427167691</v>
      </c>
      <c r="K402">
        <v>2.644164546099647E-2</v>
      </c>
      <c r="L402">
        <v>5.0574659325333102E-2</v>
      </c>
      <c r="M402">
        <v>11</v>
      </c>
      <c r="N402">
        <v>0</v>
      </c>
      <c r="O402">
        <v>0</v>
      </c>
      <c r="P402">
        <v>0.51400000000000001</v>
      </c>
      <c r="Q402">
        <v>4.1999999999999997E-3</v>
      </c>
      <c r="R402">
        <v>0</v>
      </c>
      <c r="S402">
        <v>0</v>
      </c>
      <c r="T402">
        <v>0.51400000000000001</v>
      </c>
      <c r="U402">
        <v>5</v>
      </c>
      <c r="V402">
        <v>0</v>
      </c>
      <c r="W402">
        <v>0.2</v>
      </c>
      <c r="X402">
        <v>1</v>
      </c>
      <c r="Y402">
        <v>0.42330000000000001</v>
      </c>
      <c r="Z402">
        <v>1</v>
      </c>
    </row>
    <row r="403" spans="1:26" x14ac:dyDescent="0.2">
      <c r="A403" t="s">
        <v>35</v>
      </c>
      <c r="B403">
        <v>2016</v>
      </c>
      <c r="C403" t="str">
        <f t="shared" si="6"/>
        <v>DBT2016</v>
      </c>
      <c r="D403">
        <v>8.4905165976282614E-14</v>
      </c>
      <c r="E403">
        <v>0.15079964287628789</v>
      </c>
      <c r="F403">
        <v>0.92929020000980556</v>
      </c>
      <c r="G403">
        <v>26.99963440368451</v>
      </c>
      <c r="H403">
        <v>1.058536530909463</v>
      </c>
      <c r="I403">
        <v>0.70054881420542858</v>
      </c>
      <c r="J403">
        <v>0.1811294156584986</v>
      </c>
      <c r="K403">
        <v>7.0540045643224109E-2</v>
      </c>
      <c r="L403">
        <v>0.1126858547847817</v>
      </c>
      <c r="M403">
        <v>12</v>
      </c>
      <c r="N403">
        <v>0</v>
      </c>
      <c r="O403">
        <v>0</v>
      </c>
      <c r="P403">
        <v>0.51400000000000001</v>
      </c>
      <c r="Q403">
        <v>2.3599999999999999E-2</v>
      </c>
      <c r="R403">
        <v>0</v>
      </c>
      <c r="S403">
        <v>0</v>
      </c>
      <c r="T403">
        <v>0.51400000000000001</v>
      </c>
      <c r="U403">
        <v>5</v>
      </c>
      <c r="V403">
        <v>0</v>
      </c>
      <c r="W403">
        <v>0</v>
      </c>
      <c r="X403">
        <v>1</v>
      </c>
      <c r="Y403">
        <v>0.4375</v>
      </c>
      <c r="Z403">
        <v>1</v>
      </c>
    </row>
    <row r="404" spans="1:26" x14ac:dyDescent="0.2">
      <c r="A404" t="s">
        <v>35</v>
      </c>
      <c r="B404">
        <v>2017</v>
      </c>
      <c r="C404" t="str">
        <f t="shared" si="6"/>
        <v>DBT2017</v>
      </c>
      <c r="D404">
        <v>7.4187337608434081E-14</v>
      </c>
      <c r="E404">
        <v>0.1128389333032824</v>
      </c>
      <c r="F404">
        <v>0.91363433353495482</v>
      </c>
      <c r="G404">
        <v>27.148203890119142</v>
      </c>
      <c r="H404">
        <v>1.031886889522974</v>
      </c>
      <c r="I404">
        <v>0.59431779625546532</v>
      </c>
      <c r="J404">
        <v>0.1601734112897098</v>
      </c>
      <c r="K404">
        <v>6.5226425868119733E-2</v>
      </c>
      <c r="L404">
        <v>0.14308114188080739</v>
      </c>
      <c r="M404">
        <v>13</v>
      </c>
      <c r="N404">
        <v>0</v>
      </c>
      <c r="O404">
        <v>0</v>
      </c>
      <c r="P404">
        <v>0.49840000000000001</v>
      </c>
      <c r="Q404">
        <v>4.9500000000000002E-2</v>
      </c>
      <c r="R404">
        <v>0</v>
      </c>
      <c r="S404">
        <v>0</v>
      </c>
      <c r="T404">
        <v>0.49840000000000001</v>
      </c>
      <c r="U404">
        <v>5</v>
      </c>
      <c r="V404">
        <v>0</v>
      </c>
      <c r="W404">
        <v>0</v>
      </c>
      <c r="X404">
        <v>1</v>
      </c>
      <c r="Y404">
        <v>0.44309999999999999</v>
      </c>
      <c r="Z404">
        <v>1</v>
      </c>
    </row>
    <row r="405" spans="1:26" x14ac:dyDescent="0.2">
      <c r="A405" t="s">
        <v>35</v>
      </c>
      <c r="B405">
        <v>2018</v>
      </c>
      <c r="C405" t="str">
        <f t="shared" si="6"/>
        <v>DBT2018</v>
      </c>
      <c r="D405">
        <v>5.5563865321865552E-14</v>
      </c>
      <c r="E405">
        <v>8.8320866123449179E-2</v>
      </c>
      <c r="F405">
        <v>0.85293319620674179</v>
      </c>
      <c r="G405">
        <v>27.148775573326439</v>
      </c>
      <c r="H405">
        <v>1.2260445204315269</v>
      </c>
      <c r="I405">
        <v>0.61158807728670217</v>
      </c>
      <c r="J405">
        <v>5.7184664927967255E-4</v>
      </c>
      <c r="K405">
        <v>8.5370755629457628E-3</v>
      </c>
      <c r="L405">
        <v>0.13795066324342009</v>
      </c>
      <c r="M405">
        <v>14</v>
      </c>
      <c r="N405">
        <v>1</v>
      </c>
      <c r="O405">
        <v>0</v>
      </c>
      <c r="P405">
        <v>0.49080000000000001</v>
      </c>
      <c r="Q405">
        <v>0.18820000000000001</v>
      </c>
      <c r="R405">
        <v>0</v>
      </c>
      <c r="S405">
        <v>0</v>
      </c>
      <c r="T405">
        <v>0</v>
      </c>
      <c r="U405">
        <v>7</v>
      </c>
      <c r="V405">
        <v>0</v>
      </c>
      <c r="W405">
        <v>0</v>
      </c>
      <c r="X405">
        <v>1</v>
      </c>
      <c r="Y405">
        <v>0.43909999999999999</v>
      </c>
      <c r="Z405">
        <v>1</v>
      </c>
    </row>
    <row r="406" spans="1:26" x14ac:dyDescent="0.2">
      <c r="A406" t="s">
        <v>35</v>
      </c>
      <c r="B406">
        <v>2019</v>
      </c>
      <c r="C406" t="str">
        <f t="shared" si="6"/>
        <v>DBT2019</v>
      </c>
      <c r="D406">
        <v>5.0296025382234859E-14</v>
      </c>
      <c r="E406">
        <v>0.10779087150951221</v>
      </c>
      <c r="F406">
        <v>0.89233479857670106</v>
      </c>
      <c r="G406">
        <v>27.294126788984951</v>
      </c>
      <c r="H406">
        <v>1.1768304265352461</v>
      </c>
      <c r="I406">
        <v>0.66684960230093393</v>
      </c>
      <c r="J406">
        <v>0.15644566077545871</v>
      </c>
      <c r="K406">
        <v>-0.1011015517188876</v>
      </c>
      <c r="L406">
        <v>0.11277653906979949</v>
      </c>
      <c r="M406">
        <v>15</v>
      </c>
      <c r="N406">
        <v>1</v>
      </c>
      <c r="O406">
        <v>1</v>
      </c>
      <c r="P406">
        <v>0.47479999999999989</v>
      </c>
      <c r="Q406">
        <v>0.20680000000000001</v>
      </c>
      <c r="R406">
        <v>0</v>
      </c>
      <c r="S406">
        <v>0</v>
      </c>
      <c r="T406">
        <v>0</v>
      </c>
      <c r="U406">
        <v>7</v>
      </c>
      <c r="V406">
        <v>0</v>
      </c>
      <c r="W406">
        <v>0</v>
      </c>
      <c r="X406">
        <v>1</v>
      </c>
      <c r="Y406">
        <v>0.44909999999999989</v>
      </c>
      <c r="Z406">
        <v>1</v>
      </c>
    </row>
    <row r="407" spans="1:26" x14ac:dyDescent="0.2">
      <c r="A407" t="s">
        <v>35</v>
      </c>
      <c r="B407">
        <v>2020</v>
      </c>
      <c r="C407" t="str">
        <f t="shared" si="6"/>
        <v>DBT2020</v>
      </c>
      <c r="D407">
        <v>1.7702250014199271E-14</v>
      </c>
      <c r="E407">
        <v>5.7690891993270071E-2</v>
      </c>
      <c r="F407">
        <v>0.92955321171548722</v>
      </c>
      <c r="G407">
        <v>27.522997393586358</v>
      </c>
      <c r="H407">
        <v>1.1650574795654891</v>
      </c>
      <c r="I407">
        <v>0.72457262076488294</v>
      </c>
      <c r="J407">
        <v>0.25717935526102892</v>
      </c>
      <c r="K407">
        <v>-9.985105589390926E-2</v>
      </c>
      <c r="L407">
        <v>9.0170050433753285E-2</v>
      </c>
      <c r="M407">
        <v>16</v>
      </c>
      <c r="N407">
        <v>1</v>
      </c>
      <c r="O407">
        <v>1</v>
      </c>
      <c r="P407">
        <v>0.47479999999999989</v>
      </c>
      <c r="Q407">
        <v>0.23619999999999999</v>
      </c>
      <c r="R407">
        <v>0</v>
      </c>
      <c r="S407">
        <v>0</v>
      </c>
      <c r="T407">
        <v>0</v>
      </c>
      <c r="U407">
        <v>6</v>
      </c>
      <c r="V407">
        <v>0</v>
      </c>
      <c r="W407">
        <v>0</v>
      </c>
      <c r="X407">
        <v>1</v>
      </c>
      <c r="Y407">
        <v>0.43640000000000001</v>
      </c>
      <c r="Z407">
        <v>1</v>
      </c>
    </row>
    <row r="408" spans="1:26" x14ac:dyDescent="0.2">
      <c r="A408" t="s">
        <v>35</v>
      </c>
      <c r="B408">
        <v>2021</v>
      </c>
      <c r="C408" t="str">
        <f t="shared" si="6"/>
        <v>DBT2021</v>
      </c>
      <c r="D408">
        <v>2.0578343980519131E-14</v>
      </c>
      <c r="E408">
        <v>6.3868195217308577E-2</v>
      </c>
      <c r="F408">
        <v>1.033424365143977</v>
      </c>
      <c r="G408">
        <v>27.39148366251661</v>
      </c>
      <c r="H408">
        <v>1.1165146261780869</v>
      </c>
      <c r="I408">
        <v>0.7464311014456928</v>
      </c>
      <c r="J408">
        <v>-0.1232327638969264</v>
      </c>
      <c r="K408">
        <v>-4.4716280307410032E-2</v>
      </c>
      <c r="L408">
        <v>7.027849036218993E-2</v>
      </c>
      <c r="M408">
        <v>17</v>
      </c>
      <c r="N408">
        <v>1</v>
      </c>
      <c r="O408">
        <v>0</v>
      </c>
      <c r="P408">
        <v>0.19819999999999999</v>
      </c>
      <c r="Q408">
        <v>0.30809999999999998</v>
      </c>
      <c r="R408">
        <v>0</v>
      </c>
      <c r="S408">
        <v>0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0.44330000000000003</v>
      </c>
      <c r="Z408">
        <v>1</v>
      </c>
    </row>
    <row r="409" spans="1:26" x14ac:dyDescent="0.2">
      <c r="A409" t="s">
        <v>35</v>
      </c>
      <c r="B409">
        <v>2022</v>
      </c>
      <c r="C409" t="str">
        <f t="shared" si="6"/>
        <v>DBT2022</v>
      </c>
      <c r="D409">
        <v>5.7300286785237817E-14</v>
      </c>
      <c r="E409">
        <v>0.18056924665353491</v>
      </c>
      <c r="F409">
        <v>0.92329746622340114</v>
      </c>
      <c r="G409">
        <v>27.457524203975591</v>
      </c>
      <c r="H409">
        <v>1.078943217362639</v>
      </c>
      <c r="I409">
        <v>0.73321324909203955</v>
      </c>
      <c r="J409">
        <v>6.8270025513510246E-2</v>
      </c>
      <c r="K409">
        <v>-3.8874060973832253E-2</v>
      </c>
      <c r="L409">
        <v>8.2366867970088575E-2</v>
      </c>
      <c r="M409">
        <v>18</v>
      </c>
      <c r="N409">
        <v>1</v>
      </c>
      <c r="O409">
        <v>0</v>
      </c>
      <c r="P409">
        <v>0.28339999999999999</v>
      </c>
      <c r="Q409">
        <v>0.2487</v>
      </c>
      <c r="R409">
        <v>0</v>
      </c>
      <c r="S409">
        <v>0</v>
      </c>
      <c r="T409">
        <v>0</v>
      </c>
      <c r="U409">
        <v>5</v>
      </c>
      <c r="V409">
        <v>0</v>
      </c>
      <c r="W409">
        <v>0</v>
      </c>
      <c r="X409">
        <v>0</v>
      </c>
      <c r="Y409">
        <v>0.48599999999999999</v>
      </c>
      <c r="Z409">
        <v>1</v>
      </c>
    </row>
    <row r="410" spans="1:26" x14ac:dyDescent="0.2">
      <c r="A410" t="s">
        <v>35</v>
      </c>
      <c r="B410">
        <v>2023</v>
      </c>
      <c r="C410" t="str">
        <f t="shared" si="6"/>
        <v>DBT2023</v>
      </c>
      <c r="D410">
        <v>55457993669.530197</v>
      </c>
      <c r="E410">
        <v>4.6061376265576312E-2</v>
      </c>
      <c r="F410">
        <v>0.78959649584508007</v>
      </c>
      <c r="G410">
        <v>27.47507847315196</v>
      </c>
      <c r="H410">
        <v>1.1021274294844441</v>
      </c>
      <c r="I410">
        <v>0.55681377539290078</v>
      </c>
      <c r="J410">
        <v>1.7709250894970111E-2</v>
      </c>
      <c r="K410">
        <v>3.7090671613345702E-3</v>
      </c>
      <c r="L410">
        <v>7.7865037892333303E-2</v>
      </c>
      <c r="M410">
        <v>19</v>
      </c>
      <c r="N410">
        <v>0</v>
      </c>
      <c r="O410">
        <v>0</v>
      </c>
      <c r="P410">
        <v>0.28339999999999999</v>
      </c>
      <c r="Q410">
        <v>0.2487</v>
      </c>
      <c r="R410">
        <v>0</v>
      </c>
      <c r="S410">
        <v>0</v>
      </c>
      <c r="T410">
        <v>0</v>
      </c>
      <c r="U410">
        <v>5</v>
      </c>
      <c r="V410">
        <v>0</v>
      </c>
      <c r="W410">
        <v>0</v>
      </c>
      <c r="X410">
        <v>0</v>
      </c>
      <c r="Y410">
        <v>0.48599999999999999</v>
      </c>
      <c r="Z410">
        <v>1</v>
      </c>
    </row>
    <row r="411" spans="1:26" x14ac:dyDescent="0.2">
      <c r="A411" t="s">
        <v>36</v>
      </c>
      <c r="B411">
        <v>2012</v>
      </c>
      <c r="C411" t="str">
        <f t="shared" si="6"/>
        <v>DCL2012</v>
      </c>
      <c r="D411">
        <v>4.2986133378425251E-14</v>
      </c>
      <c r="E411">
        <v>7.6341066067837679E-2</v>
      </c>
      <c r="F411">
        <v>0.77392245567865703</v>
      </c>
      <c r="G411">
        <v>27.224403645058391</v>
      </c>
      <c r="H411">
        <v>1.0219537258480349</v>
      </c>
      <c r="I411">
        <v>0.6250456143623927</v>
      </c>
      <c r="J411">
        <v>-0.2089314713216569</v>
      </c>
      <c r="K411">
        <v>0.23484779528852379</v>
      </c>
      <c r="L411">
        <v>0.31691075549809122</v>
      </c>
      <c r="M411">
        <v>8</v>
      </c>
      <c r="N411">
        <v>1</v>
      </c>
      <c r="O411">
        <v>0</v>
      </c>
      <c r="P411">
        <v>0.42899999999999999</v>
      </c>
      <c r="Q411">
        <v>2.41E-2</v>
      </c>
      <c r="R411">
        <v>6.5500000000000003E-2</v>
      </c>
      <c r="S411">
        <v>0.36349999999999999</v>
      </c>
      <c r="T411">
        <v>0.42899999999999999</v>
      </c>
      <c r="U411">
        <v>5</v>
      </c>
      <c r="V411">
        <v>0</v>
      </c>
      <c r="W411">
        <v>0.2</v>
      </c>
      <c r="X411">
        <v>1</v>
      </c>
      <c r="Y411">
        <v>0.49170000000000003</v>
      </c>
      <c r="Z411">
        <v>1</v>
      </c>
    </row>
    <row r="412" spans="1:26" x14ac:dyDescent="0.2">
      <c r="A412" t="s">
        <v>36</v>
      </c>
      <c r="B412">
        <v>2013</v>
      </c>
      <c r="C412" t="str">
        <f t="shared" si="6"/>
        <v>DCL2013</v>
      </c>
      <c r="D412">
        <v>8.0965573844378288E-14</v>
      </c>
      <c r="E412">
        <v>0.1081971896510048</v>
      </c>
      <c r="F412">
        <v>0.92639877839794948</v>
      </c>
      <c r="G412">
        <v>27.13945772005588</v>
      </c>
      <c r="H412">
        <v>1.0962419975227939</v>
      </c>
      <c r="I412">
        <v>0.54227867384736983</v>
      </c>
      <c r="J412">
        <v>-8.1438045706129336E-2</v>
      </c>
      <c r="K412">
        <v>0.15661973518150471</v>
      </c>
      <c r="L412">
        <v>0.31852753738999001</v>
      </c>
      <c r="M412">
        <v>9</v>
      </c>
      <c r="N412">
        <v>1</v>
      </c>
      <c r="O412">
        <v>0</v>
      </c>
      <c r="P412">
        <v>0.41660000000000003</v>
      </c>
      <c r="Q412">
        <v>2.41E-2</v>
      </c>
      <c r="R412">
        <v>5.3099999999999987E-2</v>
      </c>
      <c r="S412">
        <v>0.36349999999999999</v>
      </c>
      <c r="T412">
        <v>0.41660000000000003</v>
      </c>
      <c r="U412">
        <v>5</v>
      </c>
      <c r="V412">
        <v>0</v>
      </c>
      <c r="W412">
        <v>0.2</v>
      </c>
      <c r="X412">
        <v>1</v>
      </c>
      <c r="Y412">
        <v>0.48570000000000002</v>
      </c>
      <c r="Z412">
        <v>1</v>
      </c>
    </row>
    <row r="413" spans="1:26" x14ac:dyDescent="0.2">
      <c r="A413" t="s">
        <v>36</v>
      </c>
      <c r="B413">
        <v>2014</v>
      </c>
      <c r="C413" t="str">
        <f t="shared" si="6"/>
        <v>DCL2014</v>
      </c>
      <c r="D413">
        <v>9.0039600413639339E-14</v>
      </c>
      <c r="E413">
        <v>0.10372286667306389</v>
      </c>
      <c r="F413">
        <v>1.3203170577293251</v>
      </c>
      <c r="G413">
        <v>27.10905659331538</v>
      </c>
      <c r="H413">
        <v>1.204463631026109</v>
      </c>
      <c r="I413">
        <v>0.48492231411951447</v>
      </c>
      <c r="J413">
        <v>-2.9943660041998329E-2</v>
      </c>
      <c r="K413">
        <v>7.2253644980063411E-2</v>
      </c>
      <c r="L413">
        <v>0.29524137987172538</v>
      </c>
      <c r="M413">
        <v>10</v>
      </c>
      <c r="N413">
        <v>0</v>
      </c>
      <c r="O413">
        <v>0</v>
      </c>
      <c r="P413">
        <v>0.1613</v>
      </c>
      <c r="Q413">
        <v>1.8700000000000001E-2</v>
      </c>
      <c r="R413">
        <v>0</v>
      </c>
      <c r="S413">
        <v>0</v>
      </c>
      <c r="T413">
        <v>0.1613</v>
      </c>
      <c r="U413">
        <v>5</v>
      </c>
      <c r="V413">
        <v>0</v>
      </c>
      <c r="W413">
        <v>0.2</v>
      </c>
      <c r="X413">
        <v>1</v>
      </c>
      <c r="Y413">
        <v>0.48430000000000001</v>
      </c>
      <c r="Z413">
        <v>1</v>
      </c>
    </row>
    <row r="414" spans="1:26" x14ac:dyDescent="0.2">
      <c r="A414" t="s">
        <v>36</v>
      </c>
      <c r="B414">
        <v>2015</v>
      </c>
      <c r="C414" t="str">
        <f t="shared" si="6"/>
        <v>DCL2015</v>
      </c>
      <c r="D414">
        <v>9.9479443197001466E-14</v>
      </c>
      <c r="E414">
        <v>0.1068199321235852</v>
      </c>
      <c r="F414">
        <v>0.91734251670187239</v>
      </c>
      <c r="G414">
        <v>27.383359200252649</v>
      </c>
      <c r="H414">
        <v>1.394586912283589</v>
      </c>
      <c r="I414">
        <v>0.27301936115260372</v>
      </c>
      <c r="J414">
        <v>0.31561285558568608</v>
      </c>
      <c r="K414">
        <v>9.625276653876208E-2</v>
      </c>
      <c r="L414">
        <v>0.2113796596073283</v>
      </c>
      <c r="M414">
        <v>11</v>
      </c>
      <c r="N414">
        <v>0</v>
      </c>
      <c r="O414">
        <v>0</v>
      </c>
      <c r="P414">
        <v>0.59200000000000008</v>
      </c>
      <c r="Q414">
        <v>2.5899999999999999E-2</v>
      </c>
      <c r="R414">
        <v>0</v>
      </c>
      <c r="S414">
        <v>0</v>
      </c>
      <c r="T414">
        <v>0.59200000000000008</v>
      </c>
      <c r="U414">
        <v>5</v>
      </c>
      <c r="V414">
        <v>0</v>
      </c>
      <c r="W414">
        <v>0.4</v>
      </c>
      <c r="X414">
        <v>0</v>
      </c>
      <c r="Y414">
        <v>0.40600000000000003</v>
      </c>
      <c r="Z414">
        <v>1</v>
      </c>
    </row>
    <row r="415" spans="1:26" x14ac:dyDescent="0.2">
      <c r="A415" t="s">
        <v>36</v>
      </c>
      <c r="B415">
        <v>2016</v>
      </c>
      <c r="C415" t="str">
        <f t="shared" si="6"/>
        <v>DCL2016</v>
      </c>
      <c r="D415">
        <v>1.2613720381012851E-13</v>
      </c>
      <c r="E415">
        <v>0.1372864269324843</v>
      </c>
      <c r="F415">
        <v>1.782525498148859</v>
      </c>
      <c r="G415">
        <v>27.463066482981741</v>
      </c>
      <c r="H415">
        <v>2.8397535322775269</v>
      </c>
      <c r="I415">
        <v>0.22326329744045811</v>
      </c>
      <c r="J415">
        <v>8.2970017246239536E-2</v>
      </c>
      <c r="K415">
        <v>7.0463487263595914E-2</v>
      </c>
      <c r="L415">
        <v>0.18645262988389019</v>
      </c>
      <c r="M415">
        <v>12</v>
      </c>
      <c r="N415">
        <v>0</v>
      </c>
      <c r="O415">
        <v>0</v>
      </c>
      <c r="P415">
        <v>0.64599999999999991</v>
      </c>
      <c r="Q415">
        <v>0</v>
      </c>
      <c r="R415">
        <v>0</v>
      </c>
      <c r="S415">
        <v>0</v>
      </c>
      <c r="T415">
        <v>0.64599999999999991</v>
      </c>
      <c r="U415">
        <v>5</v>
      </c>
      <c r="V415">
        <v>1</v>
      </c>
      <c r="W415">
        <v>0.4</v>
      </c>
      <c r="X415">
        <v>0</v>
      </c>
      <c r="Y415">
        <v>0.38440000000000002</v>
      </c>
      <c r="Z415">
        <v>1</v>
      </c>
    </row>
    <row r="416" spans="1:26" x14ac:dyDescent="0.2">
      <c r="A416" t="s">
        <v>36</v>
      </c>
      <c r="B416">
        <v>2017</v>
      </c>
      <c r="C416" t="str">
        <f t="shared" si="6"/>
        <v>DCL2017</v>
      </c>
      <c r="D416">
        <v>5.0212019519784291E-14</v>
      </c>
      <c r="E416">
        <v>9.4569568369975238E-2</v>
      </c>
      <c r="F416">
        <v>1.422048086261821</v>
      </c>
      <c r="G416">
        <v>27.83081870819565</v>
      </c>
      <c r="H416">
        <v>3.4877055584234502</v>
      </c>
      <c r="I416">
        <v>0.35162348773059132</v>
      </c>
      <c r="J416">
        <v>0.44448408789418448</v>
      </c>
      <c r="K416">
        <v>5.0005609442780423E-2</v>
      </c>
      <c r="L416">
        <v>0.29912292642068622</v>
      </c>
      <c r="M416">
        <v>13</v>
      </c>
      <c r="N416">
        <v>0</v>
      </c>
      <c r="O416">
        <v>0</v>
      </c>
      <c r="P416">
        <v>0.71090000000000009</v>
      </c>
      <c r="Q416">
        <v>1.6000000000000001E-3</v>
      </c>
      <c r="R416">
        <v>0</v>
      </c>
      <c r="S416">
        <v>0</v>
      </c>
      <c r="T416">
        <v>0.71090000000000009</v>
      </c>
      <c r="U416">
        <v>4</v>
      </c>
      <c r="V416">
        <v>1</v>
      </c>
      <c r="W416">
        <v>0.5</v>
      </c>
      <c r="X416">
        <v>0</v>
      </c>
      <c r="Y416">
        <v>0.4022</v>
      </c>
      <c r="Z416">
        <v>1</v>
      </c>
    </row>
    <row r="417" spans="1:26" x14ac:dyDescent="0.2">
      <c r="A417" t="s">
        <v>36</v>
      </c>
      <c r="B417">
        <v>2018</v>
      </c>
      <c r="C417" t="str">
        <f t="shared" si="6"/>
        <v>DCL2018</v>
      </c>
      <c r="D417">
        <v>4.2381640622006887E-15</v>
      </c>
      <c r="E417">
        <v>1.5771468695421269E-2</v>
      </c>
      <c r="F417">
        <v>0.84185387246762944</v>
      </c>
      <c r="G417">
        <v>28.179679447935492</v>
      </c>
      <c r="H417">
        <v>2.736300465967255</v>
      </c>
      <c r="I417">
        <v>0.53485868930744729</v>
      </c>
      <c r="J417">
        <v>0.41745178189282051</v>
      </c>
      <c r="K417">
        <v>-2.4230792312777031E-2</v>
      </c>
      <c r="L417">
        <v>0.23778655415336339</v>
      </c>
      <c r="M417">
        <v>14</v>
      </c>
      <c r="N417">
        <v>0</v>
      </c>
      <c r="O417">
        <v>0</v>
      </c>
      <c r="P417">
        <v>0.74609999999999999</v>
      </c>
      <c r="Q417">
        <v>1.1000000000000001E-3</v>
      </c>
      <c r="R417">
        <v>0</v>
      </c>
      <c r="S417">
        <v>0</v>
      </c>
      <c r="T417">
        <v>0.74609999999999999</v>
      </c>
      <c r="U417">
        <v>5</v>
      </c>
      <c r="V417">
        <v>1</v>
      </c>
      <c r="W417">
        <v>0.4</v>
      </c>
      <c r="X417">
        <v>0</v>
      </c>
      <c r="Y417">
        <v>0.4138</v>
      </c>
      <c r="Z417">
        <v>1</v>
      </c>
    </row>
    <row r="418" spans="1:26" x14ac:dyDescent="0.2">
      <c r="A418" t="s">
        <v>36</v>
      </c>
      <c r="B418">
        <v>2019</v>
      </c>
      <c r="C418" t="str">
        <f t="shared" si="6"/>
        <v>DCL2019</v>
      </c>
      <c r="D418">
        <v>2.9668165104045538E-14</v>
      </c>
      <c r="E418">
        <v>9.8373379143801107E-2</v>
      </c>
      <c r="F418">
        <v>1.4127932157927121</v>
      </c>
      <c r="G418">
        <v>28.16895873006548</v>
      </c>
      <c r="H418">
        <v>3.6488985245393231</v>
      </c>
      <c r="I418">
        <v>0.48354030444847879</v>
      </c>
      <c r="J418">
        <v>-1.0663455787076949E-2</v>
      </c>
      <c r="K418">
        <v>7.7630882742385637E-2</v>
      </c>
      <c r="L418">
        <v>0.17670766267407381</v>
      </c>
      <c r="M418">
        <v>15</v>
      </c>
      <c r="N418">
        <v>0</v>
      </c>
      <c r="O418">
        <v>1</v>
      </c>
      <c r="P418">
        <v>0.74609999999999999</v>
      </c>
      <c r="Q418">
        <v>2.0000000000000001E-4</v>
      </c>
      <c r="R418">
        <v>0</v>
      </c>
      <c r="S418">
        <v>0</v>
      </c>
      <c r="T418">
        <v>0.74609999999999999</v>
      </c>
      <c r="U418">
        <v>5</v>
      </c>
      <c r="V418">
        <v>0</v>
      </c>
      <c r="W418">
        <v>0.6</v>
      </c>
      <c r="X418">
        <v>1</v>
      </c>
      <c r="Y418">
        <v>0.42380000000000001</v>
      </c>
      <c r="Z418">
        <v>1</v>
      </c>
    </row>
    <row r="419" spans="1:26" x14ac:dyDescent="0.2">
      <c r="A419" t="s">
        <v>36</v>
      </c>
      <c r="B419">
        <v>2020</v>
      </c>
      <c r="C419" t="str">
        <f t="shared" si="6"/>
        <v>DCL2020</v>
      </c>
      <c r="D419">
        <v>2.126435932329204E-14</v>
      </c>
      <c r="E419">
        <v>7.0986612088984172E-2</v>
      </c>
      <c r="F419">
        <v>1.2561596785938609</v>
      </c>
      <c r="G419">
        <v>28.219033840941599</v>
      </c>
      <c r="H419">
        <v>4.2143890014967127</v>
      </c>
      <c r="I419">
        <v>0.46067998914800168</v>
      </c>
      <c r="J419">
        <v>5.1350061234631587E-2</v>
      </c>
      <c r="K419">
        <v>9.3423825819486883E-2</v>
      </c>
      <c r="L419">
        <v>0.18079197503397601</v>
      </c>
      <c r="M419">
        <v>16</v>
      </c>
      <c r="N419">
        <v>0</v>
      </c>
      <c r="O419">
        <v>1</v>
      </c>
      <c r="P419">
        <v>0.74609999999999999</v>
      </c>
      <c r="Q419">
        <v>2.0000000000000001E-4</v>
      </c>
      <c r="R419">
        <v>0</v>
      </c>
      <c r="S419">
        <v>0</v>
      </c>
      <c r="T419">
        <v>0.74609999999999999</v>
      </c>
      <c r="U419">
        <v>5</v>
      </c>
      <c r="V419">
        <v>0</v>
      </c>
      <c r="W419">
        <v>0.4</v>
      </c>
      <c r="X419">
        <v>1</v>
      </c>
      <c r="Y419">
        <v>0.41560000000000002</v>
      </c>
      <c r="Z419">
        <v>1</v>
      </c>
    </row>
    <row r="420" spans="1:26" x14ac:dyDescent="0.2">
      <c r="A420" t="s">
        <v>36</v>
      </c>
      <c r="B420">
        <v>2021</v>
      </c>
      <c r="C420" t="str">
        <f t="shared" si="6"/>
        <v>DCL2021</v>
      </c>
      <c r="D420">
        <v>2.766539010354445E-14</v>
      </c>
      <c r="E420">
        <v>8.589494927125231E-2</v>
      </c>
      <c r="F420">
        <v>1.741075496623534</v>
      </c>
      <c r="G420">
        <v>28.208211879863711</v>
      </c>
      <c r="H420">
        <v>4.1976119081938137</v>
      </c>
      <c r="I420">
        <v>0.42635932953117822</v>
      </c>
      <c r="J420">
        <v>-1.076361432221529E-2</v>
      </c>
      <c r="K420">
        <v>6.3569592799645191E-2</v>
      </c>
      <c r="L420">
        <v>0.27570006529535918</v>
      </c>
      <c r="M420">
        <v>17</v>
      </c>
      <c r="N420">
        <v>0</v>
      </c>
      <c r="O420">
        <v>0</v>
      </c>
      <c r="P420">
        <v>0.7206999999999999</v>
      </c>
      <c r="Q420">
        <v>2.0000000000000001E-4</v>
      </c>
      <c r="R420">
        <v>0</v>
      </c>
      <c r="S420">
        <v>0</v>
      </c>
      <c r="T420">
        <v>0.7206999999999999</v>
      </c>
      <c r="U420">
        <v>5</v>
      </c>
      <c r="V420">
        <v>0</v>
      </c>
      <c r="W420">
        <v>0.4</v>
      </c>
      <c r="X420">
        <v>1</v>
      </c>
      <c r="Y420">
        <v>0.43799999999999989</v>
      </c>
      <c r="Z420">
        <v>1</v>
      </c>
    </row>
    <row r="421" spans="1:26" x14ac:dyDescent="0.2">
      <c r="A421" t="s">
        <v>36</v>
      </c>
      <c r="B421">
        <v>2022</v>
      </c>
      <c r="C421" t="str">
        <f t="shared" si="6"/>
        <v>DCL2022</v>
      </c>
      <c r="D421">
        <v>2.5474767258026851E-14</v>
      </c>
      <c r="E421">
        <v>8.1136323811862698E-2</v>
      </c>
      <c r="F421">
        <v>1.18897237721092</v>
      </c>
      <c r="G421">
        <v>28.375489962037509</v>
      </c>
      <c r="H421">
        <v>1.931926225093811</v>
      </c>
      <c r="I421">
        <v>0.33898150615625372</v>
      </c>
      <c r="J421">
        <v>0.18208293579992829</v>
      </c>
      <c r="K421">
        <v>-0.19808790044201979</v>
      </c>
      <c r="L421">
        <v>0.30848449466546468</v>
      </c>
      <c r="M421">
        <v>18</v>
      </c>
      <c r="N421">
        <v>0</v>
      </c>
      <c r="O421">
        <v>0</v>
      </c>
      <c r="P421">
        <v>0.7206999999999999</v>
      </c>
      <c r="Q421">
        <v>0</v>
      </c>
      <c r="R421">
        <v>0</v>
      </c>
      <c r="S421">
        <v>0</v>
      </c>
      <c r="T421">
        <v>0.7206999999999999</v>
      </c>
      <c r="U421">
        <v>5</v>
      </c>
      <c r="V421">
        <v>0</v>
      </c>
      <c r="W421">
        <v>0.4</v>
      </c>
      <c r="X421">
        <v>0</v>
      </c>
      <c r="Y421">
        <v>0.45569999999999999</v>
      </c>
      <c r="Z421">
        <v>1</v>
      </c>
    </row>
    <row r="422" spans="1:26" x14ac:dyDescent="0.2">
      <c r="A422" t="s">
        <v>36</v>
      </c>
      <c r="B422">
        <v>2023</v>
      </c>
      <c r="C422" t="str">
        <f t="shared" si="6"/>
        <v>DCL2023</v>
      </c>
      <c r="D422">
        <v>1342309611804.585</v>
      </c>
      <c r="E422">
        <v>3.7731975032220588E-2</v>
      </c>
      <c r="F422">
        <v>1.078726327908401</v>
      </c>
      <c r="G422">
        <v>28.454081765018479</v>
      </c>
      <c r="H422">
        <v>2.5669157436760619</v>
      </c>
      <c r="I422">
        <v>0.27694451764224748</v>
      </c>
      <c r="J422">
        <v>8.1762659640850277E-2</v>
      </c>
      <c r="K422">
        <v>1.391082205587931E-2</v>
      </c>
      <c r="L422">
        <v>0.36635921756822021</v>
      </c>
      <c r="M422">
        <v>19</v>
      </c>
      <c r="N422">
        <v>0</v>
      </c>
      <c r="O422">
        <v>0</v>
      </c>
      <c r="P422">
        <v>0.7206999999999999</v>
      </c>
      <c r="Q422">
        <v>0</v>
      </c>
      <c r="R422">
        <v>0</v>
      </c>
      <c r="S422">
        <v>0</v>
      </c>
      <c r="T422">
        <v>0.7206999999999999</v>
      </c>
      <c r="U422">
        <v>5</v>
      </c>
      <c r="V422">
        <v>0</v>
      </c>
      <c r="W422">
        <v>0.4</v>
      </c>
      <c r="X422">
        <v>0</v>
      </c>
      <c r="Y422">
        <v>0.45569999999999999</v>
      </c>
      <c r="Z422">
        <v>1</v>
      </c>
    </row>
    <row r="423" spans="1:26" x14ac:dyDescent="0.2">
      <c r="A423" t="s">
        <v>37</v>
      </c>
      <c r="B423">
        <v>2012</v>
      </c>
      <c r="C423" t="str">
        <f t="shared" si="6"/>
        <v>DCM2012</v>
      </c>
      <c r="D423">
        <v>3.3250940797713489E-15</v>
      </c>
      <c r="E423">
        <v>0.2251758293395254</v>
      </c>
      <c r="F423">
        <v>1.025551257151357</v>
      </c>
      <c r="G423">
        <v>30.331342878212681</v>
      </c>
      <c r="H423" t="e">
        <v>#N/A</v>
      </c>
      <c r="I423">
        <v>0.77951693819957213</v>
      </c>
      <c r="J423">
        <v>0</v>
      </c>
      <c r="K423">
        <v>0.14099831868986371</v>
      </c>
      <c r="L423">
        <v>0.83956589719690067</v>
      </c>
      <c r="M423">
        <v>1</v>
      </c>
      <c r="N423">
        <v>1</v>
      </c>
      <c r="O423">
        <v>0</v>
      </c>
      <c r="P423">
        <v>0.75560000000000005</v>
      </c>
      <c r="Q423">
        <v>5.0000000000000001E-4</v>
      </c>
      <c r="R423">
        <v>0</v>
      </c>
      <c r="S423">
        <v>0.75560000000000005</v>
      </c>
      <c r="T423">
        <v>0.75560000000000005</v>
      </c>
      <c r="U423">
        <v>5</v>
      </c>
      <c r="V423">
        <v>0</v>
      </c>
      <c r="W423">
        <v>0.2</v>
      </c>
      <c r="X423">
        <v>0</v>
      </c>
      <c r="Y423">
        <v>0.44330000000000003</v>
      </c>
      <c r="Z423">
        <v>1</v>
      </c>
    </row>
    <row r="424" spans="1:26" x14ac:dyDescent="0.2">
      <c r="A424" t="s">
        <v>37</v>
      </c>
      <c r="B424">
        <v>2013</v>
      </c>
      <c r="C424" t="str">
        <f t="shared" si="6"/>
        <v>DCM2013</v>
      </c>
      <c r="D424">
        <v>2.6132533556397889E-15</v>
      </c>
      <c r="E424">
        <v>0.154690231367209</v>
      </c>
      <c r="F424">
        <v>0.94877892336701453</v>
      </c>
      <c r="G424">
        <v>30.28877231165907</v>
      </c>
      <c r="H424">
        <v>1.262696469165089</v>
      </c>
      <c r="I424">
        <v>0.75843068064223462</v>
      </c>
      <c r="J424">
        <v>-4.1677162405054147E-2</v>
      </c>
      <c r="K424">
        <v>0.13478749235366749</v>
      </c>
      <c r="L424">
        <v>0.78583823614777482</v>
      </c>
      <c r="M424">
        <v>2</v>
      </c>
      <c r="N424">
        <v>1</v>
      </c>
      <c r="O424">
        <v>0</v>
      </c>
      <c r="P424">
        <v>0.75560000000000005</v>
      </c>
      <c r="Q424">
        <v>5.0000000000000001E-4</v>
      </c>
      <c r="R424">
        <v>0</v>
      </c>
      <c r="S424">
        <v>0.75560000000000005</v>
      </c>
      <c r="T424">
        <v>0.75560000000000005</v>
      </c>
      <c r="U424">
        <v>5</v>
      </c>
      <c r="V424">
        <v>0</v>
      </c>
      <c r="W424">
        <v>0.2</v>
      </c>
      <c r="X424">
        <v>0</v>
      </c>
      <c r="Y424">
        <v>0.44330000000000003</v>
      </c>
      <c r="Z424">
        <v>1</v>
      </c>
    </row>
    <row r="425" spans="1:26" x14ac:dyDescent="0.2">
      <c r="A425" t="s">
        <v>37</v>
      </c>
      <c r="B425">
        <v>2014</v>
      </c>
      <c r="C425" t="str">
        <f t="shared" si="6"/>
        <v>DCM2014</v>
      </c>
      <c r="D425">
        <v>2.9993214725027379E-15</v>
      </c>
      <c r="E425">
        <v>0.1480185707703294</v>
      </c>
      <c r="F425">
        <v>1.067740014955999</v>
      </c>
      <c r="G425">
        <v>30.437020796470559</v>
      </c>
      <c r="H425">
        <v>1.324503481323476</v>
      </c>
      <c r="I425">
        <v>0.66362911400213731</v>
      </c>
      <c r="J425">
        <v>0.15980105350630591</v>
      </c>
      <c r="K425">
        <v>0.26540751836179832</v>
      </c>
      <c r="L425">
        <v>0.66247285062228745</v>
      </c>
      <c r="M425">
        <v>3</v>
      </c>
      <c r="N425">
        <v>1</v>
      </c>
      <c r="O425">
        <v>0</v>
      </c>
      <c r="P425">
        <v>0.75560000000000005</v>
      </c>
      <c r="Q425">
        <v>5.0000000000000001E-4</v>
      </c>
      <c r="R425">
        <v>0</v>
      </c>
      <c r="S425">
        <v>0.75560000000000005</v>
      </c>
      <c r="T425">
        <v>0.75560000000000005</v>
      </c>
      <c r="U425">
        <v>5</v>
      </c>
      <c r="V425">
        <v>0</v>
      </c>
      <c r="W425">
        <v>0.2</v>
      </c>
      <c r="X425">
        <v>0</v>
      </c>
      <c r="Y425">
        <v>0.44330000000000003</v>
      </c>
      <c r="Z425">
        <v>1</v>
      </c>
    </row>
    <row r="426" spans="1:26" x14ac:dyDescent="0.2">
      <c r="A426" t="s">
        <v>37</v>
      </c>
      <c r="B426">
        <v>2015</v>
      </c>
      <c r="C426" t="str">
        <f t="shared" si="6"/>
        <v>DCM2015</v>
      </c>
      <c r="D426">
        <v>3.3986489016732879E-15</v>
      </c>
      <c r="E426">
        <v>0.114301001974695</v>
      </c>
      <c r="F426">
        <v>1.041168788986149</v>
      </c>
      <c r="G426">
        <v>30.303694142116079</v>
      </c>
      <c r="H426">
        <v>1.305947699472042</v>
      </c>
      <c r="I426">
        <v>0.56948983356177696</v>
      </c>
      <c r="J426">
        <v>-0.124820835673442</v>
      </c>
      <c r="K426">
        <v>3.3522100248682088E-2</v>
      </c>
      <c r="L426">
        <v>0.68208009921957147</v>
      </c>
      <c r="M426">
        <v>4</v>
      </c>
      <c r="N426">
        <v>1</v>
      </c>
      <c r="O426">
        <v>0</v>
      </c>
      <c r="P426">
        <v>0.8175</v>
      </c>
      <c r="Q426">
        <v>5.0000000000000001E-4</v>
      </c>
      <c r="R426">
        <v>0</v>
      </c>
      <c r="S426">
        <v>0.75560000000000005</v>
      </c>
      <c r="T426">
        <v>0.8175</v>
      </c>
      <c r="U426">
        <v>5</v>
      </c>
      <c r="V426">
        <v>0</v>
      </c>
      <c r="W426">
        <v>0.2</v>
      </c>
      <c r="X426">
        <v>0</v>
      </c>
      <c r="Y426">
        <v>0.4546</v>
      </c>
      <c r="Z426">
        <v>1</v>
      </c>
    </row>
    <row r="427" spans="1:26" x14ac:dyDescent="0.2">
      <c r="A427" t="s">
        <v>37</v>
      </c>
      <c r="B427">
        <v>2016</v>
      </c>
      <c r="C427" t="str">
        <f t="shared" si="6"/>
        <v>DCM2016</v>
      </c>
      <c r="D427">
        <v>3.7131161888023653E-15</v>
      </c>
      <c r="E427">
        <v>0.1067203215186095</v>
      </c>
      <c r="F427">
        <v>0.96322733336752742</v>
      </c>
      <c r="G427">
        <v>30.193432785735229</v>
      </c>
      <c r="H427">
        <v>1.8280901505634299</v>
      </c>
      <c r="I427">
        <v>0.54883784468546137</v>
      </c>
      <c r="J427">
        <v>-0.1043999660776425</v>
      </c>
      <c r="K427">
        <v>9.6493326281537548E-2</v>
      </c>
      <c r="L427">
        <v>0.67641928952567854</v>
      </c>
      <c r="M427">
        <v>5</v>
      </c>
      <c r="N427">
        <v>1</v>
      </c>
      <c r="O427">
        <v>0</v>
      </c>
      <c r="P427">
        <v>0.85730000000000006</v>
      </c>
      <c r="Q427">
        <v>2.9999999999999997E-4</v>
      </c>
      <c r="R427">
        <v>0</v>
      </c>
      <c r="S427">
        <v>0.75560000000000005</v>
      </c>
      <c r="T427">
        <v>0.85730000000000006</v>
      </c>
      <c r="U427">
        <v>5</v>
      </c>
      <c r="V427">
        <v>0</v>
      </c>
      <c r="W427">
        <v>0.2</v>
      </c>
      <c r="X427">
        <v>0</v>
      </c>
      <c r="Y427">
        <v>0.4546</v>
      </c>
      <c r="Z427">
        <v>1</v>
      </c>
    </row>
    <row r="428" spans="1:26" x14ac:dyDescent="0.2">
      <c r="A428" t="s">
        <v>37</v>
      </c>
      <c r="B428">
        <v>2017</v>
      </c>
      <c r="C428" t="str">
        <f t="shared" si="6"/>
        <v>DCM2017</v>
      </c>
      <c r="D428">
        <v>4.1337531618936456E-15</v>
      </c>
      <c r="E428">
        <v>0.10422920513603701</v>
      </c>
      <c r="F428">
        <v>1.084000015183755</v>
      </c>
      <c r="G428">
        <v>30.153236727946719</v>
      </c>
      <c r="H428">
        <v>1.5909827486771559</v>
      </c>
      <c r="I428">
        <v>0.50598579514273967</v>
      </c>
      <c r="J428">
        <v>-3.9398912635817518E-2</v>
      </c>
      <c r="K428">
        <v>0.1942871660041853</v>
      </c>
      <c r="L428">
        <v>0.60805477985001766</v>
      </c>
      <c r="M428">
        <v>6</v>
      </c>
      <c r="N428">
        <v>1</v>
      </c>
      <c r="O428">
        <v>0</v>
      </c>
      <c r="P428">
        <v>0.84089999999999998</v>
      </c>
      <c r="Q428">
        <v>4.0000000000000002E-4</v>
      </c>
      <c r="R428">
        <v>0</v>
      </c>
      <c r="S428">
        <v>0.75560000000000005</v>
      </c>
      <c r="T428">
        <v>0.84089999999999998</v>
      </c>
      <c r="U428">
        <v>5</v>
      </c>
      <c r="V428">
        <v>0</v>
      </c>
      <c r="W428">
        <v>0.2</v>
      </c>
      <c r="X428">
        <v>0</v>
      </c>
      <c r="Y428">
        <v>0.4607</v>
      </c>
      <c r="Z428">
        <v>1</v>
      </c>
    </row>
    <row r="429" spans="1:26" x14ac:dyDescent="0.2">
      <c r="A429" t="s">
        <v>37</v>
      </c>
      <c r="B429">
        <v>2018</v>
      </c>
      <c r="C429" t="str">
        <f t="shared" si="6"/>
        <v>DCM2018</v>
      </c>
      <c r="D429">
        <v>5.4166075235617692E-15</v>
      </c>
      <c r="E429">
        <v>0.105132053975017</v>
      </c>
      <c r="F429">
        <v>0.92601914148604081</v>
      </c>
      <c r="G429">
        <v>30.031693110793729</v>
      </c>
      <c r="H429">
        <v>1.916073314685464</v>
      </c>
      <c r="I429">
        <v>0.43168277457120319</v>
      </c>
      <c r="J429">
        <v>-0.1144475727692059</v>
      </c>
      <c r="K429">
        <v>0.15334057782550711</v>
      </c>
      <c r="L429">
        <v>0.60232616428258423</v>
      </c>
      <c r="M429">
        <v>7</v>
      </c>
      <c r="N429">
        <v>1</v>
      </c>
      <c r="O429">
        <v>0</v>
      </c>
      <c r="P429">
        <v>0.84079999999999999</v>
      </c>
      <c r="Q429">
        <v>2.0000000000000001E-4</v>
      </c>
      <c r="R429">
        <v>0</v>
      </c>
      <c r="S429">
        <v>0.75560000000000005</v>
      </c>
      <c r="T429">
        <v>0.84079999999999999</v>
      </c>
      <c r="U429">
        <v>5</v>
      </c>
      <c r="V429">
        <v>0</v>
      </c>
      <c r="W429">
        <v>0.2</v>
      </c>
      <c r="X429">
        <v>1</v>
      </c>
      <c r="Y429">
        <v>0.46289999999999998</v>
      </c>
      <c r="Z429">
        <v>1</v>
      </c>
    </row>
    <row r="430" spans="1:26" x14ac:dyDescent="0.2">
      <c r="A430" t="s">
        <v>37</v>
      </c>
      <c r="B430">
        <v>2019</v>
      </c>
      <c r="C430" t="str">
        <f t="shared" si="6"/>
        <v>DCM2019</v>
      </c>
      <c r="D430">
        <v>4.1333278754638242E-15</v>
      </c>
      <c r="E430">
        <v>7.0045988623761754E-2</v>
      </c>
      <c r="F430">
        <v>0.7379992701115371</v>
      </c>
      <c r="G430">
        <v>29.950718431376661</v>
      </c>
      <c r="H430">
        <v>1.3943940432840489</v>
      </c>
      <c r="I430">
        <v>0.39972766059213632</v>
      </c>
      <c r="J430">
        <v>-7.7782957777920658E-2</v>
      </c>
      <c r="K430">
        <v>0.14697997907037369</v>
      </c>
      <c r="L430">
        <v>0.57340273508560202</v>
      </c>
      <c r="M430">
        <v>8</v>
      </c>
      <c r="N430">
        <v>1</v>
      </c>
      <c r="O430">
        <v>1</v>
      </c>
      <c r="P430">
        <v>0.84079999999999999</v>
      </c>
      <c r="Q430">
        <v>2.0000000000000001E-4</v>
      </c>
      <c r="R430">
        <v>0</v>
      </c>
      <c r="S430">
        <v>0.75560000000000005</v>
      </c>
      <c r="T430">
        <v>0.84079999999999999</v>
      </c>
      <c r="U430">
        <v>5</v>
      </c>
      <c r="V430">
        <v>0</v>
      </c>
      <c r="W430">
        <v>0.2</v>
      </c>
      <c r="X430">
        <v>1</v>
      </c>
      <c r="Y430">
        <v>0.47210000000000002</v>
      </c>
      <c r="Z430">
        <v>1</v>
      </c>
    </row>
    <row r="431" spans="1:26" x14ac:dyDescent="0.2">
      <c r="A431" t="s">
        <v>37</v>
      </c>
      <c r="B431">
        <v>2020</v>
      </c>
      <c r="C431" t="str">
        <f t="shared" si="6"/>
        <v>DCM2020</v>
      </c>
      <c r="D431">
        <v>8.7170334589181882E-15</v>
      </c>
      <c r="E431">
        <v>0.1047106320688882</v>
      </c>
      <c r="F431">
        <v>1.1244800382633779</v>
      </c>
      <c r="G431">
        <v>29.79635140059397</v>
      </c>
      <c r="H431">
        <v>1.28789082528794</v>
      </c>
      <c r="I431">
        <v>0.27428027732415139</v>
      </c>
      <c r="J431">
        <v>-0.14304256647422289</v>
      </c>
      <c r="K431">
        <v>0.21703696585651441</v>
      </c>
      <c r="L431">
        <v>0.5346253678869598</v>
      </c>
      <c r="M431">
        <v>9</v>
      </c>
      <c r="N431">
        <v>1</v>
      </c>
      <c r="O431">
        <v>1</v>
      </c>
      <c r="P431">
        <v>0.92509999999999992</v>
      </c>
      <c r="Q431">
        <v>2.0000000000000001E-4</v>
      </c>
      <c r="R431">
        <v>0</v>
      </c>
      <c r="S431">
        <v>0.75560000000000005</v>
      </c>
      <c r="T431">
        <v>0.92509999999999992</v>
      </c>
      <c r="U431">
        <v>6</v>
      </c>
      <c r="V431">
        <v>0</v>
      </c>
      <c r="W431">
        <v>0.1666666666666666</v>
      </c>
      <c r="X431">
        <v>1</v>
      </c>
      <c r="Y431">
        <v>0.47560000000000002</v>
      </c>
      <c r="Z431">
        <v>1</v>
      </c>
    </row>
    <row r="432" spans="1:26" x14ac:dyDescent="0.2">
      <c r="A432" t="s">
        <v>37</v>
      </c>
      <c r="B432">
        <v>2021</v>
      </c>
      <c r="C432" t="str">
        <f t="shared" si="6"/>
        <v>DCM2021</v>
      </c>
      <c r="D432">
        <v>1.489596556603191E-14</v>
      </c>
      <c r="E432">
        <v>0.24419638040102121</v>
      </c>
      <c r="F432">
        <v>2.0793670303193941</v>
      </c>
      <c r="G432">
        <v>30.035451473461752</v>
      </c>
      <c r="H432">
        <v>1.9404378527097239</v>
      </c>
      <c r="I432">
        <v>0.32460121695038707</v>
      </c>
      <c r="J432">
        <v>0.27010563333738352</v>
      </c>
      <c r="K432">
        <v>0.24237002330964591</v>
      </c>
      <c r="L432">
        <v>0.31004049808529788</v>
      </c>
      <c r="M432">
        <v>10</v>
      </c>
      <c r="N432">
        <v>1</v>
      </c>
      <c r="O432">
        <v>0</v>
      </c>
      <c r="P432">
        <v>0.75560000000000005</v>
      </c>
      <c r="Q432">
        <v>1E-4</v>
      </c>
      <c r="R432">
        <v>0</v>
      </c>
      <c r="S432">
        <v>0.75560000000000005</v>
      </c>
      <c r="T432">
        <v>0.75560000000000005</v>
      </c>
      <c r="U432">
        <v>7</v>
      </c>
      <c r="V432">
        <v>0</v>
      </c>
      <c r="W432">
        <v>0.2857142857142857</v>
      </c>
      <c r="X432">
        <v>1</v>
      </c>
      <c r="Y432">
        <v>0.47939999999999999</v>
      </c>
      <c r="Z432">
        <v>1</v>
      </c>
    </row>
    <row r="433" spans="1:26" x14ac:dyDescent="0.2">
      <c r="A433" t="s">
        <v>37</v>
      </c>
      <c r="B433">
        <v>2022</v>
      </c>
      <c r="C433" t="str">
        <f t="shared" si="6"/>
        <v>DCM2022</v>
      </c>
      <c r="D433">
        <v>2.1530054654016841E-14</v>
      </c>
      <c r="E433">
        <v>0.40743968589090701</v>
      </c>
      <c r="F433">
        <v>1.241666184989227</v>
      </c>
      <c r="G433">
        <v>30.28192660098048</v>
      </c>
      <c r="H433">
        <v>2.2833953355592098</v>
      </c>
      <c r="I433">
        <v>0.25139033790768978</v>
      </c>
      <c r="J433">
        <v>0.27950735829901041</v>
      </c>
      <c r="K433">
        <v>0.41933383442554878</v>
      </c>
      <c r="L433">
        <v>0.15478525411595381</v>
      </c>
      <c r="M433">
        <v>11</v>
      </c>
      <c r="N433">
        <v>1</v>
      </c>
      <c r="O433">
        <v>0</v>
      </c>
      <c r="P433">
        <v>0.75560000000000005</v>
      </c>
      <c r="Q433">
        <v>1E-4</v>
      </c>
      <c r="R433">
        <v>0</v>
      </c>
      <c r="S433">
        <v>0.75560000000000005</v>
      </c>
      <c r="T433">
        <v>0.75560000000000005</v>
      </c>
      <c r="U433">
        <v>7</v>
      </c>
      <c r="V433">
        <v>0</v>
      </c>
      <c r="W433">
        <v>0.14285714285714279</v>
      </c>
      <c r="X433">
        <v>1</v>
      </c>
      <c r="Y433">
        <v>0.4894</v>
      </c>
      <c r="Z433">
        <v>1</v>
      </c>
    </row>
    <row r="434" spans="1:26" x14ac:dyDescent="0.2">
      <c r="A434" t="s">
        <v>37</v>
      </c>
      <c r="B434">
        <v>2023</v>
      </c>
      <c r="C434" t="str">
        <f t="shared" si="6"/>
        <v>DCM2023</v>
      </c>
      <c r="D434">
        <v>14683179393603.77</v>
      </c>
      <c r="E434">
        <v>7.7151128263800176E-2</v>
      </c>
      <c r="F434">
        <v>1.123989980929883</v>
      </c>
      <c r="G434">
        <v>30.354811220754669</v>
      </c>
      <c r="H434">
        <v>4.0439886808691332</v>
      </c>
      <c r="I434">
        <v>5.5701021056813578E-2</v>
      </c>
      <c r="J434">
        <v>7.560642604255019E-2</v>
      </c>
      <c r="K434">
        <v>0.18492686019032581</v>
      </c>
      <c r="L434">
        <v>8.7804212401468004E-2</v>
      </c>
      <c r="M434">
        <v>12</v>
      </c>
      <c r="N434">
        <v>0</v>
      </c>
      <c r="O434">
        <v>0</v>
      </c>
      <c r="P434">
        <v>0.75560000000000005</v>
      </c>
      <c r="Q434">
        <v>1E-4</v>
      </c>
      <c r="R434">
        <v>0</v>
      </c>
      <c r="S434">
        <v>0.75560000000000005</v>
      </c>
      <c r="T434">
        <v>0.75560000000000005</v>
      </c>
      <c r="U434">
        <v>7</v>
      </c>
      <c r="V434">
        <v>0</v>
      </c>
      <c r="W434">
        <v>0.14285714285714279</v>
      </c>
      <c r="X434">
        <v>1</v>
      </c>
      <c r="Y434">
        <v>0.4894</v>
      </c>
      <c r="Z434">
        <v>1</v>
      </c>
    </row>
    <row r="435" spans="1:26" x14ac:dyDescent="0.2">
      <c r="A435" t="s">
        <v>38</v>
      </c>
      <c r="B435">
        <v>2013</v>
      </c>
      <c r="C435" t="str">
        <f t="shared" si="6"/>
        <v>DGC2013</v>
      </c>
      <c r="D435">
        <v>1.486026315463006E-13</v>
      </c>
      <c r="E435">
        <v>0.47406560347089988</v>
      </c>
      <c r="F435">
        <v>1.511555987929875</v>
      </c>
      <c r="G435">
        <v>27.976362206618941</v>
      </c>
      <c r="H435" t="e">
        <v>#N/A</v>
      </c>
      <c r="I435">
        <v>0.4527379682186789</v>
      </c>
      <c r="J435">
        <v>0</v>
      </c>
      <c r="K435">
        <v>-1.722247136002461E-2</v>
      </c>
      <c r="L435">
        <v>0.18471378670657879</v>
      </c>
      <c r="M435">
        <v>9</v>
      </c>
      <c r="N435">
        <v>0</v>
      </c>
      <c r="O435">
        <v>0</v>
      </c>
      <c r="P435">
        <v>0.61739999999999995</v>
      </c>
      <c r="Q435">
        <v>0.27339999999999998</v>
      </c>
      <c r="R435">
        <v>0</v>
      </c>
      <c r="S435">
        <v>0.1991</v>
      </c>
      <c r="T435">
        <v>0.1991</v>
      </c>
      <c r="U435">
        <v>5</v>
      </c>
      <c r="V435">
        <v>1</v>
      </c>
      <c r="W435">
        <v>0.2</v>
      </c>
      <c r="X435">
        <v>0</v>
      </c>
      <c r="Y435">
        <v>0.42</v>
      </c>
      <c r="Z435">
        <v>1</v>
      </c>
    </row>
    <row r="436" spans="1:26" x14ac:dyDescent="0.2">
      <c r="A436" t="s">
        <v>38</v>
      </c>
      <c r="B436">
        <v>2014</v>
      </c>
      <c r="C436" t="str">
        <f t="shared" si="6"/>
        <v>DGC2014</v>
      </c>
      <c r="D436">
        <v>7.8716866514988594E-14</v>
      </c>
      <c r="E436">
        <v>0.35145778154951712</v>
      </c>
      <c r="F436">
        <v>1.140199639798869</v>
      </c>
      <c r="G436">
        <v>28.148132200591441</v>
      </c>
      <c r="H436">
        <v>1.7358347820407261</v>
      </c>
      <c r="I436">
        <v>0.44311819263708863</v>
      </c>
      <c r="J436">
        <v>0.16318052108025219</v>
      </c>
      <c r="K436">
        <v>0.18158270106499849</v>
      </c>
      <c r="L436">
        <v>0.32550237011344929</v>
      </c>
      <c r="M436">
        <v>10</v>
      </c>
      <c r="N436">
        <v>0</v>
      </c>
      <c r="O436">
        <v>0</v>
      </c>
      <c r="P436">
        <v>0.61739999999999995</v>
      </c>
      <c r="Q436">
        <v>0.27339999999999998</v>
      </c>
      <c r="R436">
        <v>0</v>
      </c>
      <c r="S436">
        <v>0.1991</v>
      </c>
      <c r="T436">
        <v>0.1991</v>
      </c>
      <c r="U436">
        <v>5</v>
      </c>
      <c r="V436">
        <v>1</v>
      </c>
      <c r="W436">
        <v>0.2</v>
      </c>
      <c r="X436">
        <v>0</v>
      </c>
      <c r="Y436">
        <v>0.43</v>
      </c>
      <c r="Z436">
        <v>1</v>
      </c>
    </row>
    <row r="437" spans="1:26" x14ac:dyDescent="0.2">
      <c r="A437" t="s">
        <v>38</v>
      </c>
      <c r="B437">
        <v>2015</v>
      </c>
      <c r="C437" t="str">
        <f t="shared" si="6"/>
        <v>DGC2015</v>
      </c>
      <c r="D437">
        <v>1.1599573883311369E-13</v>
      </c>
      <c r="E437">
        <v>0.32695546906246942</v>
      </c>
      <c r="F437">
        <v>1.5455582698669481</v>
      </c>
      <c r="G437">
        <v>28.23781308903872</v>
      </c>
      <c r="H437">
        <v>1.270128479356587</v>
      </c>
      <c r="I437">
        <v>0.34915161018307278</v>
      </c>
      <c r="J437">
        <v>9.3825175755738233E-2</v>
      </c>
      <c r="K437">
        <v>0.15581350618186821</v>
      </c>
      <c r="L437">
        <v>0.32169019833584972</v>
      </c>
      <c r="M437">
        <v>11</v>
      </c>
      <c r="N437">
        <v>0</v>
      </c>
      <c r="O437">
        <v>0</v>
      </c>
      <c r="P437">
        <v>0.61739999999999995</v>
      </c>
      <c r="Q437">
        <v>0.27110000000000001</v>
      </c>
      <c r="R437">
        <v>0</v>
      </c>
      <c r="S437">
        <v>0.1991</v>
      </c>
      <c r="T437">
        <v>0.1991</v>
      </c>
      <c r="U437">
        <v>5</v>
      </c>
      <c r="V437">
        <v>1</v>
      </c>
      <c r="W437">
        <v>0</v>
      </c>
      <c r="X437">
        <v>0</v>
      </c>
      <c r="Y437">
        <v>0.44330000000000003</v>
      </c>
      <c r="Z437">
        <v>1</v>
      </c>
    </row>
    <row r="438" spans="1:26" x14ac:dyDescent="0.2">
      <c r="A438" t="s">
        <v>38</v>
      </c>
      <c r="B438">
        <v>2016</v>
      </c>
      <c r="C438" t="str">
        <f t="shared" si="6"/>
        <v>DGC2016</v>
      </c>
      <c r="D438">
        <v>3.7664899769957648E-14</v>
      </c>
      <c r="E438">
        <v>0.11097857223987161</v>
      </c>
      <c r="F438">
        <v>1.3548495264149309</v>
      </c>
      <c r="G438">
        <v>28.32652178400884</v>
      </c>
      <c r="H438">
        <v>1.2916718785690029</v>
      </c>
      <c r="I438">
        <v>0.3196227474809783</v>
      </c>
      <c r="J438">
        <v>-0.60641788137644603</v>
      </c>
      <c r="K438">
        <v>0.25031113292356172</v>
      </c>
      <c r="L438">
        <v>6.8101876502944136E-2</v>
      </c>
      <c r="M438">
        <v>12</v>
      </c>
      <c r="N438">
        <v>0</v>
      </c>
      <c r="O438">
        <v>0</v>
      </c>
      <c r="P438">
        <v>0.61739999999999995</v>
      </c>
      <c r="Q438">
        <v>0.2697</v>
      </c>
      <c r="R438">
        <v>0</v>
      </c>
      <c r="S438">
        <v>0.1991</v>
      </c>
      <c r="T438">
        <v>0.1991</v>
      </c>
      <c r="U438">
        <v>5</v>
      </c>
      <c r="V438">
        <v>1</v>
      </c>
      <c r="W438">
        <v>0</v>
      </c>
      <c r="X438">
        <v>0</v>
      </c>
      <c r="Y438">
        <v>0.45329999999999998</v>
      </c>
      <c r="Z438">
        <v>1</v>
      </c>
    </row>
    <row r="439" spans="1:26" x14ac:dyDescent="0.2">
      <c r="A439" t="s">
        <v>38</v>
      </c>
      <c r="B439">
        <v>2017</v>
      </c>
      <c r="C439" t="str">
        <f t="shared" si="6"/>
        <v>DGC2017</v>
      </c>
      <c r="D439">
        <v>1.6340426782982231E-13</v>
      </c>
      <c r="E439">
        <v>0.1927313636198747</v>
      </c>
      <c r="F439">
        <v>2.098865320473708</v>
      </c>
      <c r="G439">
        <v>27.510469100127729</v>
      </c>
      <c r="H439">
        <v>2.843499648995246</v>
      </c>
      <c r="I439">
        <v>0.2484533799949519</v>
      </c>
      <c r="J439">
        <v>0.2276742873778215</v>
      </c>
      <c r="K439">
        <v>-4.7004255311278338E-2</v>
      </c>
      <c r="L439">
        <v>5.2296332113488372E-2</v>
      </c>
      <c r="M439">
        <v>13</v>
      </c>
      <c r="N439">
        <v>0</v>
      </c>
      <c r="O439">
        <v>0</v>
      </c>
      <c r="P439">
        <v>0.61739999999999995</v>
      </c>
      <c r="Q439">
        <v>0.2697</v>
      </c>
      <c r="R439">
        <v>0</v>
      </c>
      <c r="S439">
        <v>0.1991</v>
      </c>
      <c r="T439">
        <v>0.1991</v>
      </c>
      <c r="U439">
        <v>5</v>
      </c>
      <c r="V439">
        <v>1</v>
      </c>
      <c r="W439">
        <v>0</v>
      </c>
      <c r="X439">
        <v>0</v>
      </c>
      <c r="Y439">
        <v>0.46329999999999999</v>
      </c>
      <c r="Z439">
        <v>1</v>
      </c>
    </row>
    <row r="440" spans="1:26" x14ac:dyDescent="0.2">
      <c r="A440" t="s">
        <v>38</v>
      </c>
      <c r="B440">
        <v>2018</v>
      </c>
      <c r="C440" t="str">
        <f t="shared" si="6"/>
        <v>DGC2018</v>
      </c>
      <c r="D440">
        <v>3.9011855808113437E-14</v>
      </c>
      <c r="E440">
        <v>0.27573151613325891</v>
      </c>
      <c r="F440">
        <v>1.37917822954716</v>
      </c>
      <c r="G440">
        <v>29.184945556051758</v>
      </c>
      <c r="H440">
        <v>1.683873513109579</v>
      </c>
      <c r="I440">
        <v>0.33077676472738471</v>
      </c>
      <c r="J440">
        <v>4.3360007860499854</v>
      </c>
      <c r="K440">
        <v>0.121807574448055</v>
      </c>
      <c r="L440">
        <v>0.50570793199484976</v>
      </c>
      <c r="M440">
        <v>14</v>
      </c>
      <c r="N440">
        <v>0</v>
      </c>
      <c r="O440">
        <v>0</v>
      </c>
      <c r="P440">
        <v>0.41239999999999999</v>
      </c>
      <c r="Q440">
        <v>0.21929999999999999</v>
      </c>
      <c r="R440">
        <v>0</v>
      </c>
      <c r="S440">
        <v>9.2399999999999996E-2</v>
      </c>
      <c r="T440">
        <v>9.2399999999999996E-2</v>
      </c>
      <c r="U440">
        <v>5</v>
      </c>
      <c r="V440">
        <v>1</v>
      </c>
      <c r="W440">
        <v>0</v>
      </c>
      <c r="X440">
        <v>0</v>
      </c>
      <c r="Y440">
        <v>0.45</v>
      </c>
      <c r="Z440">
        <v>1</v>
      </c>
    </row>
    <row r="441" spans="1:26" x14ac:dyDescent="0.2">
      <c r="A441" t="s">
        <v>38</v>
      </c>
      <c r="B441">
        <v>2019</v>
      </c>
      <c r="C441" t="str">
        <f t="shared" si="6"/>
        <v>DGC2019</v>
      </c>
      <c r="D441">
        <v>2.5635079951954408E-14</v>
      </c>
      <c r="E441">
        <v>0.1655941181532819</v>
      </c>
      <c r="F441">
        <v>0.93750160243349423</v>
      </c>
      <c r="G441">
        <v>29.183223179581208</v>
      </c>
      <c r="H441">
        <v>1.365064011352441</v>
      </c>
      <c r="I441">
        <v>0.26902493833210261</v>
      </c>
      <c r="J441">
        <v>-1.720894031426057E-3</v>
      </c>
      <c r="K441">
        <v>0.1841349000088883</v>
      </c>
      <c r="L441">
        <v>0.4754884877282024</v>
      </c>
      <c r="M441">
        <v>15</v>
      </c>
      <c r="N441">
        <v>0</v>
      </c>
      <c r="O441">
        <v>1</v>
      </c>
      <c r="P441">
        <v>0.3957</v>
      </c>
      <c r="Q441">
        <v>0.2107</v>
      </c>
      <c r="R441">
        <v>0</v>
      </c>
      <c r="S441">
        <v>8.8499999999999995E-2</v>
      </c>
      <c r="T441">
        <v>8.8499999999999995E-2</v>
      </c>
      <c r="U441">
        <v>5</v>
      </c>
      <c r="V441">
        <v>1</v>
      </c>
      <c r="W441">
        <v>0</v>
      </c>
      <c r="X441">
        <v>0</v>
      </c>
      <c r="Y441">
        <v>0.43559999999999999</v>
      </c>
      <c r="Z441">
        <v>1</v>
      </c>
    </row>
    <row r="442" spans="1:26" x14ac:dyDescent="0.2">
      <c r="A442" t="s">
        <v>38</v>
      </c>
      <c r="B442">
        <v>2020</v>
      </c>
      <c r="C442" t="str">
        <f t="shared" si="6"/>
        <v>DGC2020</v>
      </c>
      <c r="D442">
        <v>2.7457135355325389E-14</v>
      </c>
      <c r="E442">
        <v>0.23308845026476599</v>
      </c>
      <c r="F442">
        <v>1.6015019043897449</v>
      </c>
      <c r="G442">
        <v>29.401922862664151</v>
      </c>
      <c r="H442">
        <v>1.7815961604799411</v>
      </c>
      <c r="I442">
        <v>0.30780680264670318</v>
      </c>
      <c r="J442">
        <v>0.24445748892646629</v>
      </c>
      <c r="K442">
        <v>0.18872731492762529</v>
      </c>
      <c r="L442">
        <v>0.37604789553602908</v>
      </c>
      <c r="M442">
        <v>16</v>
      </c>
      <c r="N442">
        <v>0</v>
      </c>
      <c r="O442">
        <v>1</v>
      </c>
      <c r="P442">
        <v>0.3957</v>
      </c>
      <c r="Q442">
        <v>0.2094</v>
      </c>
      <c r="R442">
        <v>0</v>
      </c>
      <c r="S442">
        <v>8.8499999999999995E-2</v>
      </c>
      <c r="T442">
        <v>8.8499999999999995E-2</v>
      </c>
      <c r="U442">
        <v>5</v>
      </c>
      <c r="V442">
        <v>0</v>
      </c>
      <c r="W442">
        <v>0</v>
      </c>
      <c r="X442">
        <v>0</v>
      </c>
      <c r="Y442">
        <v>0.42330000000000001</v>
      </c>
      <c r="Z442">
        <v>1</v>
      </c>
    </row>
    <row r="443" spans="1:26" x14ac:dyDescent="0.2">
      <c r="A443" t="s">
        <v>38</v>
      </c>
      <c r="B443">
        <v>2021</v>
      </c>
      <c r="C443" t="str">
        <f t="shared" si="6"/>
        <v>DGC2021</v>
      </c>
      <c r="D443">
        <v>3.4626400684883867E-14</v>
      </c>
      <c r="E443">
        <v>0.39699548315066679</v>
      </c>
      <c r="F443">
        <v>3.467449438429711</v>
      </c>
      <c r="G443">
        <v>29.773483596124471</v>
      </c>
      <c r="H443">
        <v>1.898409166783062</v>
      </c>
      <c r="I443">
        <v>0.25684155472313208</v>
      </c>
      <c r="J443">
        <v>0.44999590669613032</v>
      </c>
      <c r="K443">
        <v>0.31366491002463159</v>
      </c>
      <c r="L443">
        <v>0.25178545375928962</v>
      </c>
      <c r="M443">
        <v>17</v>
      </c>
      <c r="N443">
        <v>1</v>
      </c>
      <c r="O443">
        <v>0</v>
      </c>
      <c r="P443">
        <v>0.40239999999999998</v>
      </c>
      <c r="Q443">
        <v>0.2162</v>
      </c>
      <c r="R443">
        <v>0</v>
      </c>
      <c r="S443">
        <v>8.8499999999999995E-2</v>
      </c>
      <c r="T443">
        <v>8.8499999999999995E-2</v>
      </c>
      <c r="U443">
        <v>5</v>
      </c>
      <c r="V443">
        <v>0</v>
      </c>
      <c r="W443">
        <v>0</v>
      </c>
      <c r="X443">
        <v>0</v>
      </c>
      <c r="Y443">
        <v>0.43330000000000002</v>
      </c>
      <c r="Z443">
        <v>1</v>
      </c>
    </row>
    <row r="444" spans="1:26" x14ac:dyDescent="0.2">
      <c r="A444" t="s">
        <v>38</v>
      </c>
      <c r="B444">
        <v>2022</v>
      </c>
      <c r="C444" t="str">
        <f t="shared" si="6"/>
        <v>DGC2022</v>
      </c>
      <c r="D444">
        <v>3.3594986080852548E-14</v>
      </c>
      <c r="E444">
        <v>0.55724346568264749</v>
      </c>
      <c r="F444">
        <v>1.86051005824055</v>
      </c>
      <c r="G444">
        <v>30.2266625202999</v>
      </c>
      <c r="H444">
        <v>2.740653548191784</v>
      </c>
      <c r="I444">
        <v>0.1918309400768215</v>
      </c>
      <c r="J444">
        <v>0.57330566375046854</v>
      </c>
      <c r="K444">
        <v>0.45238453977437409</v>
      </c>
      <c r="L444">
        <v>0.15029404860241269</v>
      </c>
      <c r="M444">
        <v>18</v>
      </c>
      <c r="N444">
        <v>1</v>
      </c>
      <c r="O444">
        <v>0</v>
      </c>
      <c r="P444">
        <v>0.30990000000000001</v>
      </c>
      <c r="Q444">
        <v>0.21709999999999999</v>
      </c>
      <c r="R444">
        <v>0</v>
      </c>
      <c r="S444">
        <v>0</v>
      </c>
      <c r="T444">
        <v>0</v>
      </c>
      <c r="U444">
        <v>5</v>
      </c>
      <c r="V444">
        <v>0</v>
      </c>
      <c r="W444">
        <v>0</v>
      </c>
      <c r="X444">
        <v>0</v>
      </c>
      <c r="Y444">
        <v>0.44</v>
      </c>
      <c r="Z444">
        <v>1</v>
      </c>
    </row>
    <row r="445" spans="1:26" x14ac:dyDescent="0.2">
      <c r="A445" t="s">
        <v>38</v>
      </c>
      <c r="B445">
        <v>2023</v>
      </c>
      <c r="C445" t="str">
        <f t="shared" si="6"/>
        <v>DGC2023</v>
      </c>
      <c r="D445">
        <v>20394508518525.871</v>
      </c>
      <c r="E445">
        <v>0.22815916019200139</v>
      </c>
      <c r="F445">
        <v>2.393107565614109</v>
      </c>
      <c r="G445">
        <v>30.374174994670639</v>
      </c>
      <c r="H445">
        <v>4.2720584975368654</v>
      </c>
      <c r="I445">
        <v>8.5480218130346536E-2</v>
      </c>
      <c r="J445">
        <v>0.15894774188337779</v>
      </c>
      <c r="K445">
        <v>0.21043104872999921</v>
      </c>
      <c r="L445">
        <v>0.15180099014368439</v>
      </c>
      <c r="M445">
        <v>19</v>
      </c>
      <c r="N445">
        <v>0</v>
      </c>
      <c r="O445">
        <v>0</v>
      </c>
      <c r="P445">
        <v>0.30990000000000001</v>
      </c>
      <c r="Q445">
        <v>0.21709999999999999</v>
      </c>
      <c r="R445">
        <v>0</v>
      </c>
      <c r="S445">
        <v>0</v>
      </c>
      <c r="T445">
        <v>0</v>
      </c>
      <c r="U445">
        <v>5</v>
      </c>
      <c r="V445">
        <v>0</v>
      </c>
      <c r="W445">
        <v>0</v>
      </c>
      <c r="X445">
        <v>0</v>
      </c>
      <c r="Y445">
        <v>0.44</v>
      </c>
      <c r="Z445">
        <v>1</v>
      </c>
    </row>
    <row r="446" spans="1:26" x14ac:dyDescent="0.2">
      <c r="A446" t="s">
        <v>39</v>
      </c>
      <c r="B446">
        <v>2012</v>
      </c>
      <c r="C446" t="str">
        <f t="shared" si="6"/>
        <v>DHC2012</v>
      </c>
      <c r="D446">
        <v>-1.336867574516234E-14</v>
      </c>
      <c r="E446">
        <v>-1.276843778555857E-2</v>
      </c>
      <c r="F446">
        <v>0.74032282383576531</v>
      </c>
      <c r="G446">
        <v>26.799805694988311</v>
      </c>
      <c r="H446">
        <v>0.95037083407522471</v>
      </c>
      <c r="I446">
        <v>0.54400681251345473</v>
      </c>
      <c r="J446">
        <v>-0.33340144759900753</v>
      </c>
      <c r="K446">
        <v>5.0488193544392032E-2</v>
      </c>
      <c r="L446">
        <v>0.54188131382587479</v>
      </c>
      <c r="M446">
        <v>9</v>
      </c>
      <c r="N446">
        <v>0</v>
      </c>
      <c r="O446">
        <v>0</v>
      </c>
      <c r="P446">
        <v>0.56420000000000003</v>
      </c>
      <c r="Q446">
        <v>0.37969999999999998</v>
      </c>
      <c r="R446">
        <v>0</v>
      </c>
      <c r="S446">
        <v>0</v>
      </c>
      <c r="T446">
        <v>0.13950000000000001</v>
      </c>
      <c r="U446">
        <v>5</v>
      </c>
      <c r="V446">
        <v>1</v>
      </c>
      <c r="W446">
        <v>0.2</v>
      </c>
      <c r="X446">
        <v>1</v>
      </c>
      <c r="Y446">
        <v>0.44219999999999998</v>
      </c>
      <c r="Z446">
        <v>0.8</v>
      </c>
    </row>
    <row r="447" spans="1:26" x14ac:dyDescent="0.2">
      <c r="A447" t="s">
        <v>39</v>
      </c>
      <c r="B447">
        <v>2013</v>
      </c>
      <c r="C447" t="str">
        <f t="shared" si="6"/>
        <v>DHC2013</v>
      </c>
      <c r="D447">
        <v>1.697415406992852E-13</v>
      </c>
      <c r="E447">
        <v>0.1198682302497522</v>
      </c>
      <c r="F447">
        <v>0.76165553347999793</v>
      </c>
      <c r="G447">
        <v>26.712674586429781</v>
      </c>
      <c r="H447">
        <v>0.80464330786403671</v>
      </c>
      <c r="I447">
        <v>0.43473614473435601</v>
      </c>
      <c r="J447">
        <v>-3.3034343819715817E-2</v>
      </c>
      <c r="K447">
        <v>0.17894145336374331</v>
      </c>
      <c r="L447">
        <v>0.50735706561659</v>
      </c>
      <c r="M447">
        <v>10</v>
      </c>
      <c r="N447">
        <v>1</v>
      </c>
      <c r="O447">
        <v>0</v>
      </c>
      <c r="P447">
        <v>0.45910000000000001</v>
      </c>
      <c r="Q447">
        <v>0.3105</v>
      </c>
      <c r="R447">
        <v>0</v>
      </c>
      <c r="S447">
        <v>0</v>
      </c>
      <c r="T447">
        <v>9.6199999999999994E-2</v>
      </c>
      <c r="U447">
        <v>5</v>
      </c>
      <c r="V447">
        <v>0</v>
      </c>
      <c r="W447">
        <v>0.2</v>
      </c>
      <c r="X447">
        <v>1</v>
      </c>
      <c r="Y447">
        <v>0.43880000000000002</v>
      </c>
      <c r="Z447">
        <v>0.8</v>
      </c>
    </row>
    <row r="448" spans="1:26" x14ac:dyDescent="0.2">
      <c r="A448" t="s">
        <v>39</v>
      </c>
      <c r="B448">
        <v>2014</v>
      </c>
      <c r="C448" t="str">
        <f t="shared" si="6"/>
        <v>DHC2014</v>
      </c>
      <c r="D448">
        <v>2.4305079056051779E-13</v>
      </c>
      <c r="E448">
        <v>0.16665192861255421</v>
      </c>
      <c r="F448">
        <v>1.153293718817026</v>
      </c>
      <c r="G448">
        <v>26.766213394986249</v>
      </c>
      <c r="H448">
        <v>1.189774357140587</v>
      </c>
      <c r="I448">
        <v>0.38580613664663221</v>
      </c>
      <c r="J448">
        <v>0</v>
      </c>
      <c r="K448">
        <v>6.389085784049861E-2</v>
      </c>
      <c r="L448">
        <v>0.50735706561659</v>
      </c>
      <c r="M448">
        <v>11</v>
      </c>
      <c r="N448">
        <v>1</v>
      </c>
      <c r="O448">
        <v>0</v>
      </c>
      <c r="P448">
        <v>0.1731</v>
      </c>
      <c r="Q448">
        <v>0.22720000000000001</v>
      </c>
      <c r="R448">
        <v>0</v>
      </c>
      <c r="S448">
        <v>0</v>
      </c>
      <c r="T448">
        <v>0</v>
      </c>
      <c r="U448">
        <v>5</v>
      </c>
      <c r="V448">
        <v>1</v>
      </c>
      <c r="W448">
        <v>0.2</v>
      </c>
      <c r="X448">
        <v>1</v>
      </c>
      <c r="Y448">
        <v>0.44569999999999999</v>
      </c>
      <c r="Z448">
        <v>1</v>
      </c>
    </row>
    <row r="449" spans="1:26" x14ac:dyDescent="0.2">
      <c r="A449" t="s">
        <v>39</v>
      </c>
      <c r="B449">
        <v>2015</v>
      </c>
      <c r="C449" t="str">
        <f t="shared" si="6"/>
        <v>DHC2015</v>
      </c>
      <c r="D449">
        <v>4.8356250776687622E-13</v>
      </c>
      <c r="E449">
        <v>0.26337002701512169</v>
      </c>
      <c r="F449">
        <v>1.4482322490588631</v>
      </c>
      <c r="G449">
        <v>26.730055888892348</v>
      </c>
      <c r="H449">
        <v>1.189774357140587</v>
      </c>
      <c r="I449">
        <v>0.25423491575495311</v>
      </c>
      <c r="J449">
        <v>-3.5511631276667337E-2</v>
      </c>
      <c r="K449">
        <v>0.24246440248077381</v>
      </c>
      <c r="L449">
        <v>0.53877423401595748</v>
      </c>
      <c r="M449">
        <v>12</v>
      </c>
      <c r="N449">
        <v>1</v>
      </c>
      <c r="O449">
        <v>0</v>
      </c>
      <c r="P449">
        <v>0.31030000000000002</v>
      </c>
      <c r="Q449">
        <v>0.29210000000000003</v>
      </c>
      <c r="R449">
        <v>0</v>
      </c>
      <c r="S449">
        <v>0</v>
      </c>
      <c r="T449">
        <v>8.4000000000000005E-2</v>
      </c>
      <c r="U449">
        <v>5</v>
      </c>
      <c r="V449">
        <v>1</v>
      </c>
      <c r="W449">
        <v>0.2</v>
      </c>
      <c r="X449">
        <v>1</v>
      </c>
      <c r="Y449">
        <v>0.45569999999999999</v>
      </c>
      <c r="Z449">
        <v>1</v>
      </c>
    </row>
    <row r="450" spans="1:26" x14ac:dyDescent="0.2">
      <c r="A450" t="s">
        <v>39</v>
      </c>
      <c r="B450">
        <v>2016</v>
      </c>
      <c r="C450" t="str">
        <f t="shared" si="6"/>
        <v>DHC2016</v>
      </c>
      <c r="D450">
        <v>2.16241266635255E-13</v>
      </c>
      <c r="E450">
        <v>0.1644875085280523</v>
      </c>
      <c r="F450">
        <v>1.696045381310048</v>
      </c>
      <c r="G450">
        <v>27.168401609249379</v>
      </c>
      <c r="H450">
        <v>1.6872403979094699</v>
      </c>
      <c r="I450">
        <v>0.1722626445727653</v>
      </c>
      <c r="J450">
        <v>0.5501407299983978</v>
      </c>
      <c r="K450">
        <v>-3.2255997509764503E-2</v>
      </c>
      <c r="L450">
        <v>0.30827091389100741</v>
      </c>
      <c r="M450">
        <v>13</v>
      </c>
      <c r="N450">
        <v>1</v>
      </c>
      <c r="O450">
        <v>0</v>
      </c>
      <c r="P450">
        <v>0.37880000000000003</v>
      </c>
      <c r="Q450">
        <v>0.21690000000000001</v>
      </c>
      <c r="R450">
        <v>0.20469999999999999</v>
      </c>
      <c r="S450">
        <v>0</v>
      </c>
      <c r="T450">
        <v>0.27189999999999998</v>
      </c>
      <c r="U450">
        <v>6</v>
      </c>
      <c r="V450">
        <v>1</v>
      </c>
      <c r="W450">
        <v>0</v>
      </c>
      <c r="X450">
        <v>1</v>
      </c>
      <c r="Y450">
        <v>0.44090000000000001</v>
      </c>
      <c r="Z450">
        <v>1</v>
      </c>
    </row>
    <row r="451" spans="1:26" x14ac:dyDescent="0.2">
      <c r="A451" t="s">
        <v>39</v>
      </c>
      <c r="B451">
        <v>2017</v>
      </c>
      <c r="C451" t="str">
        <f t="shared" ref="C451:C514" si="7">A451&amp;B451</f>
        <v>DHC2017</v>
      </c>
      <c r="D451">
        <v>4.8230966323943777E-14</v>
      </c>
      <c r="E451">
        <v>0.11285568304419891</v>
      </c>
      <c r="F451">
        <v>1.6802394012570909</v>
      </c>
      <c r="G451">
        <v>27.885620968776038</v>
      </c>
      <c r="H451">
        <v>3.933563490299322</v>
      </c>
      <c r="I451">
        <v>0.4487179640451236</v>
      </c>
      <c r="J451">
        <v>1.0487285055512581</v>
      </c>
      <c r="K451">
        <v>1.1980752520596979E-2</v>
      </c>
      <c r="L451">
        <v>0.5532799872880404</v>
      </c>
      <c r="M451">
        <v>14</v>
      </c>
      <c r="N451">
        <v>1</v>
      </c>
      <c r="O451">
        <v>0</v>
      </c>
      <c r="P451">
        <v>0.52780000000000005</v>
      </c>
      <c r="Q451">
        <v>0.21709999999999999</v>
      </c>
      <c r="R451">
        <v>0.21260000000000001</v>
      </c>
      <c r="S451">
        <v>0</v>
      </c>
      <c r="T451">
        <v>0.27739999999999998</v>
      </c>
      <c r="U451">
        <v>6</v>
      </c>
      <c r="V451">
        <v>1</v>
      </c>
      <c r="W451">
        <v>0</v>
      </c>
      <c r="X451">
        <v>1</v>
      </c>
      <c r="Y451">
        <v>0.45090000000000002</v>
      </c>
      <c r="Z451">
        <v>1</v>
      </c>
    </row>
    <row r="452" spans="1:26" x14ac:dyDescent="0.2">
      <c r="A452" t="s">
        <v>39</v>
      </c>
      <c r="B452">
        <v>2018</v>
      </c>
      <c r="C452" t="str">
        <f t="shared" si="7"/>
        <v>DHC2018</v>
      </c>
      <c r="D452">
        <v>4.0836661871863361E-14</v>
      </c>
      <c r="E452">
        <v>0.1592891487800987</v>
      </c>
      <c r="F452">
        <v>1.2199389715331821</v>
      </c>
      <c r="G452">
        <v>28.22558308419957</v>
      </c>
      <c r="H452">
        <v>1.707915004813743</v>
      </c>
      <c r="I452">
        <v>0.53540019341942746</v>
      </c>
      <c r="J452">
        <v>0.40555012019498271</v>
      </c>
      <c r="K452">
        <v>-2.4065867795503439E-2</v>
      </c>
      <c r="L452">
        <v>0.67369771867554795</v>
      </c>
      <c r="M452">
        <v>15</v>
      </c>
      <c r="N452">
        <v>1</v>
      </c>
      <c r="O452">
        <v>0</v>
      </c>
      <c r="P452">
        <v>0.45200000000000001</v>
      </c>
      <c r="Q452">
        <v>0.21390000000000001</v>
      </c>
      <c r="R452">
        <v>0.1426</v>
      </c>
      <c r="S452">
        <v>0</v>
      </c>
      <c r="T452">
        <v>0.2074</v>
      </c>
      <c r="U452">
        <v>6</v>
      </c>
      <c r="V452">
        <v>1</v>
      </c>
      <c r="W452">
        <v>0</v>
      </c>
      <c r="X452">
        <v>1</v>
      </c>
      <c r="Y452">
        <v>0.46089999999999998</v>
      </c>
      <c r="Z452">
        <v>1</v>
      </c>
    </row>
    <row r="453" spans="1:26" x14ac:dyDescent="0.2">
      <c r="A453" t="s">
        <v>39</v>
      </c>
      <c r="B453">
        <v>2019</v>
      </c>
      <c r="C453" t="str">
        <f t="shared" si="7"/>
        <v>DHC2019</v>
      </c>
      <c r="D453">
        <v>4.0843213563024848E-14</v>
      </c>
      <c r="E453">
        <v>0.16310252637879691</v>
      </c>
      <c r="F453">
        <v>1.475045916557018</v>
      </c>
      <c r="G453">
        <v>28.379261301038479</v>
      </c>
      <c r="H453" t="e">
        <v>#N/A</v>
      </c>
      <c r="I453">
        <v>0.47080491653757811</v>
      </c>
      <c r="J453">
        <v>0</v>
      </c>
      <c r="K453">
        <v>9.1053135608536118E-2</v>
      </c>
      <c r="L453">
        <v>0.68893655428202893</v>
      </c>
      <c r="M453">
        <v>16</v>
      </c>
      <c r="N453">
        <v>1</v>
      </c>
      <c r="O453">
        <v>1</v>
      </c>
      <c r="P453">
        <v>0.4632</v>
      </c>
      <c r="Q453">
        <v>0.2107</v>
      </c>
      <c r="R453">
        <v>0.21990000000000001</v>
      </c>
      <c r="S453">
        <v>0</v>
      </c>
      <c r="T453">
        <v>0.28470000000000001</v>
      </c>
      <c r="U453">
        <v>6</v>
      </c>
      <c r="V453">
        <v>1</v>
      </c>
      <c r="W453">
        <v>0</v>
      </c>
      <c r="X453">
        <v>1</v>
      </c>
      <c r="Y453">
        <v>0.46820000000000001</v>
      </c>
      <c r="Z453">
        <v>1</v>
      </c>
    </row>
    <row r="454" spans="1:26" x14ac:dyDescent="0.2">
      <c r="A454" t="s">
        <v>39</v>
      </c>
      <c r="B454">
        <v>2020</v>
      </c>
      <c r="C454" t="str">
        <f t="shared" si="7"/>
        <v>DHC2020</v>
      </c>
      <c r="D454">
        <v>7.5107635362411016E-14</v>
      </c>
      <c r="E454">
        <v>0.28096002346513421</v>
      </c>
      <c r="F454">
        <v>1.8821841569138</v>
      </c>
      <c r="G454">
        <v>28.45709345045449</v>
      </c>
      <c r="H454" t="e">
        <v>#N/A</v>
      </c>
      <c r="I454">
        <v>0.38934176911423207</v>
      </c>
      <c r="J454">
        <v>0.25991431023854622</v>
      </c>
      <c r="K454">
        <v>0.20862581345402001</v>
      </c>
      <c r="L454">
        <v>0.50499480177925771</v>
      </c>
      <c r="M454">
        <v>17</v>
      </c>
      <c r="N454">
        <v>1</v>
      </c>
      <c r="O454">
        <v>1</v>
      </c>
      <c r="P454">
        <v>0.4133</v>
      </c>
      <c r="Q454">
        <v>0.24790000000000001</v>
      </c>
      <c r="R454">
        <v>0.13780000000000001</v>
      </c>
      <c r="S454">
        <v>0</v>
      </c>
      <c r="T454">
        <v>0.13780000000000001</v>
      </c>
      <c r="U454">
        <v>5</v>
      </c>
      <c r="V454">
        <v>0</v>
      </c>
      <c r="W454">
        <v>0</v>
      </c>
      <c r="X454">
        <v>1</v>
      </c>
      <c r="Y454">
        <v>0.46600000000000003</v>
      </c>
      <c r="Z454">
        <v>1</v>
      </c>
    </row>
    <row r="455" spans="1:26" x14ac:dyDescent="0.2">
      <c r="A455" t="s">
        <v>39</v>
      </c>
      <c r="B455">
        <v>2021</v>
      </c>
      <c r="C455" t="str">
        <f t="shared" si="7"/>
        <v>DHC2021</v>
      </c>
      <c r="D455">
        <v>8.347784560201148E-14</v>
      </c>
      <c r="E455">
        <v>0.28362585748698049</v>
      </c>
      <c r="F455">
        <v>2.8875068008702658</v>
      </c>
      <c r="G455">
        <v>28.50701765877529</v>
      </c>
      <c r="H455">
        <v>1.4839911584800649</v>
      </c>
      <c r="I455">
        <v>0.29324990574187482</v>
      </c>
      <c r="J455">
        <v>5.1191421793705283E-2</v>
      </c>
      <c r="K455">
        <v>0.13299789085797389</v>
      </c>
      <c r="L455">
        <v>0.50255969424063562</v>
      </c>
      <c r="M455">
        <v>18</v>
      </c>
      <c r="N455">
        <v>1</v>
      </c>
      <c r="O455">
        <v>0</v>
      </c>
      <c r="P455">
        <v>0.4869</v>
      </c>
      <c r="Q455">
        <v>0.28100000000000003</v>
      </c>
      <c r="R455">
        <v>0.1923</v>
      </c>
      <c r="S455">
        <v>0</v>
      </c>
      <c r="T455">
        <v>0.1923</v>
      </c>
      <c r="U455">
        <v>5</v>
      </c>
      <c r="V455">
        <v>0</v>
      </c>
      <c r="W455">
        <v>0</v>
      </c>
      <c r="X455">
        <v>1</v>
      </c>
      <c r="Y455">
        <v>0.47599999999999998</v>
      </c>
      <c r="Z455">
        <v>1</v>
      </c>
    </row>
    <row r="456" spans="1:26" x14ac:dyDescent="0.2">
      <c r="A456" t="s">
        <v>39</v>
      </c>
      <c r="B456">
        <v>2022</v>
      </c>
      <c r="C456" t="str">
        <f t="shared" si="7"/>
        <v>DHC2022</v>
      </c>
      <c r="D456">
        <v>4.5669979925923657E-14</v>
      </c>
      <c r="E456">
        <v>0.21666564108868161</v>
      </c>
      <c r="F456">
        <v>1.308350931581574</v>
      </c>
      <c r="G456">
        <v>28.689673251557931</v>
      </c>
      <c r="H456">
        <v>1.662199515221346</v>
      </c>
      <c r="I456">
        <v>0.39241428404208811</v>
      </c>
      <c r="J456">
        <v>0.200400910141906</v>
      </c>
      <c r="K456">
        <v>0.1066119471377026</v>
      </c>
      <c r="L456">
        <v>0.41026547743863051</v>
      </c>
      <c r="M456">
        <v>19</v>
      </c>
      <c r="N456">
        <v>1</v>
      </c>
      <c r="O456">
        <v>0</v>
      </c>
      <c r="P456">
        <v>0.45519999999999999</v>
      </c>
      <c r="Q456">
        <v>0.22059999999999999</v>
      </c>
      <c r="R456">
        <v>0.1477</v>
      </c>
      <c r="S456">
        <v>0</v>
      </c>
      <c r="T456">
        <v>0.1477</v>
      </c>
      <c r="U456">
        <v>5</v>
      </c>
      <c r="V456">
        <v>0</v>
      </c>
      <c r="W456">
        <v>0</v>
      </c>
      <c r="X456">
        <v>1</v>
      </c>
      <c r="Y456">
        <v>0.44500000000000001</v>
      </c>
      <c r="Z456">
        <v>1</v>
      </c>
    </row>
    <row r="457" spans="1:26" x14ac:dyDescent="0.2">
      <c r="A457" t="s">
        <v>39</v>
      </c>
      <c r="B457">
        <v>2023</v>
      </c>
      <c r="C457" t="str">
        <f t="shared" si="7"/>
        <v>DHC2023</v>
      </c>
      <c r="D457">
        <v>1507895381082.7009</v>
      </c>
      <c r="E457">
        <v>0.13976180216172979</v>
      </c>
      <c r="F457">
        <v>1.290010922688742</v>
      </c>
      <c r="G457">
        <v>28.700924391518519</v>
      </c>
      <c r="H457">
        <v>1.4699989750481199</v>
      </c>
      <c r="I457">
        <v>0.24073699702974241</v>
      </c>
      <c r="J457">
        <v>1.1314672081827791E-2</v>
      </c>
      <c r="K457">
        <v>8.4268709959116811E-2</v>
      </c>
      <c r="L457">
        <v>0.37290542258239812</v>
      </c>
      <c r="M457">
        <v>20</v>
      </c>
      <c r="N457">
        <v>0</v>
      </c>
      <c r="O457">
        <v>0</v>
      </c>
      <c r="P457">
        <v>0.45519999999999999</v>
      </c>
      <c r="Q457">
        <v>0.22059999999999999</v>
      </c>
      <c r="R457">
        <v>0.1477</v>
      </c>
      <c r="S457">
        <v>0</v>
      </c>
      <c r="T457">
        <v>0.1477</v>
      </c>
      <c r="U457">
        <v>5</v>
      </c>
      <c r="V457">
        <v>0</v>
      </c>
      <c r="W457">
        <v>0</v>
      </c>
      <c r="X457">
        <v>1</v>
      </c>
      <c r="Y457">
        <v>0.44500000000000001</v>
      </c>
      <c r="Z457">
        <v>1</v>
      </c>
    </row>
    <row r="458" spans="1:26" x14ac:dyDescent="0.2">
      <c r="A458" t="s">
        <v>40</v>
      </c>
      <c r="B458">
        <v>2012</v>
      </c>
      <c r="C458" t="str">
        <f t="shared" si="7"/>
        <v>DHG2012</v>
      </c>
      <c r="D458">
        <v>8.6860043146308688E-14</v>
      </c>
      <c r="E458">
        <v>0.29109865319096712</v>
      </c>
      <c r="F458">
        <v>2.2901299497623402</v>
      </c>
      <c r="G458">
        <v>28.49739219706931</v>
      </c>
      <c r="H458">
        <v>2.7401207369732479</v>
      </c>
      <c r="I458">
        <v>0.28373430483718298</v>
      </c>
      <c r="J458">
        <v>0.19169048470422839</v>
      </c>
      <c r="K458">
        <v>0.2138975186962469</v>
      </c>
      <c r="L458">
        <v>0.14722235723049529</v>
      </c>
      <c r="M458">
        <v>8</v>
      </c>
      <c r="N458">
        <v>1</v>
      </c>
      <c r="O458">
        <v>0</v>
      </c>
      <c r="P458">
        <v>0.5222</v>
      </c>
      <c r="Q458">
        <v>8.3999999999999995E-3</v>
      </c>
      <c r="R458">
        <v>8.9099999999999999E-2</v>
      </c>
      <c r="S458">
        <v>0.43309999999999998</v>
      </c>
      <c r="T458">
        <v>0.5222</v>
      </c>
      <c r="U458">
        <v>7</v>
      </c>
      <c r="V458">
        <v>0</v>
      </c>
      <c r="W458">
        <v>0.42857142857142849</v>
      </c>
      <c r="X458">
        <v>1</v>
      </c>
      <c r="Y458">
        <v>0.48420000000000002</v>
      </c>
      <c r="Z458">
        <v>1</v>
      </c>
    </row>
    <row r="459" spans="1:26" x14ac:dyDescent="0.2">
      <c r="A459" t="s">
        <v>40</v>
      </c>
      <c r="B459">
        <v>2013</v>
      </c>
      <c r="C459" t="str">
        <f t="shared" si="7"/>
        <v>DHG2013</v>
      </c>
      <c r="D459">
        <v>6.2511924242058205E-14</v>
      </c>
      <c r="E459">
        <v>0.29941573360587309</v>
      </c>
      <c r="F459">
        <v>2.769875759521764</v>
      </c>
      <c r="G459">
        <v>28.756152083450289</v>
      </c>
      <c r="H459">
        <v>2.7812855691861329</v>
      </c>
      <c r="I459">
        <v>0.35096093077086138</v>
      </c>
      <c r="J459">
        <v>0.29532274285284488</v>
      </c>
      <c r="K459">
        <v>0.17163521639591189</v>
      </c>
      <c r="L459">
        <v>0.2022633549172827</v>
      </c>
      <c r="M459">
        <v>9</v>
      </c>
      <c r="N459">
        <v>1</v>
      </c>
      <c r="O459">
        <v>0</v>
      </c>
      <c r="P459">
        <v>0.5958</v>
      </c>
      <c r="Q459">
        <v>8.0000000000000002E-3</v>
      </c>
      <c r="R459">
        <v>0.16270000000000001</v>
      </c>
      <c r="S459">
        <v>0.43309999999999998</v>
      </c>
      <c r="T459">
        <v>0.5958</v>
      </c>
      <c r="U459">
        <v>7</v>
      </c>
      <c r="V459">
        <v>0</v>
      </c>
      <c r="W459">
        <v>0.42857142857142849</v>
      </c>
      <c r="X459">
        <v>1</v>
      </c>
      <c r="Y459">
        <v>0.49419999999999997</v>
      </c>
      <c r="Z459">
        <v>1</v>
      </c>
    </row>
    <row r="460" spans="1:26" x14ac:dyDescent="0.2">
      <c r="A460" t="s">
        <v>40</v>
      </c>
      <c r="B460">
        <v>2014</v>
      </c>
      <c r="C460" t="str">
        <f t="shared" si="7"/>
        <v>DHG2014</v>
      </c>
      <c r="D460">
        <v>4.4006735880529459E-14</v>
      </c>
      <c r="E460">
        <v>0.2344401074663372</v>
      </c>
      <c r="F460">
        <v>2.743803892770075</v>
      </c>
      <c r="G460">
        <v>28.878834225503809</v>
      </c>
      <c r="H460">
        <v>2.16702375293205</v>
      </c>
      <c r="I460">
        <v>0.34142664627480912</v>
      </c>
      <c r="J460">
        <v>0.1305250174703991</v>
      </c>
      <c r="K460">
        <v>9.5982337791693614E-2</v>
      </c>
      <c r="L460">
        <v>0.2250530967623974</v>
      </c>
      <c r="M460">
        <v>10</v>
      </c>
      <c r="N460">
        <v>1</v>
      </c>
      <c r="O460">
        <v>0</v>
      </c>
      <c r="P460">
        <v>0.59950000000000003</v>
      </c>
      <c r="Q460">
        <v>3.8999999999999998E-3</v>
      </c>
      <c r="R460">
        <v>0.16639999999999999</v>
      </c>
      <c r="S460">
        <v>0.43309999999999998</v>
      </c>
      <c r="T460">
        <v>0.59950000000000003</v>
      </c>
      <c r="U460">
        <v>7</v>
      </c>
      <c r="V460">
        <v>0</v>
      </c>
      <c r="W460">
        <v>0.2857142857142857</v>
      </c>
      <c r="X460">
        <v>1</v>
      </c>
      <c r="Y460">
        <v>0.49619999999999997</v>
      </c>
      <c r="Z460">
        <v>1</v>
      </c>
    </row>
    <row r="461" spans="1:26" x14ac:dyDescent="0.2">
      <c r="A461" t="s">
        <v>40</v>
      </c>
      <c r="B461">
        <v>2015</v>
      </c>
      <c r="C461" t="str">
        <f t="shared" si="7"/>
        <v>DHG2015</v>
      </c>
      <c r="D461">
        <v>5.2398523674856712E-14</v>
      </c>
      <c r="E461">
        <v>0.2350772432971352</v>
      </c>
      <c r="F461">
        <v>1.9694353433817571</v>
      </c>
      <c r="G461">
        <v>28.843913619181059</v>
      </c>
      <c r="H461">
        <v>2.131171531370331</v>
      </c>
      <c r="I461">
        <v>0.25034579215579872</v>
      </c>
      <c r="J461">
        <v>-3.4317917734311483E-2</v>
      </c>
      <c r="K461">
        <v>0.15006063123044999</v>
      </c>
      <c r="L461">
        <v>0.24592031967768299</v>
      </c>
      <c r="M461">
        <v>11</v>
      </c>
      <c r="N461">
        <v>1</v>
      </c>
      <c r="O461">
        <v>0</v>
      </c>
      <c r="P461">
        <v>0.59950000000000003</v>
      </c>
      <c r="Q461">
        <v>3.8999999999999998E-3</v>
      </c>
      <c r="R461">
        <v>0.16639999999999999</v>
      </c>
      <c r="S461">
        <v>0.43309999999999998</v>
      </c>
      <c r="T461">
        <v>0.59950000000000003</v>
      </c>
      <c r="U461">
        <v>7</v>
      </c>
      <c r="V461">
        <v>0</v>
      </c>
      <c r="W461">
        <v>0.2857142857142857</v>
      </c>
      <c r="X461">
        <v>1</v>
      </c>
      <c r="Y461">
        <v>0.50619999999999998</v>
      </c>
      <c r="Z461">
        <v>1</v>
      </c>
    </row>
    <row r="462" spans="1:26" x14ac:dyDescent="0.2">
      <c r="A462" t="s">
        <v>40</v>
      </c>
      <c r="B462">
        <v>2016</v>
      </c>
      <c r="C462" t="str">
        <f t="shared" si="7"/>
        <v>DHG2016</v>
      </c>
      <c r="D462">
        <v>4.4231872390079868E-14</v>
      </c>
      <c r="E462">
        <v>0.2379351800809934</v>
      </c>
      <c r="F462">
        <v>2.431381679621504</v>
      </c>
      <c r="G462">
        <v>29.003658568322869</v>
      </c>
      <c r="H462">
        <v>2.8492573545320892</v>
      </c>
      <c r="I462">
        <v>0.26649085038464831</v>
      </c>
      <c r="J462">
        <v>0.1730921586417335</v>
      </c>
      <c r="K462">
        <v>0.17520862845585289</v>
      </c>
      <c r="L462">
        <v>0.21763121784331579</v>
      </c>
      <c r="M462">
        <v>12</v>
      </c>
      <c r="N462">
        <v>1</v>
      </c>
      <c r="O462">
        <v>0</v>
      </c>
      <c r="P462">
        <v>0.7641</v>
      </c>
      <c r="Q462">
        <v>3.5000000000000001E-3</v>
      </c>
      <c r="R462">
        <v>0.33100000000000002</v>
      </c>
      <c r="S462">
        <v>0.43309999999999998</v>
      </c>
      <c r="T462">
        <v>0.7641</v>
      </c>
      <c r="U462">
        <v>7</v>
      </c>
      <c r="V462">
        <v>0</v>
      </c>
      <c r="W462">
        <v>0.14285714285714279</v>
      </c>
      <c r="X462">
        <v>1</v>
      </c>
      <c r="Y462">
        <v>0.52210000000000001</v>
      </c>
      <c r="Z462">
        <v>1</v>
      </c>
    </row>
    <row r="463" spans="1:26" x14ac:dyDescent="0.2">
      <c r="A463" t="s">
        <v>40</v>
      </c>
      <c r="B463">
        <v>2017</v>
      </c>
      <c r="C463" t="str">
        <f t="shared" si="7"/>
        <v>DHG2017</v>
      </c>
      <c r="D463">
        <v>3.8449175123685293E-14</v>
      </c>
      <c r="E463">
        <v>0.23282614344269731</v>
      </c>
      <c r="F463">
        <v>4.003489626528058</v>
      </c>
      <c r="G463">
        <v>29.038949756936759</v>
      </c>
      <c r="H463">
        <v>2.6976270507907829</v>
      </c>
      <c r="I463">
        <v>0.32498888802107251</v>
      </c>
      <c r="J463">
        <v>3.6026792048487799E-2</v>
      </c>
      <c r="K463">
        <v>0.12966044197292351</v>
      </c>
      <c r="L463">
        <v>0.2009837575571243</v>
      </c>
      <c r="M463">
        <v>13</v>
      </c>
      <c r="N463">
        <v>1</v>
      </c>
      <c r="O463">
        <v>0</v>
      </c>
      <c r="P463">
        <v>0.74909999999999999</v>
      </c>
      <c r="Q463">
        <v>3.5000000000000001E-3</v>
      </c>
      <c r="R463">
        <v>0.316</v>
      </c>
      <c r="S463">
        <v>0.43309999999999998</v>
      </c>
      <c r="T463">
        <v>0.74909999999999999</v>
      </c>
      <c r="U463">
        <v>7</v>
      </c>
      <c r="V463">
        <v>0</v>
      </c>
      <c r="W463">
        <v>0.2857142857142857</v>
      </c>
      <c r="X463">
        <v>1</v>
      </c>
      <c r="Y463">
        <v>0.49</v>
      </c>
      <c r="Z463">
        <v>1</v>
      </c>
    </row>
    <row r="464" spans="1:26" x14ac:dyDescent="0.2">
      <c r="A464" t="s">
        <v>40</v>
      </c>
      <c r="B464">
        <v>2018</v>
      </c>
      <c r="C464" t="str">
        <f t="shared" si="7"/>
        <v>DHG2018</v>
      </c>
      <c r="D464">
        <v>3.6805199478957413E-14</v>
      </c>
      <c r="E464">
        <v>0.20707212318798651</v>
      </c>
      <c r="F464">
        <v>2.7082116414267512</v>
      </c>
      <c r="G464">
        <v>29.067524749710259</v>
      </c>
      <c r="H464">
        <v>2.3235823880790618</v>
      </c>
      <c r="I464">
        <v>0.25242780363375911</v>
      </c>
      <c r="J464">
        <v>2.8987174543246619E-2</v>
      </c>
      <c r="K464">
        <v>8.95433974560437E-2</v>
      </c>
      <c r="L464">
        <v>0.17955136154671661</v>
      </c>
      <c r="M464">
        <v>14</v>
      </c>
      <c r="N464">
        <v>1</v>
      </c>
      <c r="O464">
        <v>0</v>
      </c>
      <c r="P464">
        <v>0.78300000000000014</v>
      </c>
      <c r="Q464">
        <v>2.8999999999999998E-3</v>
      </c>
      <c r="R464">
        <v>0.34989999999999999</v>
      </c>
      <c r="S464">
        <v>0.43309999999999998</v>
      </c>
      <c r="T464">
        <v>0.78300000000000014</v>
      </c>
      <c r="U464">
        <v>7</v>
      </c>
      <c r="V464">
        <v>0</v>
      </c>
      <c r="W464">
        <v>0.2857142857142857</v>
      </c>
      <c r="X464">
        <v>1</v>
      </c>
      <c r="Y464">
        <v>0.50159999999999993</v>
      </c>
      <c r="Z464">
        <v>1</v>
      </c>
    </row>
    <row r="465" spans="1:26" x14ac:dyDescent="0.2">
      <c r="A465" t="s">
        <v>40</v>
      </c>
      <c r="B465">
        <v>2019</v>
      </c>
      <c r="C465" t="str">
        <f t="shared" si="7"/>
        <v>DHG2019</v>
      </c>
      <c r="D465">
        <v>3.6709675530440527E-14</v>
      </c>
      <c r="E465">
        <v>0.1868997280649535</v>
      </c>
      <c r="F465">
        <v>3.0704338895480978</v>
      </c>
      <c r="G465">
        <v>29.0533625830126</v>
      </c>
      <c r="H465">
        <v>3.1429605490453998</v>
      </c>
      <c r="I465">
        <v>0.18550780508360801</v>
      </c>
      <c r="J465">
        <v>-1.40623549539487E-2</v>
      </c>
      <c r="K465">
        <v>0.23248881516401601</v>
      </c>
      <c r="L465">
        <v>0.1732876428295321</v>
      </c>
      <c r="M465">
        <v>15</v>
      </c>
      <c r="N465">
        <v>1</v>
      </c>
      <c r="O465">
        <v>1</v>
      </c>
      <c r="P465">
        <v>0.94319999999999993</v>
      </c>
      <c r="Q465">
        <v>5.0000000000000001E-4</v>
      </c>
      <c r="R465">
        <v>0.5101</v>
      </c>
      <c r="S465">
        <v>0.43309999999999998</v>
      </c>
      <c r="T465">
        <v>0.94319999999999993</v>
      </c>
      <c r="U465">
        <v>7</v>
      </c>
      <c r="V465">
        <v>0</v>
      </c>
      <c r="W465">
        <v>0.14285714285714279</v>
      </c>
      <c r="X465">
        <v>1</v>
      </c>
      <c r="Y465">
        <v>0.502</v>
      </c>
      <c r="Z465">
        <v>1</v>
      </c>
    </row>
    <row r="466" spans="1:26" x14ac:dyDescent="0.2">
      <c r="A466" t="s">
        <v>40</v>
      </c>
      <c r="B466">
        <v>2020</v>
      </c>
      <c r="C466" t="str">
        <f t="shared" si="7"/>
        <v>DHG2020</v>
      </c>
      <c r="D466">
        <v>3.7336859888258931E-14</v>
      </c>
      <c r="E466">
        <v>0.20698589158511119</v>
      </c>
      <c r="F466">
        <v>3.2550970638263532</v>
      </c>
      <c r="G466">
        <v>29.12336403700774</v>
      </c>
      <c r="H466">
        <v>4.4459165860143299</v>
      </c>
      <c r="I466">
        <v>0.1977433210958443</v>
      </c>
      <c r="J466">
        <v>7.2509740677030532E-2</v>
      </c>
      <c r="K466">
        <v>0.2156189317521999</v>
      </c>
      <c r="L466">
        <v>0.15867031842149901</v>
      </c>
      <c r="M466">
        <v>16</v>
      </c>
      <c r="N466">
        <v>1</v>
      </c>
      <c r="O466">
        <v>1</v>
      </c>
      <c r="P466">
        <v>0.94319999999999993</v>
      </c>
      <c r="Q466">
        <v>1E-4</v>
      </c>
      <c r="R466">
        <v>0.5101</v>
      </c>
      <c r="S466">
        <v>0.43309999999999998</v>
      </c>
      <c r="T466">
        <v>0.94319999999999993</v>
      </c>
      <c r="U466">
        <v>7</v>
      </c>
      <c r="V466">
        <v>0</v>
      </c>
      <c r="W466">
        <v>0.14285714285714279</v>
      </c>
      <c r="X466">
        <v>1</v>
      </c>
      <c r="Y466">
        <v>0.50560000000000005</v>
      </c>
      <c r="Z466">
        <v>1</v>
      </c>
    </row>
    <row r="467" spans="1:26" x14ac:dyDescent="0.2">
      <c r="A467" t="s">
        <v>40</v>
      </c>
      <c r="B467">
        <v>2021</v>
      </c>
      <c r="C467" t="str">
        <f t="shared" si="7"/>
        <v>DHG2021</v>
      </c>
      <c r="D467">
        <v>3.6443149293622872E-14</v>
      </c>
      <c r="E467">
        <v>0.2048621293479308</v>
      </c>
      <c r="F467">
        <v>3.3780762700478868</v>
      </c>
      <c r="G467">
        <v>29.16091054029458</v>
      </c>
      <c r="H467">
        <v>4.2634222445039844</v>
      </c>
      <c r="I467">
        <v>0.17855828705680771</v>
      </c>
      <c r="J467">
        <v>3.7552212751517773E-2</v>
      </c>
      <c r="K467">
        <v>0.1202339679737455</v>
      </c>
      <c r="L467">
        <v>0.13688499978351651</v>
      </c>
      <c r="M467">
        <v>17</v>
      </c>
      <c r="N467">
        <v>1</v>
      </c>
      <c r="O467">
        <v>0</v>
      </c>
      <c r="P467">
        <v>0.94319999999999993</v>
      </c>
      <c r="Q467">
        <v>1E-4</v>
      </c>
      <c r="R467">
        <v>0.5101</v>
      </c>
      <c r="S467">
        <v>0.43309999999999998</v>
      </c>
      <c r="T467">
        <v>0.94319999999999993</v>
      </c>
      <c r="U467">
        <v>7</v>
      </c>
      <c r="V467">
        <v>0</v>
      </c>
      <c r="W467">
        <v>0.2857142857142857</v>
      </c>
      <c r="X467">
        <v>1</v>
      </c>
      <c r="Y467">
        <v>0.50649999999999995</v>
      </c>
      <c r="Z467">
        <v>1</v>
      </c>
    </row>
    <row r="468" spans="1:26" x14ac:dyDescent="0.2">
      <c r="A468" t="s">
        <v>40</v>
      </c>
      <c r="B468">
        <v>2022</v>
      </c>
      <c r="C468" t="str">
        <f t="shared" si="7"/>
        <v>DHG2022</v>
      </c>
      <c r="D468">
        <v>3.7006702774691082E-14</v>
      </c>
      <c r="E468">
        <v>0.23032649335387551</v>
      </c>
      <c r="F468">
        <v>2.3174455915425778</v>
      </c>
      <c r="G468">
        <v>29.27354296976949</v>
      </c>
      <c r="H468">
        <v>4.9107601437527428</v>
      </c>
      <c r="I468">
        <v>0.16962421903803571</v>
      </c>
      <c r="J468">
        <v>0.11998426417180159</v>
      </c>
      <c r="K468">
        <v>0.1973626743890731</v>
      </c>
      <c r="L468">
        <v>0.13122032969798561</v>
      </c>
      <c r="M468">
        <v>18</v>
      </c>
      <c r="N468">
        <v>1</v>
      </c>
      <c r="O468">
        <v>0</v>
      </c>
      <c r="P468">
        <v>0.94319999999999993</v>
      </c>
      <c r="Q468">
        <v>4.0000000000000002E-4</v>
      </c>
      <c r="R468">
        <v>0.5101</v>
      </c>
      <c r="S468">
        <v>0.43309999999999998</v>
      </c>
      <c r="T468">
        <v>0.94319999999999993</v>
      </c>
      <c r="U468">
        <v>7</v>
      </c>
      <c r="V468">
        <v>0</v>
      </c>
      <c r="W468">
        <v>0.2857142857142857</v>
      </c>
      <c r="X468">
        <v>1</v>
      </c>
      <c r="Y468">
        <v>0.51070000000000004</v>
      </c>
      <c r="Z468">
        <v>1</v>
      </c>
    </row>
    <row r="469" spans="1:26" x14ac:dyDescent="0.2">
      <c r="A469" t="s">
        <v>40</v>
      </c>
      <c r="B469">
        <v>2023</v>
      </c>
      <c r="C469" t="str">
        <f t="shared" si="7"/>
        <v>DHG2023</v>
      </c>
      <c r="D469">
        <v>10185304790035.619</v>
      </c>
      <c r="E469">
        <v>0.18970818186907179</v>
      </c>
      <c r="F469">
        <v>2.318929009446598</v>
      </c>
      <c r="G469">
        <v>29.44102549994183</v>
      </c>
      <c r="H469">
        <v>5.1984984978816184</v>
      </c>
      <c r="I469">
        <v>9.3636684634673048E-2</v>
      </c>
      <c r="J469">
        <v>0.18232463499687679</v>
      </c>
      <c r="K469">
        <v>6.8741049924874759E-2</v>
      </c>
      <c r="L469">
        <v>0.19440134138391019</v>
      </c>
      <c r="M469">
        <v>19</v>
      </c>
      <c r="N469">
        <v>0</v>
      </c>
      <c r="O469">
        <v>0</v>
      </c>
      <c r="P469">
        <v>0.94319999999999993</v>
      </c>
      <c r="Q469">
        <v>4.0000000000000002E-4</v>
      </c>
      <c r="R469">
        <v>0.5101</v>
      </c>
      <c r="S469">
        <v>0.43309999999999998</v>
      </c>
      <c r="T469">
        <v>0.94319999999999993</v>
      </c>
      <c r="U469">
        <v>7</v>
      </c>
      <c r="V469">
        <v>0</v>
      </c>
      <c r="W469">
        <v>0.2857142857142857</v>
      </c>
      <c r="X469">
        <v>1</v>
      </c>
      <c r="Y469">
        <v>0.51070000000000004</v>
      </c>
      <c r="Z469">
        <v>1</v>
      </c>
    </row>
    <row r="470" spans="1:26" x14ac:dyDescent="0.2">
      <c r="A470" t="s">
        <v>41</v>
      </c>
      <c r="B470">
        <v>2013</v>
      </c>
      <c r="C470" t="str">
        <f t="shared" si="7"/>
        <v>DHP2013</v>
      </c>
      <c r="D470">
        <v>6.8259998209600082E-13</v>
      </c>
      <c r="E470">
        <v>0.16048985385130671</v>
      </c>
      <c r="F470">
        <v>0.74958379913049966</v>
      </c>
      <c r="G470">
        <v>25.758531585415081</v>
      </c>
      <c r="H470" t="e">
        <v>#N/A</v>
      </c>
      <c r="I470">
        <v>0.29269504289863818</v>
      </c>
      <c r="J470">
        <v>0</v>
      </c>
      <c r="K470">
        <v>6.7511260008546986E-2</v>
      </c>
      <c r="L470">
        <v>0.29172356600792537</v>
      </c>
      <c r="M470">
        <v>9</v>
      </c>
      <c r="N470">
        <v>0</v>
      </c>
      <c r="O470">
        <v>0</v>
      </c>
      <c r="P470">
        <v>0.13769999999999999</v>
      </c>
      <c r="Q470">
        <v>0.22589999999999999</v>
      </c>
      <c r="R470">
        <v>0</v>
      </c>
      <c r="S470">
        <v>0</v>
      </c>
      <c r="T470">
        <v>0</v>
      </c>
      <c r="U470">
        <v>5</v>
      </c>
      <c r="V470">
        <v>1</v>
      </c>
      <c r="W470">
        <v>0.2</v>
      </c>
      <c r="X470">
        <v>1</v>
      </c>
      <c r="Y470">
        <v>0.45879999999999999</v>
      </c>
      <c r="Z470">
        <v>1</v>
      </c>
    </row>
    <row r="471" spans="1:26" x14ac:dyDescent="0.2">
      <c r="A471" t="s">
        <v>41</v>
      </c>
      <c r="B471">
        <v>2014</v>
      </c>
      <c r="C471" t="str">
        <f t="shared" si="7"/>
        <v>DHP2014</v>
      </c>
      <c r="D471">
        <v>6.4790357166849286E-13</v>
      </c>
      <c r="E471">
        <v>0.13843916805165901</v>
      </c>
      <c r="F471">
        <v>0.74689829087398274</v>
      </c>
      <c r="G471">
        <v>25.767402805684181</v>
      </c>
      <c r="H471">
        <v>2.17167938912374</v>
      </c>
      <c r="I471">
        <v>0.22060906419277429</v>
      </c>
      <c r="J471">
        <v>8.910686160850112E-3</v>
      </c>
      <c r="K471">
        <v>0.12530116362931601</v>
      </c>
      <c r="L471">
        <v>0.28191864137289863</v>
      </c>
      <c r="M471">
        <v>10</v>
      </c>
      <c r="N471">
        <v>0</v>
      </c>
      <c r="O471">
        <v>0</v>
      </c>
      <c r="P471">
        <v>0.13769999999999999</v>
      </c>
      <c r="Q471">
        <v>0.2303</v>
      </c>
      <c r="R471">
        <v>0</v>
      </c>
      <c r="S471">
        <v>0</v>
      </c>
      <c r="T471">
        <v>0</v>
      </c>
      <c r="U471">
        <v>6</v>
      </c>
      <c r="V471">
        <v>1</v>
      </c>
      <c r="W471">
        <v>0.1666666666666666</v>
      </c>
      <c r="X471">
        <v>1</v>
      </c>
      <c r="Y471">
        <v>0.4667</v>
      </c>
      <c r="Z471">
        <v>1</v>
      </c>
    </row>
    <row r="472" spans="1:26" x14ac:dyDescent="0.2">
      <c r="A472" t="s">
        <v>41</v>
      </c>
      <c r="B472">
        <v>2015</v>
      </c>
      <c r="C472" t="str">
        <f t="shared" si="7"/>
        <v>DHP2015</v>
      </c>
      <c r="D472">
        <v>1.38682479226643E-12</v>
      </c>
      <c r="E472">
        <v>0.32103738730235393</v>
      </c>
      <c r="F472">
        <v>0.73292325003213588</v>
      </c>
      <c r="G472">
        <v>25.925124601690939</v>
      </c>
      <c r="H472">
        <v>2.97644911783931</v>
      </c>
      <c r="I472">
        <v>0.21547905682833879</v>
      </c>
      <c r="J472">
        <v>0.68660217252064126</v>
      </c>
      <c r="K472">
        <v>9.1863988265116867E-2</v>
      </c>
      <c r="L472">
        <v>0.32336944334380358</v>
      </c>
      <c r="M472">
        <v>11</v>
      </c>
      <c r="N472">
        <v>0</v>
      </c>
      <c r="O472">
        <v>0</v>
      </c>
      <c r="P472">
        <v>0.13769999999999999</v>
      </c>
      <c r="Q472">
        <v>0.22850000000000001</v>
      </c>
      <c r="R472">
        <v>0</v>
      </c>
      <c r="S472">
        <v>0</v>
      </c>
      <c r="T472">
        <v>0</v>
      </c>
      <c r="U472">
        <v>5</v>
      </c>
      <c r="V472">
        <v>1</v>
      </c>
      <c r="W472">
        <v>0.2</v>
      </c>
      <c r="X472">
        <v>1</v>
      </c>
      <c r="Y472">
        <v>0.49130000000000001</v>
      </c>
      <c r="Z472">
        <v>1</v>
      </c>
    </row>
    <row r="473" spans="1:26" x14ac:dyDescent="0.2">
      <c r="A473" t="s">
        <v>41</v>
      </c>
      <c r="B473">
        <v>2016</v>
      </c>
      <c r="C473" t="str">
        <f t="shared" si="7"/>
        <v>DHP2016</v>
      </c>
      <c r="D473">
        <v>2.9915666793963649E-13</v>
      </c>
      <c r="E473">
        <v>8.9953187004105817E-2</v>
      </c>
      <c r="F473">
        <v>0.74940419714745821</v>
      </c>
      <c r="G473">
        <v>26.066139287082351</v>
      </c>
      <c r="H473">
        <v>0.8318927921190844</v>
      </c>
      <c r="I473">
        <v>0.30455531969897542</v>
      </c>
      <c r="J473">
        <v>-0.20066845941205319</v>
      </c>
      <c r="K473">
        <v>1.483947662951956E-2</v>
      </c>
      <c r="L473">
        <v>0.37734417515849628</v>
      </c>
      <c r="M473">
        <v>12</v>
      </c>
      <c r="N473">
        <v>0</v>
      </c>
      <c r="O473">
        <v>0</v>
      </c>
      <c r="P473">
        <v>0.13769999999999999</v>
      </c>
      <c r="Q473">
        <v>0.22850000000000001</v>
      </c>
      <c r="R473">
        <v>0</v>
      </c>
      <c r="S473">
        <v>0</v>
      </c>
      <c r="T473">
        <v>0</v>
      </c>
      <c r="U473">
        <v>5</v>
      </c>
      <c r="V473">
        <v>1</v>
      </c>
      <c r="W473">
        <v>0.2</v>
      </c>
      <c r="X473">
        <v>1</v>
      </c>
      <c r="Y473">
        <v>0.48110000000000003</v>
      </c>
      <c r="Z473">
        <v>1</v>
      </c>
    </row>
    <row r="474" spans="1:26" x14ac:dyDescent="0.2">
      <c r="A474" t="s">
        <v>41</v>
      </c>
      <c r="B474">
        <v>2017</v>
      </c>
      <c r="C474" t="str">
        <f t="shared" si="7"/>
        <v>DHP2017</v>
      </c>
      <c r="D474">
        <v>3.0275114816644099E-13</v>
      </c>
      <c r="E474">
        <v>7.9440045281578553E-2</v>
      </c>
      <c r="F474">
        <v>0.77994013806358387</v>
      </c>
      <c r="G474">
        <v>26.020740901217462</v>
      </c>
      <c r="H474">
        <v>2.3091587610730469</v>
      </c>
      <c r="I474">
        <v>0.23842881388215609</v>
      </c>
      <c r="J474">
        <v>-4.4383298196804317E-2</v>
      </c>
      <c r="K474">
        <v>9.9027208944866912E-2</v>
      </c>
      <c r="L474">
        <v>0.36057856884006939</v>
      </c>
      <c r="M474">
        <v>13</v>
      </c>
      <c r="N474">
        <v>0</v>
      </c>
      <c r="O474">
        <v>0</v>
      </c>
      <c r="P474">
        <v>0.13769999999999999</v>
      </c>
      <c r="Q474">
        <v>0.23669999999999999</v>
      </c>
      <c r="R474">
        <v>0</v>
      </c>
      <c r="S474">
        <v>0</v>
      </c>
      <c r="T474">
        <v>0</v>
      </c>
      <c r="U474">
        <v>5</v>
      </c>
      <c r="V474">
        <v>1</v>
      </c>
      <c r="W474">
        <v>0.4</v>
      </c>
      <c r="X474">
        <v>1</v>
      </c>
      <c r="Y474">
        <v>0.49249999999999999</v>
      </c>
      <c r="Z474">
        <v>1</v>
      </c>
    </row>
    <row r="475" spans="1:26" x14ac:dyDescent="0.2">
      <c r="A475" t="s">
        <v>41</v>
      </c>
      <c r="B475">
        <v>2018</v>
      </c>
      <c r="C475" t="str">
        <f t="shared" si="7"/>
        <v>DHP2018</v>
      </c>
      <c r="D475">
        <v>4.3598133189464081E-13</v>
      </c>
      <c r="E475">
        <v>0.1040932625543933</v>
      </c>
      <c r="F475">
        <v>0.72120805924387466</v>
      </c>
      <c r="G475">
        <v>25.994428608973191</v>
      </c>
      <c r="H475">
        <v>2.7956410981826831</v>
      </c>
      <c r="I475">
        <v>0.18476619852470311</v>
      </c>
      <c r="J475">
        <v>-2.596914017628427E-2</v>
      </c>
      <c r="K475">
        <v>0.12625881562776961</v>
      </c>
      <c r="L475">
        <v>0.32905050617071829</v>
      </c>
      <c r="M475">
        <v>14</v>
      </c>
      <c r="N475">
        <v>0</v>
      </c>
      <c r="O475">
        <v>0</v>
      </c>
      <c r="P475">
        <v>0.13769999999999999</v>
      </c>
      <c r="Q475">
        <v>0.23669999999999999</v>
      </c>
      <c r="R475">
        <v>0</v>
      </c>
      <c r="S475">
        <v>0</v>
      </c>
      <c r="T475">
        <v>0</v>
      </c>
      <c r="U475">
        <v>5</v>
      </c>
      <c r="V475">
        <v>0</v>
      </c>
      <c r="W475">
        <v>0.4</v>
      </c>
      <c r="X475">
        <v>1</v>
      </c>
      <c r="Y475">
        <v>0.50249999999999995</v>
      </c>
      <c r="Z475">
        <v>1</v>
      </c>
    </row>
    <row r="476" spans="1:26" x14ac:dyDescent="0.2">
      <c r="A476" t="s">
        <v>41</v>
      </c>
      <c r="B476">
        <v>2019</v>
      </c>
      <c r="C476" t="str">
        <f t="shared" si="7"/>
        <v>DHP2019</v>
      </c>
      <c r="D476">
        <v>2.7386776195746559E-13</v>
      </c>
      <c r="E476">
        <v>7.5248249639608175E-2</v>
      </c>
      <c r="F476">
        <v>0.61044667093590477</v>
      </c>
      <c r="G476">
        <v>26.070743104083899</v>
      </c>
      <c r="H476">
        <v>3.3940046914079178</v>
      </c>
      <c r="I476">
        <v>0.23541745377150419</v>
      </c>
      <c r="J476">
        <v>7.9301955975656258E-2</v>
      </c>
      <c r="K476">
        <v>4.6667915772106577E-2</v>
      </c>
      <c r="L476">
        <v>0.2883908819111814</v>
      </c>
      <c r="M476">
        <v>15</v>
      </c>
      <c r="N476">
        <v>0</v>
      </c>
      <c r="O476">
        <v>1</v>
      </c>
      <c r="P476">
        <v>0.13769999999999999</v>
      </c>
      <c r="Q476">
        <v>0.23669999999999999</v>
      </c>
      <c r="R476">
        <v>0</v>
      </c>
      <c r="S476">
        <v>0</v>
      </c>
      <c r="T476">
        <v>0</v>
      </c>
      <c r="U476">
        <v>5</v>
      </c>
      <c r="V476">
        <v>0</v>
      </c>
      <c r="W476">
        <v>0.4</v>
      </c>
      <c r="X476">
        <v>1</v>
      </c>
      <c r="Y476">
        <v>0.51249999999999996</v>
      </c>
      <c r="Z476">
        <v>1</v>
      </c>
    </row>
    <row r="477" spans="1:26" x14ac:dyDescent="0.2">
      <c r="A477" t="s">
        <v>41</v>
      </c>
      <c r="B477">
        <v>2020</v>
      </c>
      <c r="C477" t="str">
        <f t="shared" si="7"/>
        <v>DHP2020</v>
      </c>
      <c r="D477">
        <v>3.0757903681224949E-13</v>
      </c>
      <c r="E477">
        <v>7.267302850522514E-2</v>
      </c>
      <c r="F477">
        <v>0.65074017284447716</v>
      </c>
      <c r="G477">
        <v>26.000745268921989</v>
      </c>
      <c r="H477">
        <v>2.641555547584431</v>
      </c>
      <c r="I477">
        <v>0.17098255532027459</v>
      </c>
      <c r="J477">
        <v>-6.7604161610205216E-2</v>
      </c>
      <c r="K477">
        <v>0.17648914959726311</v>
      </c>
      <c r="L477">
        <v>0.27973592079112081</v>
      </c>
      <c r="M477">
        <v>16</v>
      </c>
      <c r="N477">
        <v>0</v>
      </c>
      <c r="O477">
        <v>1</v>
      </c>
      <c r="P477">
        <v>0.5112000000000001</v>
      </c>
      <c r="Q477">
        <v>0.23669999999999999</v>
      </c>
      <c r="R477">
        <v>0</v>
      </c>
      <c r="S477">
        <v>0</v>
      </c>
      <c r="T477">
        <v>0</v>
      </c>
      <c r="U477">
        <v>5</v>
      </c>
      <c r="V477">
        <v>0</v>
      </c>
      <c r="W477">
        <v>0.4</v>
      </c>
      <c r="X477">
        <v>1</v>
      </c>
      <c r="Y477">
        <v>0.52249999999999996</v>
      </c>
      <c r="Z477">
        <v>1</v>
      </c>
    </row>
    <row r="478" spans="1:26" x14ac:dyDescent="0.2">
      <c r="A478" t="s">
        <v>41</v>
      </c>
      <c r="B478">
        <v>2021</v>
      </c>
      <c r="C478" t="str">
        <f t="shared" si="7"/>
        <v>DHP2021</v>
      </c>
      <c r="D478">
        <v>2.689853914415182E-13</v>
      </c>
      <c r="E478">
        <v>7.5122537572192144E-2</v>
      </c>
      <c r="F478">
        <v>0.82938694095059629</v>
      </c>
      <c r="G478">
        <v>26.091561575514859</v>
      </c>
      <c r="H478">
        <v>3.6199098314375981</v>
      </c>
      <c r="I478">
        <v>0.23196738844392351</v>
      </c>
      <c r="J478">
        <v>9.5067830041002388E-2</v>
      </c>
      <c r="K478">
        <v>2.7544800071196949E-2</v>
      </c>
      <c r="L478">
        <v>0.2302623665974364</v>
      </c>
      <c r="M478">
        <v>17</v>
      </c>
      <c r="N478">
        <v>0</v>
      </c>
      <c r="O478">
        <v>0</v>
      </c>
      <c r="P478">
        <v>0.5112000000000001</v>
      </c>
      <c r="Q478">
        <v>0.23669999999999999</v>
      </c>
      <c r="R478">
        <v>0</v>
      </c>
      <c r="S478">
        <v>0</v>
      </c>
      <c r="T478">
        <v>0</v>
      </c>
      <c r="U478">
        <v>5</v>
      </c>
      <c r="V478">
        <v>0</v>
      </c>
      <c r="W478">
        <v>0.4</v>
      </c>
      <c r="X478">
        <v>1</v>
      </c>
      <c r="Y478">
        <v>0.53249999999999997</v>
      </c>
      <c r="Z478">
        <v>1</v>
      </c>
    </row>
    <row r="479" spans="1:26" x14ac:dyDescent="0.2">
      <c r="A479" t="s">
        <v>41</v>
      </c>
      <c r="B479">
        <v>2022</v>
      </c>
      <c r="C479" t="str">
        <f t="shared" si="7"/>
        <v>DHP2022</v>
      </c>
      <c r="D479">
        <v>2.5923076229076681E-13</v>
      </c>
      <c r="E479">
        <v>8.2401740854635502E-2</v>
      </c>
      <c r="F479">
        <v>0.7678517735887358</v>
      </c>
      <c r="G479">
        <v>26.167845859457572</v>
      </c>
      <c r="H479">
        <v>2.8996954735110889</v>
      </c>
      <c r="I479">
        <v>0.27171526003257312</v>
      </c>
      <c r="J479">
        <v>7.9269349495493246E-2</v>
      </c>
      <c r="K479">
        <v>7.4563161379337203E-2</v>
      </c>
      <c r="L479">
        <v>0.20662628585943579</v>
      </c>
      <c r="M479">
        <v>18</v>
      </c>
      <c r="N479">
        <v>0</v>
      </c>
      <c r="O479">
        <v>0</v>
      </c>
      <c r="P479">
        <v>0.5112000000000001</v>
      </c>
      <c r="Q479">
        <v>0.21929999999999999</v>
      </c>
      <c r="R479">
        <v>0</v>
      </c>
      <c r="S479">
        <v>0</v>
      </c>
      <c r="T479">
        <v>0</v>
      </c>
      <c r="U479">
        <v>5</v>
      </c>
      <c r="V479">
        <v>0</v>
      </c>
      <c r="W479">
        <v>0.4</v>
      </c>
      <c r="X479">
        <v>1</v>
      </c>
      <c r="Y479">
        <v>0.46250000000000002</v>
      </c>
      <c r="Z479">
        <v>1</v>
      </c>
    </row>
    <row r="480" spans="1:26" x14ac:dyDescent="0.2">
      <c r="A480" t="s">
        <v>41</v>
      </c>
      <c r="B480">
        <v>2023</v>
      </c>
      <c r="C480" t="str">
        <f t="shared" si="7"/>
        <v>DHP2023</v>
      </c>
      <c r="D480">
        <v>-151216607690.40079</v>
      </c>
      <c r="E480">
        <v>6.6930736456239565E-2</v>
      </c>
      <c r="F480">
        <v>0.58200104319985069</v>
      </c>
      <c r="G480">
        <v>26.079713846607429</v>
      </c>
      <c r="H480">
        <v>2.5810299560610628</v>
      </c>
      <c r="I480">
        <v>0.1008447509829391</v>
      </c>
      <c r="J480">
        <v>-8.436000750074879E-2</v>
      </c>
      <c r="K480">
        <v>4.3566353875605868E-2</v>
      </c>
      <c r="L480">
        <v>0.2126227497922904</v>
      </c>
      <c r="M480">
        <v>19</v>
      </c>
      <c r="N480">
        <v>0</v>
      </c>
      <c r="O480">
        <v>0</v>
      </c>
      <c r="P480">
        <v>0.5112000000000001</v>
      </c>
      <c r="Q480">
        <v>0.21929999999999999</v>
      </c>
      <c r="R480">
        <v>0</v>
      </c>
      <c r="S480">
        <v>0</v>
      </c>
      <c r="T480">
        <v>0</v>
      </c>
      <c r="U480">
        <v>5</v>
      </c>
      <c r="V480">
        <v>0</v>
      </c>
      <c r="W480">
        <v>0.4</v>
      </c>
      <c r="X480">
        <v>1</v>
      </c>
      <c r="Y480">
        <v>0.46250000000000002</v>
      </c>
      <c r="Z480">
        <v>1</v>
      </c>
    </row>
    <row r="481" spans="1:26" x14ac:dyDescent="0.2">
      <c r="A481" t="s">
        <v>42</v>
      </c>
      <c r="B481">
        <v>2012</v>
      </c>
      <c r="C481" t="str">
        <f t="shared" si="7"/>
        <v>DHT2012</v>
      </c>
      <c r="D481">
        <v>1.713844739168651E-13</v>
      </c>
      <c r="E481">
        <v>0.11105253832211889</v>
      </c>
      <c r="F481">
        <v>1.0922182927470461</v>
      </c>
      <c r="G481">
        <v>26.403545242755381</v>
      </c>
      <c r="H481">
        <v>1.386126630082007</v>
      </c>
      <c r="I481">
        <v>0.54777247982604305</v>
      </c>
      <c r="J481">
        <v>-3.6375701587235458E-2</v>
      </c>
      <c r="K481">
        <v>0.17568758251353361</v>
      </c>
      <c r="L481">
        <v>0.15426395507455731</v>
      </c>
      <c r="M481">
        <v>11</v>
      </c>
      <c r="N481">
        <v>0</v>
      </c>
      <c r="O481">
        <v>0</v>
      </c>
      <c r="P481">
        <v>0.41370000000000012</v>
      </c>
      <c r="Q481">
        <v>0.29049999999999998</v>
      </c>
      <c r="R481">
        <v>0</v>
      </c>
      <c r="S481">
        <v>5.3400000000000003E-2</v>
      </c>
      <c r="T481">
        <v>5.3400000000000003E-2</v>
      </c>
      <c r="U481">
        <v>7</v>
      </c>
      <c r="V481">
        <v>1</v>
      </c>
      <c r="W481">
        <v>0</v>
      </c>
      <c r="X481">
        <v>0</v>
      </c>
      <c r="Y481">
        <v>0.45200000000000001</v>
      </c>
      <c r="Z481">
        <v>0.8571428571428571</v>
      </c>
    </row>
    <row r="482" spans="1:26" x14ac:dyDescent="0.2">
      <c r="A482" t="s">
        <v>42</v>
      </c>
      <c r="B482">
        <v>2013</v>
      </c>
      <c r="C482" t="str">
        <f t="shared" si="7"/>
        <v>DHT2013</v>
      </c>
      <c r="D482">
        <v>2.9026366152522819E-13</v>
      </c>
      <c r="E482">
        <v>0.21532025959903189</v>
      </c>
      <c r="F482">
        <v>0.9375098994684643</v>
      </c>
      <c r="G482">
        <v>26.506413577627441</v>
      </c>
      <c r="H482">
        <v>1.541019939033399</v>
      </c>
      <c r="I482">
        <v>0.48303107007454538</v>
      </c>
      <c r="J482">
        <v>0.10834546902063021</v>
      </c>
      <c r="K482">
        <v>0.14833447559587731</v>
      </c>
      <c r="L482">
        <v>0.18133948023197341</v>
      </c>
      <c r="M482">
        <v>12</v>
      </c>
      <c r="N482">
        <v>0</v>
      </c>
      <c r="O482">
        <v>0</v>
      </c>
      <c r="P482">
        <v>0.42699999999999999</v>
      </c>
      <c r="Q482">
        <v>0.30869999999999997</v>
      </c>
      <c r="R482">
        <v>0</v>
      </c>
      <c r="S482">
        <v>5.3400000000000003E-2</v>
      </c>
      <c r="T482">
        <v>5.3400000000000003E-2</v>
      </c>
      <c r="U482">
        <v>7</v>
      </c>
      <c r="V482">
        <v>1</v>
      </c>
      <c r="W482">
        <v>0</v>
      </c>
      <c r="X482">
        <v>0</v>
      </c>
      <c r="Y482">
        <v>0.46200000000000002</v>
      </c>
      <c r="Z482">
        <v>0.8571428571428571</v>
      </c>
    </row>
    <row r="483" spans="1:26" x14ac:dyDescent="0.2">
      <c r="A483" t="s">
        <v>42</v>
      </c>
      <c r="B483">
        <v>2014</v>
      </c>
      <c r="C483" t="str">
        <f t="shared" si="7"/>
        <v>DHT2014</v>
      </c>
      <c r="D483">
        <v>2.3248868661567658E-13</v>
      </c>
      <c r="E483">
        <v>0.2260046622696113</v>
      </c>
      <c r="F483">
        <v>1.1609506352942329</v>
      </c>
      <c r="G483">
        <v>26.632212343502371</v>
      </c>
      <c r="H483">
        <v>1.633462372215716</v>
      </c>
      <c r="I483">
        <v>0.55555339263675096</v>
      </c>
      <c r="J483">
        <v>0.1086378828236416</v>
      </c>
      <c r="K483">
        <v>1.858163856064092E-2</v>
      </c>
      <c r="L483">
        <v>0.15858753952965479</v>
      </c>
      <c r="M483">
        <v>13</v>
      </c>
      <c r="N483">
        <v>0</v>
      </c>
      <c r="O483">
        <v>0</v>
      </c>
      <c r="P483">
        <v>0.41970000000000002</v>
      </c>
      <c r="Q483">
        <v>0.26600000000000001</v>
      </c>
      <c r="R483">
        <v>0</v>
      </c>
      <c r="S483">
        <v>5.3400000000000003E-2</v>
      </c>
      <c r="T483">
        <v>5.3400000000000003E-2</v>
      </c>
      <c r="U483">
        <v>7</v>
      </c>
      <c r="V483">
        <v>1</v>
      </c>
      <c r="W483">
        <v>0</v>
      </c>
      <c r="X483">
        <v>0</v>
      </c>
      <c r="Y483">
        <v>0.47199999999999998</v>
      </c>
      <c r="Z483">
        <v>0.8571428571428571</v>
      </c>
    </row>
    <row r="484" spans="1:26" x14ac:dyDescent="0.2">
      <c r="A484" t="s">
        <v>42</v>
      </c>
      <c r="B484">
        <v>2015</v>
      </c>
      <c r="C484" t="str">
        <f t="shared" si="7"/>
        <v>DHT2015</v>
      </c>
      <c r="D484">
        <v>2.1239313515214879E-13</v>
      </c>
      <c r="E484">
        <v>0.2379040631725681</v>
      </c>
      <c r="F484">
        <v>1.136706498163482</v>
      </c>
      <c r="G484">
        <v>26.802203622415469</v>
      </c>
      <c r="H484">
        <v>1.4623268675306449</v>
      </c>
      <c r="I484">
        <v>0.61024853862659634</v>
      </c>
      <c r="J484">
        <v>0.21246795619374301</v>
      </c>
      <c r="K484">
        <v>-3.3921463276231807E-2</v>
      </c>
      <c r="L484">
        <v>0.1281591392389318</v>
      </c>
      <c r="M484">
        <v>14</v>
      </c>
      <c r="N484">
        <v>0</v>
      </c>
      <c r="O484">
        <v>0</v>
      </c>
      <c r="P484">
        <v>0.43469999999999998</v>
      </c>
      <c r="Q484">
        <v>0.30919999999999997</v>
      </c>
      <c r="R484">
        <v>0</v>
      </c>
      <c r="S484">
        <v>5.3400000000000003E-2</v>
      </c>
      <c r="T484">
        <v>5.3400000000000003E-2</v>
      </c>
      <c r="U484">
        <v>7</v>
      </c>
      <c r="V484">
        <v>1</v>
      </c>
      <c r="W484">
        <v>0</v>
      </c>
      <c r="X484">
        <v>0</v>
      </c>
      <c r="Y484">
        <v>0.45900000000000002</v>
      </c>
      <c r="Z484">
        <v>1</v>
      </c>
    </row>
    <row r="485" spans="1:26" x14ac:dyDescent="0.2">
      <c r="A485" t="s">
        <v>42</v>
      </c>
      <c r="B485">
        <v>2016</v>
      </c>
      <c r="C485" t="str">
        <f t="shared" si="7"/>
        <v>DHT2016</v>
      </c>
      <c r="D485">
        <v>2.166837722038203E-13</v>
      </c>
      <c r="E485">
        <v>0.28287679565834151</v>
      </c>
      <c r="F485">
        <v>1.278891657103526</v>
      </c>
      <c r="G485">
        <v>26.965424589270061</v>
      </c>
      <c r="H485">
        <v>1.4133265642424211</v>
      </c>
      <c r="I485">
        <v>0.60630113295185051</v>
      </c>
      <c r="J485">
        <v>0.17729680452084959</v>
      </c>
      <c r="K485">
        <v>8.9537277826738385E-2</v>
      </c>
      <c r="L485">
        <v>0.1023527804943493</v>
      </c>
      <c r="M485">
        <v>15</v>
      </c>
      <c r="N485">
        <v>0</v>
      </c>
      <c r="O485">
        <v>0</v>
      </c>
      <c r="P485">
        <v>0.43469999999999998</v>
      </c>
      <c r="Q485">
        <v>0.39520000000000011</v>
      </c>
      <c r="R485">
        <v>0</v>
      </c>
      <c r="S485">
        <v>5.3400000000000003E-2</v>
      </c>
      <c r="T485">
        <v>5.3400000000000003E-2</v>
      </c>
      <c r="U485">
        <v>7</v>
      </c>
      <c r="V485">
        <v>0</v>
      </c>
      <c r="W485">
        <v>0</v>
      </c>
      <c r="X485">
        <v>1</v>
      </c>
      <c r="Y485">
        <v>0.45639999999999997</v>
      </c>
      <c r="Z485">
        <v>1</v>
      </c>
    </row>
    <row r="486" spans="1:26" x14ac:dyDescent="0.2">
      <c r="A486" t="s">
        <v>42</v>
      </c>
      <c r="B486">
        <v>2017</v>
      </c>
      <c r="C486" t="str">
        <f t="shared" si="7"/>
        <v>DHT2017</v>
      </c>
      <c r="D486">
        <v>1.91481784909192E-13</v>
      </c>
      <c r="E486">
        <v>0.30347161810689688</v>
      </c>
      <c r="F486">
        <v>1.925583484130216</v>
      </c>
      <c r="G486">
        <v>27.176432115082189</v>
      </c>
      <c r="H486">
        <v>1.469577705221121</v>
      </c>
      <c r="I486">
        <v>0.59951717830683648</v>
      </c>
      <c r="J486">
        <v>0.23492164881474339</v>
      </c>
      <c r="K486">
        <v>4.7845862683910259E-3</v>
      </c>
      <c r="L486">
        <v>8.8925056042777562E-2</v>
      </c>
      <c r="M486">
        <v>16</v>
      </c>
      <c r="N486">
        <v>0</v>
      </c>
      <c r="O486">
        <v>0</v>
      </c>
      <c r="P486">
        <v>0.42559999999999998</v>
      </c>
      <c r="Q486">
        <v>0.3826</v>
      </c>
      <c r="R486">
        <v>0</v>
      </c>
      <c r="S486">
        <v>5.33E-2</v>
      </c>
      <c r="T486">
        <v>5.33E-2</v>
      </c>
      <c r="U486">
        <v>7</v>
      </c>
      <c r="V486">
        <v>0</v>
      </c>
      <c r="W486">
        <v>0.14285714285714279</v>
      </c>
      <c r="X486">
        <v>1</v>
      </c>
      <c r="Y486">
        <v>0.47499999999999998</v>
      </c>
      <c r="Z486">
        <v>1</v>
      </c>
    </row>
    <row r="487" spans="1:26" x14ac:dyDescent="0.2">
      <c r="A487" t="s">
        <v>42</v>
      </c>
      <c r="B487">
        <v>2018</v>
      </c>
      <c r="C487" t="str">
        <f t="shared" si="7"/>
        <v>DHT2018</v>
      </c>
      <c r="D487">
        <v>2.0801314340538409E-13</v>
      </c>
      <c r="E487">
        <v>0.30785957463755609</v>
      </c>
      <c r="F487">
        <v>1.815287952011688</v>
      </c>
      <c r="G487">
        <v>27.18336452583948</v>
      </c>
      <c r="H487">
        <v>1.515403418507596</v>
      </c>
      <c r="I487">
        <v>0.56815954472326591</v>
      </c>
      <c r="J487">
        <v>6.9564955397791728E-3</v>
      </c>
      <c r="K487">
        <v>0.1475148376033088</v>
      </c>
      <c r="L487">
        <v>9.9845683971715296E-2</v>
      </c>
      <c r="M487">
        <v>17</v>
      </c>
      <c r="N487">
        <v>0</v>
      </c>
      <c r="O487">
        <v>0</v>
      </c>
      <c r="P487">
        <v>0.43969999999999998</v>
      </c>
      <c r="Q487">
        <v>0.3962</v>
      </c>
      <c r="R487">
        <v>0</v>
      </c>
      <c r="S487">
        <v>5.3400000000000003E-2</v>
      </c>
      <c r="T487">
        <v>5.3400000000000003E-2</v>
      </c>
      <c r="U487">
        <v>7</v>
      </c>
      <c r="V487">
        <v>0</v>
      </c>
      <c r="W487">
        <v>0.14285714285714279</v>
      </c>
      <c r="X487">
        <v>1</v>
      </c>
      <c r="Y487">
        <v>0.48099999999999998</v>
      </c>
      <c r="Z487">
        <v>1</v>
      </c>
    </row>
    <row r="488" spans="1:26" x14ac:dyDescent="0.2">
      <c r="A488" t="s">
        <v>42</v>
      </c>
      <c r="B488">
        <v>2019</v>
      </c>
      <c r="C488" t="str">
        <f t="shared" si="7"/>
        <v>DHT2019</v>
      </c>
      <c r="D488">
        <v>1.6518874438463429E-13</v>
      </c>
      <c r="E488">
        <v>0.28839911857148071</v>
      </c>
      <c r="F488">
        <v>1.967962612259289</v>
      </c>
      <c r="G488">
        <v>27.327508307489751</v>
      </c>
      <c r="H488">
        <v>1.5810484669159399</v>
      </c>
      <c r="I488">
        <v>0.57716338693128355</v>
      </c>
      <c r="J488">
        <v>0.15505017160603041</v>
      </c>
      <c r="K488">
        <v>0.1464135740851589</v>
      </c>
      <c r="L488">
        <v>0.1220074866139005</v>
      </c>
      <c r="M488">
        <v>18</v>
      </c>
      <c r="N488">
        <v>0</v>
      </c>
      <c r="O488">
        <v>1</v>
      </c>
      <c r="P488">
        <v>0.40310000000000001</v>
      </c>
      <c r="Q488">
        <v>0.36070000000000002</v>
      </c>
      <c r="R488">
        <v>0</v>
      </c>
      <c r="S488">
        <v>5.2400000000000002E-2</v>
      </c>
      <c r="T488">
        <v>5.2400000000000002E-2</v>
      </c>
      <c r="U488">
        <v>7</v>
      </c>
      <c r="V488">
        <v>0</v>
      </c>
      <c r="W488">
        <v>0.14285714285714279</v>
      </c>
      <c r="X488">
        <v>1</v>
      </c>
      <c r="Y488">
        <v>0.49099999999999999</v>
      </c>
      <c r="Z488">
        <v>1</v>
      </c>
    </row>
    <row r="489" spans="1:26" x14ac:dyDescent="0.2">
      <c r="A489" t="s">
        <v>42</v>
      </c>
      <c r="B489">
        <v>2020</v>
      </c>
      <c r="C489" t="str">
        <f t="shared" si="7"/>
        <v>DHT2020</v>
      </c>
      <c r="D489">
        <v>1.135387802742538E-13</v>
      </c>
      <c r="E489">
        <v>0.27490085187147989</v>
      </c>
      <c r="F489">
        <v>1.8438652858945279</v>
      </c>
      <c r="G489">
        <v>27.547689718234331</v>
      </c>
      <c r="H489">
        <v>1.514946142563167</v>
      </c>
      <c r="I489">
        <v>0.62000509593748976</v>
      </c>
      <c r="J489">
        <v>0.24630280280022029</v>
      </c>
      <c r="K489">
        <v>0.10433321098220701</v>
      </c>
      <c r="L489">
        <v>0.18053713178698461</v>
      </c>
      <c r="M489">
        <v>19</v>
      </c>
      <c r="N489">
        <v>0</v>
      </c>
      <c r="O489">
        <v>1</v>
      </c>
      <c r="P489">
        <v>0.87439999999999984</v>
      </c>
      <c r="Q489">
        <v>0.36070000000000002</v>
      </c>
      <c r="R489">
        <v>0</v>
      </c>
      <c r="S489">
        <v>0.52369999999999994</v>
      </c>
      <c r="T489">
        <v>0.52369999999999994</v>
      </c>
      <c r="U489">
        <v>7</v>
      </c>
      <c r="V489">
        <v>0</v>
      </c>
      <c r="W489">
        <v>0.14285714285714279</v>
      </c>
      <c r="X489">
        <v>1</v>
      </c>
      <c r="Y489">
        <v>0.501</v>
      </c>
      <c r="Z489">
        <v>1</v>
      </c>
    </row>
    <row r="490" spans="1:26" x14ac:dyDescent="0.2">
      <c r="A490" t="s">
        <v>42</v>
      </c>
      <c r="B490">
        <v>2021</v>
      </c>
      <c r="C490" t="str">
        <f t="shared" si="7"/>
        <v>DHT2021</v>
      </c>
      <c r="D490">
        <v>4.661045109500027E-14</v>
      </c>
      <c r="E490">
        <v>9.4763987991583296E-2</v>
      </c>
      <c r="F490">
        <v>1.351476379510256</v>
      </c>
      <c r="G490">
        <v>27.844187637907929</v>
      </c>
      <c r="H490">
        <v>1.2969788924042429</v>
      </c>
      <c r="I490">
        <v>0.39128077068761319</v>
      </c>
      <c r="J490">
        <v>0.34513976166458082</v>
      </c>
      <c r="K490">
        <v>-1.873520495801682E-2</v>
      </c>
      <c r="L490">
        <v>0.17190831608093271</v>
      </c>
      <c r="M490">
        <v>20</v>
      </c>
      <c r="N490">
        <v>0</v>
      </c>
      <c r="O490">
        <v>0</v>
      </c>
      <c r="P490">
        <v>0.38200000000000001</v>
      </c>
      <c r="Q490">
        <v>0.27010000000000001</v>
      </c>
      <c r="R490">
        <v>0.249</v>
      </c>
      <c r="S490">
        <v>0</v>
      </c>
      <c r="T490">
        <v>0.249</v>
      </c>
      <c r="U490">
        <v>7</v>
      </c>
      <c r="V490">
        <v>0</v>
      </c>
      <c r="W490">
        <v>0.14285714285714279</v>
      </c>
      <c r="X490">
        <v>1</v>
      </c>
      <c r="Y490">
        <v>0.51819999999999999</v>
      </c>
      <c r="Z490">
        <v>1</v>
      </c>
    </row>
    <row r="491" spans="1:26" x14ac:dyDescent="0.2">
      <c r="A491" t="s">
        <v>42</v>
      </c>
      <c r="B491">
        <v>2022</v>
      </c>
      <c r="C491" t="str">
        <f t="shared" si="7"/>
        <v>DHT2022</v>
      </c>
      <c r="D491">
        <v>4.5828842321180368E-14</v>
      </c>
      <c r="E491">
        <v>0.12388514929164481</v>
      </c>
      <c r="F491">
        <v>1.1554294260537601</v>
      </c>
      <c r="G491">
        <v>28.015944868130489</v>
      </c>
      <c r="H491">
        <v>2.1025491403340588</v>
      </c>
      <c r="I491">
        <v>0.45638691766694339</v>
      </c>
      <c r="J491">
        <v>0.1873895359270232</v>
      </c>
      <c r="K491">
        <v>-8.9866433158340385E-3</v>
      </c>
      <c r="L491">
        <v>0.30083229685462598</v>
      </c>
      <c r="M491">
        <v>21</v>
      </c>
      <c r="N491">
        <v>0</v>
      </c>
      <c r="O491">
        <v>0</v>
      </c>
      <c r="P491">
        <v>0.38200000000000001</v>
      </c>
      <c r="Q491">
        <v>0.27010000000000001</v>
      </c>
      <c r="R491">
        <v>0.249</v>
      </c>
      <c r="S491">
        <v>0</v>
      </c>
      <c r="T491">
        <v>0.249</v>
      </c>
      <c r="U491">
        <v>7</v>
      </c>
      <c r="V491">
        <v>0</v>
      </c>
      <c r="W491">
        <v>0.14285714285714279</v>
      </c>
      <c r="X491">
        <v>1</v>
      </c>
      <c r="Y491">
        <v>0.5282</v>
      </c>
      <c r="Z491">
        <v>1</v>
      </c>
    </row>
    <row r="492" spans="1:26" x14ac:dyDescent="0.2">
      <c r="A492" t="s">
        <v>42</v>
      </c>
      <c r="B492">
        <v>2023</v>
      </c>
      <c r="C492" t="str">
        <f t="shared" si="7"/>
        <v>DHT2023</v>
      </c>
      <c r="D492">
        <v>390206175241.76239</v>
      </c>
      <c r="E492">
        <v>6.6659308006472254E-2</v>
      </c>
      <c r="F492">
        <v>1.2832090014687481</v>
      </c>
      <c r="G492">
        <v>28.239842888058071</v>
      </c>
      <c r="H492">
        <v>1.7951708663454591</v>
      </c>
      <c r="I492">
        <v>0.2740087184158862</v>
      </c>
      <c r="J492">
        <v>0.25094344162050303</v>
      </c>
      <c r="K492">
        <v>0.1492853759589533</v>
      </c>
      <c r="L492">
        <v>0.43069766505657531</v>
      </c>
      <c r="M492">
        <v>22</v>
      </c>
      <c r="N492">
        <v>0</v>
      </c>
      <c r="O492">
        <v>0</v>
      </c>
      <c r="P492">
        <v>0.38200000000000001</v>
      </c>
      <c r="Q492">
        <v>0.27010000000000001</v>
      </c>
      <c r="R492">
        <v>0.249</v>
      </c>
      <c r="S492">
        <v>0</v>
      </c>
      <c r="T492">
        <v>0.249</v>
      </c>
      <c r="U492">
        <v>7</v>
      </c>
      <c r="V492">
        <v>0</v>
      </c>
      <c r="W492">
        <v>0.14285714285714279</v>
      </c>
      <c r="X492">
        <v>1</v>
      </c>
      <c r="Y492">
        <v>0.5282</v>
      </c>
      <c r="Z492">
        <v>1</v>
      </c>
    </row>
    <row r="493" spans="1:26" x14ac:dyDescent="0.2">
      <c r="A493" t="s">
        <v>43</v>
      </c>
      <c r="B493">
        <v>2012</v>
      </c>
      <c r="C493" t="str">
        <f t="shared" si="7"/>
        <v>DLG2012</v>
      </c>
      <c r="D493">
        <v>4.6409613218682133E-17</v>
      </c>
      <c r="E493">
        <v>2.8611476115828789E-4</v>
      </c>
      <c r="F493">
        <v>0.7625275963147754</v>
      </c>
      <c r="G493">
        <v>28.418019300348679</v>
      </c>
      <c r="H493">
        <v>1.208543302283323</v>
      </c>
      <c r="I493">
        <v>0.59762370107953222</v>
      </c>
      <c r="J493">
        <v>0.14065035726617811</v>
      </c>
      <c r="K493">
        <v>-9.3362925547631495E-2</v>
      </c>
      <c r="L493">
        <v>0.26780606315262551</v>
      </c>
      <c r="M493">
        <v>5</v>
      </c>
      <c r="N493">
        <v>0</v>
      </c>
      <c r="O493">
        <v>0</v>
      </c>
      <c r="P493">
        <v>0.51319999999999999</v>
      </c>
      <c r="Q493">
        <v>0.40660000000000002</v>
      </c>
      <c r="R493">
        <v>0</v>
      </c>
      <c r="S493">
        <v>0</v>
      </c>
      <c r="T493">
        <v>0.1192</v>
      </c>
      <c r="U493">
        <v>6</v>
      </c>
      <c r="V493">
        <v>0</v>
      </c>
      <c r="W493">
        <v>0.1666666666666666</v>
      </c>
      <c r="X493">
        <v>0</v>
      </c>
      <c r="Y493">
        <v>0.4254</v>
      </c>
      <c r="Z493">
        <v>1</v>
      </c>
    </row>
    <row r="494" spans="1:26" x14ac:dyDescent="0.2">
      <c r="A494" t="s">
        <v>43</v>
      </c>
      <c r="B494">
        <v>2013</v>
      </c>
      <c r="C494" t="str">
        <f t="shared" si="7"/>
        <v>DLG2013</v>
      </c>
      <c r="D494">
        <v>2.8610990903446082E-16</v>
      </c>
      <c r="E494">
        <v>2.0730322625632431E-3</v>
      </c>
      <c r="F494">
        <v>0.76459419057951816</v>
      </c>
      <c r="G494">
        <v>28.514918044773591</v>
      </c>
      <c r="H494">
        <v>1.46490600843319</v>
      </c>
      <c r="I494">
        <v>0.62339345319093653</v>
      </c>
      <c r="J494">
        <v>0.1017488097635377</v>
      </c>
      <c r="K494">
        <v>0.1052484644648141</v>
      </c>
      <c r="L494">
        <v>0.3296254268876011</v>
      </c>
      <c r="M494">
        <v>6</v>
      </c>
      <c r="N494">
        <v>0</v>
      </c>
      <c r="O494">
        <v>0</v>
      </c>
      <c r="P494">
        <v>0.51319999999999999</v>
      </c>
      <c r="Q494">
        <v>0.39069999999999999</v>
      </c>
      <c r="R494">
        <v>0</v>
      </c>
      <c r="S494">
        <v>0</v>
      </c>
      <c r="T494">
        <v>0.1192</v>
      </c>
      <c r="U494">
        <v>5</v>
      </c>
      <c r="V494">
        <v>0</v>
      </c>
      <c r="W494">
        <v>0</v>
      </c>
      <c r="X494">
        <v>0</v>
      </c>
      <c r="Y494">
        <v>0.43669999999999998</v>
      </c>
      <c r="Z494">
        <v>1</v>
      </c>
    </row>
    <row r="495" spans="1:26" x14ac:dyDescent="0.2">
      <c r="A495" t="s">
        <v>43</v>
      </c>
      <c r="B495">
        <v>2014</v>
      </c>
      <c r="C495" t="str">
        <f t="shared" si="7"/>
        <v>DLG2014</v>
      </c>
      <c r="D495">
        <v>3.2100149441065071E-15</v>
      </c>
      <c r="E495">
        <v>3.4816881380382053E-2</v>
      </c>
      <c r="F495">
        <v>0.95391269714907811</v>
      </c>
      <c r="G495">
        <v>29.044845962799801</v>
      </c>
      <c r="H495">
        <v>2.642789089470035</v>
      </c>
      <c r="I495">
        <v>0.59454137896239212</v>
      </c>
      <c r="J495">
        <v>0.69674916687114274</v>
      </c>
      <c r="K495">
        <v>-1.409966785064181E-2</v>
      </c>
      <c r="L495">
        <v>0.41907136615390589</v>
      </c>
      <c r="M495">
        <v>7</v>
      </c>
      <c r="N495">
        <v>0</v>
      </c>
      <c r="O495">
        <v>0</v>
      </c>
      <c r="P495">
        <v>0.22670000000000001</v>
      </c>
      <c r="Q495">
        <v>0.23300000000000001</v>
      </c>
      <c r="R495">
        <v>0</v>
      </c>
      <c r="S495">
        <v>0</v>
      </c>
      <c r="T495">
        <v>0</v>
      </c>
      <c r="U495">
        <v>8</v>
      </c>
      <c r="V495">
        <v>0</v>
      </c>
      <c r="W495">
        <v>0</v>
      </c>
      <c r="X495">
        <v>0</v>
      </c>
      <c r="Y495">
        <v>0.44359999999999999</v>
      </c>
      <c r="Z495">
        <v>1</v>
      </c>
    </row>
    <row r="496" spans="1:26" x14ac:dyDescent="0.2">
      <c r="A496" t="s">
        <v>43</v>
      </c>
      <c r="B496">
        <v>2015</v>
      </c>
      <c r="C496" t="str">
        <f t="shared" si="7"/>
        <v>DLG2015</v>
      </c>
      <c r="D496">
        <v>1.7450377901589539E-15</v>
      </c>
      <c r="E496">
        <v>3.7590368448074223E-2</v>
      </c>
      <c r="F496">
        <v>0.85736601322624484</v>
      </c>
      <c r="G496">
        <v>29.550236316895081</v>
      </c>
      <c r="H496">
        <v>2.9331177052422071</v>
      </c>
      <c r="I496">
        <v>0.68360265887495519</v>
      </c>
      <c r="J496">
        <v>0.65964563474455473</v>
      </c>
      <c r="K496">
        <v>-6.0473875273099427E-3</v>
      </c>
      <c r="L496">
        <v>0.43027200190203629</v>
      </c>
      <c r="M496">
        <v>8</v>
      </c>
      <c r="N496">
        <v>0</v>
      </c>
      <c r="O496">
        <v>0</v>
      </c>
      <c r="P496">
        <v>0.30959999999999999</v>
      </c>
      <c r="Q496">
        <v>0.20549999999999999</v>
      </c>
      <c r="R496">
        <v>0.1096</v>
      </c>
      <c r="S496">
        <v>0</v>
      </c>
      <c r="T496">
        <v>0.1096</v>
      </c>
      <c r="U496">
        <v>8</v>
      </c>
      <c r="V496">
        <v>0</v>
      </c>
      <c r="W496">
        <v>0</v>
      </c>
      <c r="X496">
        <v>0</v>
      </c>
      <c r="Y496">
        <v>0.442</v>
      </c>
      <c r="Z496">
        <v>1</v>
      </c>
    </row>
    <row r="497" spans="1:26" x14ac:dyDescent="0.2">
      <c r="A497" t="s">
        <v>43</v>
      </c>
      <c r="B497">
        <v>2016</v>
      </c>
      <c r="C497" t="str">
        <f t="shared" si="7"/>
        <v>DLG2016</v>
      </c>
      <c r="D497">
        <v>1.127187751330828E-15</v>
      </c>
      <c r="E497">
        <v>2.083942356581726E-2</v>
      </c>
      <c r="F497">
        <v>0.71565044143796497</v>
      </c>
      <c r="G497">
        <v>29.578496892122409</v>
      </c>
      <c r="H497">
        <v>2.6100404327031881</v>
      </c>
      <c r="I497">
        <v>0.62078235034358842</v>
      </c>
      <c r="J497">
        <v>2.7883151089420629E-2</v>
      </c>
      <c r="K497">
        <v>1.042319589737583E-2</v>
      </c>
      <c r="L497">
        <v>0.44296328267267948</v>
      </c>
      <c r="M497">
        <v>9</v>
      </c>
      <c r="N497">
        <v>0</v>
      </c>
      <c r="O497">
        <v>0</v>
      </c>
      <c r="P497">
        <v>0.29330000000000001</v>
      </c>
      <c r="Q497">
        <v>0.15709999999999999</v>
      </c>
      <c r="R497">
        <v>0.1389</v>
      </c>
      <c r="S497">
        <v>0</v>
      </c>
      <c r="T497">
        <v>0.1389</v>
      </c>
      <c r="U497">
        <v>5</v>
      </c>
      <c r="V497">
        <v>0</v>
      </c>
      <c r="W497">
        <v>0</v>
      </c>
      <c r="X497">
        <v>0</v>
      </c>
      <c r="Y497">
        <v>0.45669999999999999</v>
      </c>
      <c r="Z497">
        <v>1</v>
      </c>
    </row>
    <row r="498" spans="1:26" x14ac:dyDescent="0.2">
      <c r="A498" t="s">
        <v>43</v>
      </c>
      <c r="B498">
        <v>2017</v>
      </c>
      <c r="C498" t="str">
        <f t="shared" si="7"/>
        <v>DLG2017</v>
      </c>
      <c r="D498">
        <v>8.5910288681340492E-16</v>
      </c>
      <c r="E498">
        <v>1.7710659335901879E-2</v>
      </c>
      <c r="F498">
        <v>0.72434923862737555</v>
      </c>
      <c r="G498">
        <v>29.748780491179161</v>
      </c>
      <c r="H498">
        <v>2.098613970866801</v>
      </c>
      <c r="I498">
        <v>0.59678037669611173</v>
      </c>
      <c r="J498">
        <v>0.18654138948842069</v>
      </c>
      <c r="K498">
        <v>-2.4090732379451491E-2</v>
      </c>
      <c r="L498">
        <v>0.39017526249553569</v>
      </c>
      <c r="M498">
        <v>10</v>
      </c>
      <c r="N498">
        <v>0</v>
      </c>
      <c r="O498">
        <v>0</v>
      </c>
      <c r="P498">
        <v>0.30299999999999999</v>
      </c>
      <c r="Q498">
        <v>0.19009999999999999</v>
      </c>
      <c r="R498">
        <v>0.11650000000000001</v>
      </c>
      <c r="S498">
        <v>0</v>
      </c>
      <c r="T498">
        <v>0.11650000000000001</v>
      </c>
      <c r="U498">
        <v>5</v>
      </c>
      <c r="V498">
        <v>0</v>
      </c>
      <c r="W498">
        <v>0</v>
      </c>
      <c r="X498">
        <v>0</v>
      </c>
      <c r="Y498">
        <v>0.44359999999999999</v>
      </c>
      <c r="Z498">
        <v>1</v>
      </c>
    </row>
    <row r="499" spans="1:26" x14ac:dyDescent="0.2">
      <c r="A499" t="s">
        <v>43</v>
      </c>
      <c r="B499">
        <v>2018</v>
      </c>
      <c r="C499" t="str">
        <f t="shared" si="7"/>
        <v>DLG2018</v>
      </c>
      <c r="D499">
        <v>1.890972212818837E-16</v>
      </c>
      <c r="E499">
        <v>4.1219102159093506E-3</v>
      </c>
      <c r="F499">
        <v>0.65253508101524194</v>
      </c>
      <c r="G499">
        <v>29.79575211135775</v>
      </c>
      <c r="H499">
        <v>1.874266782900655</v>
      </c>
      <c r="I499">
        <v>0.60031546398141966</v>
      </c>
      <c r="J499">
        <v>4.8092263986299288E-2</v>
      </c>
      <c r="K499">
        <v>3.2578957887534107E-2</v>
      </c>
      <c r="L499">
        <v>0.38109795678080072</v>
      </c>
      <c r="M499">
        <v>11</v>
      </c>
      <c r="N499">
        <v>0</v>
      </c>
      <c r="O499">
        <v>0</v>
      </c>
      <c r="P499">
        <v>0.3211</v>
      </c>
      <c r="Q499">
        <v>0.222</v>
      </c>
      <c r="R499">
        <v>0.1065</v>
      </c>
      <c r="S499">
        <v>0</v>
      </c>
      <c r="T499">
        <v>0.1065</v>
      </c>
      <c r="U499">
        <v>6</v>
      </c>
      <c r="V499">
        <v>0</v>
      </c>
      <c r="W499">
        <v>0</v>
      </c>
      <c r="X499">
        <v>1</v>
      </c>
      <c r="Y499">
        <v>0.46460000000000001</v>
      </c>
      <c r="Z499">
        <v>1</v>
      </c>
    </row>
    <row r="500" spans="1:26" x14ac:dyDescent="0.2">
      <c r="A500" t="s">
        <v>43</v>
      </c>
      <c r="B500">
        <v>2019</v>
      </c>
      <c r="C500" t="str">
        <f t="shared" si="7"/>
        <v>DLG2019</v>
      </c>
      <c r="D500">
        <v>-1.0050691513003709E-16</v>
      </c>
      <c r="E500">
        <v>-2.1744851559977879E-3</v>
      </c>
      <c r="F500">
        <v>0.66819107823123802</v>
      </c>
      <c r="G500">
        <v>29.784469413473079</v>
      </c>
      <c r="H500">
        <v>1.6042127634417771</v>
      </c>
      <c r="I500">
        <v>0.6018284656330688</v>
      </c>
      <c r="J500">
        <v>-1.121928695506791E-2</v>
      </c>
      <c r="K500">
        <v>5.4410165649522467E-2</v>
      </c>
      <c r="L500">
        <v>0.38841619986375941</v>
      </c>
      <c r="M500">
        <v>12</v>
      </c>
      <c r="N500">
        <v>0</v>
      </c>
      <c r="O500">
        <v>1</v>
      </c>
      <c r="P500">
        <v>0.27360000000000001</v>
      </c>
      <c r="Q500">
        <v>0.25290000000000001</v>
      </c>
      <c r="R500">
        <v>5.8999999999999997E-2</v>
      </c>
      <c r="S500">
        <v>0</v>
      </c>
      <c r="T500">
        <v>5.8999999999999997E-2</v>
      </c>
      <c r="U500">
        <v>7</v>
      </c>
      <c r="V500">
        <v>0</v>
      </c>
      <c r="W500">
        <v>0</v>
      </c>
      <c r="X500">
        <v>1</v>
      </c>
      <c r="Y500">
        <v>0.49149999999999999</v>
      </c>
      <c r="Z500">
        <v>1</v>
      </c>
    </row>
    <row r="501" spans="1:26" x14ac:dyDescent="0.2">
      <c r="A501" t="s">
        <v>43</v>
      </c>
      <c r="B501">
        <v>2020</v>
      </c>
      <c r="C501" t="str">
        <f t="shared" si="7"/>
        <v>DLG2020</v>
      </c>
      <c r="D501">
        <v>-1.37252211175211E-14</v>
      </c>
      <c r="E501">
        <v>-0.37093840881160323</v>
      </c>
      <c r="F501">
        <v>0.75218822659854723</v>
      </c>
      <c r="G501">
        <v>29.738876234715811</v>
      </c>
      <c r="H501">
        <v>1.300551874218336</v>
      </c>
      <c r="I501">
        <v>0.69545786232021423</v>
      </c>
      <c r="J501">
        <v>-4.4569427409244078E-2</v>
      </c>
      <c r="K501">
        <v>5.3068617685273378E-2</v>
      </c>
      <c r="L501">
        <v>0.44089961779045422</v>
      </c>
      <c r="M501">
        <v>13</v>
      </c>
      <c r="N501">
        <v>0</v>
      </c>
      <c r="O501">
        <v>1</v>
      </c>
      <c r="P501">
        <v>0.24790000000000001</v>
      </c>
      <c r="Q501">
        <v>0.25290000000000001</v>
      </c>
      <c r="R501">
        <v>0</v>
      </c>
      <c r="S501">
        <v>0</v>
      </c>
      <c r="T501">
        <v>0</v>
      </c>
      <c r="U501">
        <v>7</v>
      </c>
      <c r="V501">
        <v>0</v>
      </c>
      <c r="W501">
        <v>0</v>
      </c>
      <c r="X501">
        <v>1</v>
      </c>
      <c r="Y501">
        <v>0.50749999999999995</v>
      </c>
      <c r="Z501">
        <v>1</v>
      </c>
    </row>
    <row r="502" spans="1:26" x14ac:dyDescent="0.2">
      <c r="A502" t="s">
        <v>43</v>
      </c>
      <c r="B502">
        <v>2021</v>
      </c>
      <c r="C502" t="str">
        <f t="shared" si="7"/>
        <v>DLG2021</v>
      </c>
      <c r="D502">
        <v>2.3589999767828838E-16</v>
      </c>
      <c r="E502">
        <v>5.0855718805239694E-3</v>
      </c>
      <c r="F502">
        <v>1.0682715951245261</v>
      </c>
      <c r="G502">
        <v>29.58693095765393</v>
      </c>
      <c r="H502">
        <v>0.86081013936687911</v>
      </c>
      <c r="I502">
        <v>0.67203387326329511</v>
      </c>
      <c r="J502">
        <v>-0.14096471161015359</v>
      </c>
      <c r="K502">
        <v>6.2497873805353231E-2</v>
      </c>
      <c r="L502">
        <v>0.40070716698196412</v>
      </c>
      <c r="M502">
        <v>14</v>
      </c>
      <c r="N502">
        <v>0</v>
      </c>
      <c r="O502">
        <v>0</v>
      </c>
      <c r="P502">
        <v>0.24790000000000001</v>
      </c>
      <c r="Q502">
        <v>0.25790000000000002</v>
      </c>
      <c r="R502">
        <v>0</v>
      </c>
      <c r="S502">
        <v>0</v>
      </c>
      <c r="T502">
        <v>0</v>
      </c>
      <c r="U502">
        <v>5</v>
      </c>
      <c r="V502">
        <v>0</v>
      </c>
      <c r="W502">
        <v>0</v>
      </c>
      <c r="X502">
        <v>1</v>
      </c>
      <c r="Y502">
        <v>0.48830000000000001</v>
      </c>
      <c r="Z502">
        <v>1</v>
      </c>
    </row>
    <row r="503" spans="1:26" x14ac:dyDescent="0.2">
      <c r="A503" t="s">
        <v>43</v>
      </c>
      <c r="B503">
        <v>2022</v>
      </c>
      <c r="C503" t="str">
        <f t="shared" si="7"/>
        <v>DLG2022</v>
      </c>
      <c r="D503">
        <v>-3.801428930111937E-14</v>
      </c>
      <c r="E503">
        <v>-1.0794899273005221</v>
      </c>
      <c r="F503">
        <v>0.91864963836526758</v>
      </c>
      <c r="G503">
        <v>29.355900773894231</v>
      </c>
      <c r="H503">
        <v>0.85357215923362628</v>
      </c>
      <c r="I503">
        <v>0.80237858771422887</v>
      </c>
      <c r="J503">
        <v>-0.20628449164449969</v>
      </c>
      <c r="K503">
        <v>3.6203223801166952E-2</v>
      </c>
      <c r="L503">
        <v>0.46739688372686489</v>
      </c>
      <c r="M503">
        <v>15</v>
      </c>
      <c r="N503">
        <v>0</v>
      </c>
      <c r="O503">
        <v>0</v>
      </c>
      <c r="P503">
        <v>0.24790000000000001</v>
      </c>
      <c r="Q503">
        <v>0.25340000000000001</v>
      </c>
      <c r="R503">
        <v>0</v>
      </c>
      <c r="S503">
        <v>0</v>
      </c>
      <c r="T503">
        <v>0</v>
      </c>
      <c r="U503">
        <v>5</v>
      </c>
      <c r="V503">
        <v>0</v>
      </c>
      <c r="W503">
        <v>0</v>
      </c>
      <c r="X503">
        <v>1</v>
      </c>
      <c r="Y503">
        <v>0.47920000000000001</v>
      </c>
      <c r="Z503">
        <v>1</v>
      </c>
    </row>
    <row r="504" spans="1:26" x14ac:dyDescent="0.2">
      <c r="A504" t="s">
        <v>43</v>
      </c>
      <c r="B504">
        <v>2023</v>
      </c>
      <c r="C504" t="str">
        <f t="shared" si="7"/>
        <v>DLG2023</v>
      </c>
      <c r="D504">
        <v>5800714509302.3799</v>
      </c>
      <c r="E504">
        <v>-0.25827680741605308</v>
      </c>
      <c r="F504">
        <v>0.70160715477549063</v>
      </c>
      <c r="G504">
        <v>29.25079525555557</v>
      </c>
      <c r="H504">
        <v>0.63553032166362566</v>
      </c>
      <c r="I504">
        <v>0.55645351370490725</v>
      </c>
      <c r="J504">
        <v>-9.9770473149626171E-2</v>
      </c>
      <c r="K504">
        <v>4.539199017076901E-2</v>
      </c>
      <c r="L504">
        <v>0.48064416840386842</v>
      </c>
      <c r="M504">
        <v>16</v>
      </c>
      <c r="N504">
        <v>0</v>
      </c>
      <c r="O504">
        <v>0</v>
      </c>
      <c r="P504">
        <v>0.24790000000000001</v>
      </c>
      <c r="Q504">
        <v>0.25340000000000001</v>
      </c>
      <c r="R504">
        <v>0</v>
      </c>
      <c r="S504">
        <v>0</v>
      </c>
      <c r="T504">
        <v>0</v>
      </c>
      <c r="U504">
        <v>5</v>
      </c>
      <c r="V504">
        <v>0</v>
      </c>
      <c r="W504">
        <v>0</v>
      </c>
      <c r="X504">
        <v>1</v>
      </c>
      <c r="Y504">
        <v>0.47920000000000001</v>
      </c>
      <c r="Z504">
        <v>1</v>
      </c>
    </row>
    <row r="505" spans="1:26" x14ac:dyDescent="0.2">
      <c r="A505" t="s">
        <v>44</v>
      </c>
      <c r="B505">
        <v>2012</v>
      </c>
      <c r="C505" t="str">
        <f t="shared" si="7"/>
        <v>DMC2012</v>
      </c>
      <c r="D505">
        <v>1.250482172227855E-13</v>
      </c>
      <c r="E505">
        <v>0.15801806980789029</v>
      </c>
      <c r="F505">
        <v>0.93562518258241811</v>
      </c>
      <c r="G505">
        <v>27.46726351516358</v>
      </c>
      <c r="H505">
        <v>2.0563333974107469</v>
      </c>
      <c r="I505">
        <v>0.32725944393913348</v>
      </c>
      <c r="J505">
        <v>1.7927929692524099E-2</v>
      </c>
      <c r="K505">
        <v>0.123165278812572</v>
      </c>
      <c r="L505">
        <v>0.29158611527576261</v>
      </c>
      <c r="M505">
        <v>9</v>
      </c>
      <c r="N505">
        <v>1</v>
      </c>
      <c r="O505">
        <v>0</v>
      </c>
      <c r="P505">
        <v>0.80650000000000011</v>
      </c>
      <c r="Q505">
        <v>1.6400000000000001E-2</v>
      </c>
      <c r="R505">
        <v>0.45939999999999998</v>
      </c>
      <c r="S505">
        <v>0.34710000000000002</v>
      </c>
      <c r="T505">
        <v>0.80650000000000011</v>
      </c>
      <c r="U505">
        <v>7</v>
      </c>
      <c r="V505">
        <v>0</v>
      </c>
      <c r="W505">
        <v>0.2857142857142857</v>
      </c>
      <c r="X505">
        <v>0</v>
      </c>
      <c r="Y505">
        <v>0.43080000000000002</v>
      </c>
      <c r="Z505">
        <v>1</v>
      </c>
    </row>
    <row r="506" spans="1:26" x14ac:dyDescent="0.2">
      <c r="A506" t="s">
        <v>44</v>
      </c>
      <c r="B506">
        <v>2013</v>
      </c>
      <c r="C506" t="str">
        <f t="shared" si="7"/>
        <v>DMC2013</v>
      </c>
      <c r="D506">
        <v>1.0311374624635071E-13</v>
      </c>
      <c r="E506">
        <v>0.17061457817003661</v>
      </c>
      <c r="F506">
        <v>1.207709334629063</v>
      </c>
      <c r="G506">
        <v>27.650601562009999</v>
      </c>
      <c r="H506">
        <v>1.978721830348386</v>
      </c>
      <c r="I506">
        <v>0.38166151604184162</v>
      </c>
      <c r="J506">
        <v>0.20122040822427739</v>
      </c>
      <c r="K506">
        <v>5.6921502856351523E-2</v>
      </c>
      <c r="L506">
        <v>0.22713184911462769</v>
      </c>
      <c r="M506">
        <v>10</v>
      </c>
      <c r="N506">
        <v>1</v>
      </c>
      <c r="O506">
        <v>0</v>
      </c>
      <c r="P506">
        <v>0.80650000000000011</v>
      </c>
      <c r="Q506">
        <v>2.2100000000000002E-2</v>
      </c>
      <c r="R506">
        <v>0.45939999999999998</v>
      </c>
      <c r="S506">
        <v>0.34710000000000002</v>
      </c>
      <c r="T506">
        <v>0.80650000000000011</v>
      </c>
      <c r="U506">
        <v>6</v>
      </c>
      <c r="V506">
        <v>0</v>
      </c>
      <c r="W506">
        <v>0.1666666666666666</v>
      </c>
      <c r="X506">
        <v>1</v>
      </c>
      <c r="Y506">
        <v>0.4264</v>
      </c>
      <c r="Z506">
        <v>1</v>
      </c>
    </row>
    <row r="507" spans="1:26" x14ac:dyDescent="0.2">
      <c r="A507" t="s">
        <v>44</v>
      </c>
      <c r="B507">
        <v>2014</v>
      </c>
      <c r="C507" t="str">
        <f t="shared" si="7"/>
        <v>DMC2014</v>
      </c>
      <c r="D507">
        <v>1.52236794714179E-13</v>
      </c>
      <c r="E507">
        <v>0.18331024321897399</v>
      </c>
      <c r="F507">
        <v>1.4005355397657711</v>
      </c>
      <c r="G507">
        <v>27.560920968080541</v>
      </c>
      <c r="H507">
        <v>1.84255560704085</v>
      </c>
      <c r="I507">
        <v>0.22573649283112429</v>
      </c>
      <c r="J507">
        <v>-8.6088272822335221E-2</v>
      </c>
      <c r="K507">
        <v>0.1326266606757181</v>
      </c>
      <c r="L507">
        <v>0.2336043679423353</v>
      </c>
      <c r="M507">
        <v>11</v>
      </c>
      <c r="N507">
        <v>1</v>
      </c>
      <c r="O507">
        <v>0</v>
      </c>
      <c r="P507">
        <v>0.80650000000000011</v>
      </c>
      <c r="Q507">
        <v>2.06E-2</v>
      </c>
      <c r="R507">
        <v>0.45939999999999998</v>
      </c>
      <c r="S507">
        <v>0.34710000000000002</v>
      </c>
      <c r="T507">
        <v>0.80650000000000011</v>
      </c>
      <c r="U507">
        <v>6</v>
      </c>
      <c r="V507">
        <v>0</v>
      </c>
      <c r="W507">
        <v>0.1666666666666666</v>
      </c>
      <c r="X507">
        <v>1</v>
      </c>
      <c r="Y507">
        <v>0.434</v>
      </c>
      <c r="Z507">
        <v>1</v>
      </c>
    </row>
    <row r="508" spans="1:26" x14ac:dyDescent="0.2">
      <c r="A508" t="s">
        <v>44</v>
      </c>
      <c r="B508">
        <v>2015</v>
      </c>
      <c r="C508" t="str">
        <f t="shared" si="7"/>
        <v>DMC2015</v>
      </c>
      <c r="D508">
        <v>1.450120485149179E-13</v>
      </c>
      <c r="E508">
        <v>0.17843940375272099</v>
      </c>
      <c r="F508">
        <v>1.3191262008800251</v>
      </c>
      <c r="G508">
        <v>27.61897198238395</v>
      </c>
      <c r="H508">
        <v>3.048764384679536</v>
      </c>
      <c r="I508">
        <v>0.19706488390974511</v>
      </c>
      <c r="J508">
        <v>6.0130179196585587E-2</v>
      </c>
      <c r="K508">
        <v>0.16982711442210441</v>
      </c>
      <c r="L508">
        <v>0.19537653062774771</v>
      </c>
      <c r="M508">
        <v>12</v>
      </c>
      <c r="N508">
        <v>1</v>
      </c>
      <c r="O508">
        <v>0</v>
      </c>
      <c r="P508">
        <v>0.80650000000000011</v>
      </c>
      <c r="Q508">
        <v>2.06E-2</v>
      </c>
      <c r="R508">
        <v>0.45939999999999998</v>
      </c>
      <c r="S508">
        <v>0.34710000000000002</v>
      </c>
      <c r="T508">
        <v>0.80650000000000011</v>
      </c>
      <c r="U508">
        <v>6</v>
      </c>
      <c r="V508">
        <v>0</v>
      </c>
      <c r="W508">
        <v>0.1666666666666666</v>
      </c>
      <c r="X508">
        <v>1</v>
      </c>
      <c r="Y508">
        <v>0.44400000000000001</v>
      </c>
      <c r="Z508">
        <v>1</v>
      </c>
    </row>
    <row r="509" spans="1:26" x14ac:dyDescent="0.2">
      <c r="A509" t="s">
        <v>44</v>
      </c>
      <c r="B509">
        <v>2016</v>
      </c>
      <c r="C509" t="str">
        <f t="shared" si="7"/>
        <v>DMC2016</v>
      </c>
      <c r="D509">
        <v>1.433703863033395E-13</v>
      </c>
      <c r="E509">
        <v>0.19065192906081391</v>
      </c>
      <c r="F509">
        <v>2.347304774415393</v>
      </c>
      <c r="G509">
        <v>27.71167361703473</v>
      </c>
      <c r="H509">
        <v>3.716526780081733</v>
      </c>
      <c r="I509">
        <v>0.1848356321871574</v>
      </c>
      <c r="J509">
        <v>9.7134339558378149E-2</v>
      </c>
      <c r="K509">
        <v>0.12709536717412301</v>
      </c>
      <c r="L509">
        <v>0.15758481035095959</v>
      </c>
      <c r="M509">
        <v>13</v>
      </c>
      <c r="N509">
        <v>1</v>
      </c>
      <c r="O509">
        <v>0</v>
      </c>
      <c r="P509">
        <v>0.8640000000000001</v>
      </c>
      <c r="Q509">
        <v>0</v>
      </c>
      <c r="R509">
        <v>0.51690000000000003</v>
      </c>
      <c r="S509">
        <v>0.34710000000000002</v>
      </c>
      <c r="T509">
        <v>0.8640000000000001</v>
      </c>
      <c r="U509">
        <v>7</v>
      </c>
      <c r="V509">
        <v>0</v>
      </c>
      <c r="W509">
        <v>0.14285714285714279</v>
      </c>
      <c r="X509">
        <v>1</v>
      </c>
      <c r="Y509">
        <v>0.44400000000000001</v>
      </c>
      <c r="Z509">
        <v>1</v>
      </c>
    </row>
    <row r="510" spans="1:26" x14ac:dyDescent="0.2">
      <c r="A510" t="s">
        <v>44</v>
      </c>
      <c r="B510">
        <v>2017</v>
      </c>
      <c r="C510" t="str">
        <f t="shared" si="7"/>
        <v>DMC2017</v>
      </c>
      <c r="D510">
        <v>1.2184871138055679E-13</v>
      </c>
      <c r="E510">
        <v>0.21794781047819389</v>
      </c>
      <c r="F510">
        <v>3.345271211688877</v>
      </c>
      <c r="G510">
        <v>27.897586802962859</v>
      </c>
      <c r="H510">
        <v>4.2212801294506388</v>
      </c>
      <c r="I510">
        <v>0.27014525278742768</v>
      </c>
      <c r="J510">
        <v>0.20431770411548891</v>
      </c>
      <c r="K510">
        <v>0.235011698442746</v>
      </c>
      <c r="L510">
        <v>0.11872778417141081</v>
      </c>
      <c r="M510">
        <v>14</v>
      </c>
      <c r="N510">
        <v>1</v>
      </c>
      <c r="O510">
        <v>0</v>
      </c>
      <c r="P510">
        <v>0.8640000000000001</v>
      </c>
      <c r="Q510">
        <v>0</v>
      </c>
      <c r="R510">
        <v>0.51690000000000003</v>
      </c>
      <c r="S510">
        <v>0.34710000000000002</v>
      </c>
      <c r="T510">
        <v>0.8640000000000001</v>
      </c>
      <c r="U510">
        <v>5</v>
      </c>
      <c r="V510">
        <v>0</v>
      </c>
      <c r="W510">
        <v>0.2</v>
      </c>
      <c r="X510">
        <v>1</v>
      </c>
      <c r="Y510">
        <v>0.46</v>
      </c>
      <c r="Z510">
        <v>1</v>
      </c>
    </row>
    <row r="511" spans="1:26" x14ac:dyDescent="0.2">
      <c r="A511" t="s">
        <v>44</v>
      </c>
      <c r="B511">
        <v>2018</v>
      </c>
      <c r="C511" t="str">
        <f t="shared" si="7"/>
        <v>DMC2018</v>
      </c>
      <c r="D511">
        <v>1.06579644993764E-13</v>
      </c>
      <c r="E511">
        <v>0.20253526336463129</v>
      </c>
      <c r="F511">
        <v>2.0186302139111398</v>
      </c>
      <c r="G511">
        <v>28.012937009480449</v>
      </c>
      <c r="H511">
        <v>3.0671974959709032</v>
      </c>
      <c r="I511">
        <v>0.2290298113061241</v>
      </c>
      <c r="J511">
        <v>0.122266393765585</v>
      </c>
      <c r="K511">
        <v>3.124361170788241E-2</v>
      </c>
      <c r="L511">
        <v>0.1112907441464456</v>
      </c>
      <c r="M511">
        <v>15</v>
      </c>
      <c r="N511">
        <v>1</v>
      </c>
      <c r="O511">
        <v>0</v>
      </c>
      <c r="P511">
        <v>0.8640000000000001</v>
      </c>
      <c r="Q511">
        <v>0</v>
      </c>
      <c r="R511">
        <v>0.51690000000000003</v>
      </c>
      <c r="S511">
        <v>0.34710000000000002</v>
      </c>
      <c r="T511">
        <v>0.8640000000000001</v>
      </c>
      <c r="U511">
        <v>7</v>
      </c>
      <c r="V511">
        <v>0</v>
      </c>
      <c r="W511">
        <v>0.2857142857142857</v>
      </c>
      <c r="X511">
        <v>1</v>
      </c>
      <c r="Y511">
        <v>0.47639999999999999</v>
      </c>
      <c r="Z511">
        <v>1</v>
      </c>
    </row>
    <row r="512" spans="1:26" x14ac:dyDescent="0.2">
      <c r="A512" t="s">
        <v>44</v>
      </c>
      <c r="B512">
        <v>2019</v>
      </c>
      <c r="C512" t="str">
        <f t="shared" si="7"/>
        <v>DMC2019</v>
      </c>
      <c r="D512">
        <v>9.8982913042344839E-14</v>
      </c>
      <c r="E512">
        <v>0.18577050947525439</v>
      </c>
      <c r="F512">
        <v>1.814133096517071</v>
      </c>
      <c r="G512">
        <v>28.058281970999289</v>
      </c>
      <c r="H512">
        <v>3.6822903182324409</v>
      </c>
      <c r="I512">
        <v>0.18315342881734439</v>
      </c>
      <c r="J512">
        <v>4.6388761513020071E-2</v>
      </c>
      <c r="K512">
        <v>8.5973803903295648E-2</v>
      </c>
      <c r="L512">
        <v>0.1089691455474661</v>
      </c>
      <c r="M512">
        <v>16</v>
      </c>
      <c r="N512">
        <v>1</v>
      </c>
      <c r="O512">
        <v>1</v>
      </c>
      <c r="P512">
        <v>0.8640000000000001</v>
      </c>
      <c r="Q512">
        <v>0</v>
      </c>
      <c r="R512">
        <v>0.51690000000000003</v>
      </c>
      <c r="S512">
        <v>0.34710000000000002</v>
      </c>
      <c r="T512">
        <v>0.8640000000000001</v>
      </c>
      <c r="U512">
        <v>6</v>
      </c>
      <c r="V512">
        <v>0</v>
      </c>
      <c r="W512">
        <v>0.33333333333333331</v>
      </c>
      <c r="X512">
        <v>1</v>
      </c>
      <c r="Y512">
        <v>0.46920000000000001</v>
      </c>
      <c r="Z512">
        <v>1</v>
      </c>
    </row>
    <row r="513" spans="1:26" x14ac:dyDescent="0.2">
      <c r="A513" t="s">
        <v>44</v>
      </c>
      <c r="B513">
        <v>2020</v>
      </c>
      <c r="C513" t="str">
        <f t="shared" si="7"/>
        <v>DMC2020</v>
      </c>
      <c r="D513">
        <v>8.3767945867197775E-14</v>
      </c>
      <c r="E513">
        <v>0.13649008233111601</v>
      </c>
      <c r="F513">
        <v>1.508180204631296</v>
      </c>
      <c r="G513">
        <v>28.012181549901349</v>
      </c>
      <c r="H513">
        <v>4.644811468021623</v>
      </c>
      <c r="I513">
        <v>0.10151125056660321</v>
      </c>
      <c r="J513">
        <v>-4.5053939356349382E-2</v>
      </c>
      <c r="K513">
        <v>-1.7911187365771689E-2</v>
      </c>
      <c r="L513">
        <v>0.1051667986988666</v>
      </c>
      <c r="M513">
        <v>17</v>
      </c>
      <c r="N513">
        <v>1</v>
      </c>
      <c r="O513">
        <v>1</v>
      </c>
      <c r="P513">
        <v>0.8640000000000001</v>
      </c>
      <c r="Q513">
        <v>0</v>
      </c>
      <c r="R513">
        <v>0.51690000000000003</v>
      </c>
      <c r="S513">
        <v>0.34710000000000002</v>
      </c>
      <c r="T513">
        <v>0.8640000000000001</v>
      </c>
      <c r="U513">
        <v>6</v>
      </c>
      <c r="V513">
        <v>0</v>
      </c>
      <c r="W513">
        <v>0.1666666666666666</v>
      </c>
      <c r="X513">
        <v>1</v>
      </c>
      <c r="Y513">
        <v>0.45079999999999998</v>
      </c>
      <c r="Z513">
        <v>1</v>
      </c>
    </row>
    <row r="514" spans="1:26" x14ac:dyDescent="0.2">
      <c r="A514" t="s">
        <v>44</v>
      </c>
      <c r="B514">
        <v>2021</v>
      </c>
      <c r="C514" t="str">
        <f t="shared" si="7"/>
        <v>DMC2021</v>
      </c>
      <c r="D514">
        <v>6.0554190581786806E-14</v>
      </c>
      <c r="E514">
        <v>0.11660190383171259</v>
      </c>
      <c r="F514">
        <v>1.2818756691565489</v>
      </c>
      <c r="G514">
        <v>28.11458947247478</v>
      </c>
      <c r="H514">
        <v>8.4061041114909454</v>
      </c>
      <c r="I514">
        <v>0.15773329987611309</v>
      </c>
      <c r="J514">
        <v>0.1078352905907865</v>
      </c>
      <c r="K514">
        <v>0.1052147682242499</v>
      </c>
      <c r="L514">
        <v>8.3013344937492906E-2</v>
      </c>
      <c r="M514">
        <v>18</v>
      </c>
      <c r="N514">
        <v>1</v>
      </c>
      <c r="O514">
        <v>0</v>
      </c>
      <c r="P514">
        <v>0.8640000000000001</v>
      </c>
      <c r="Q514">
        <v>0</v>
      </c>
      <c r="R514">
        <v>0.51690000000000003</v>
      </c>
      <c r="S514">
        <v>0.34710000000000002</v>
      </c>
      <c r="T514">
        <v>0.8640000000000001</v>
      </c>
      <c r="U514">
        <v>6</v>
      </c>
      <c r="V514">
        <v>0</v>
      </c>
      <c r="W514">
        <v>0.1666666666666666</v>
      </c>
      <c r="X514">
        <v>1</v>
      </c>
      <c r="Y514">
        <v>0.45379999999999998</v>
      </c>
      <c r="Z514">
        <v>1</v>
      </c>
    </row>
    <row r="515" spans="1:26" x14ac:dyDescent="0.2">
      <c r="A515" t="s">
        <v>44</v>
      </c>
      <c r="B515">
        <v>2022</v>
      </c>
      <c r="C515" t="str">
        <f t="shared" ref="C515:C578" si="8">A515&amp;B515</f>
        <v>DMC2022</v>
      </c>
      <c r="D515">
        <v>5.9226283462540524E-14</v>
      </c>
      <c r="E515">
        <v>0.13708422373135989</v>
      </c>
      <c r="F515">
        <v>0.98247439965346539</v>
      </c>
      <c r="G515">
        <v>28.239686700406001</v>
      </c>
      <c r="H515">
        <v>5.5595565793384321</v>
      </c>
      <c r="I515">
        <v>0.20591478788455611</v>
      </c>
      <c r="J515">
        <v>0.13325863210283281</v>
      </c>
      <c r="K515">
        <v>0.15721788191855621</v>
      </c>
      <c r="L515">
        <v>6.7629397275299069E-2</v>
      </c>
      <c r="M515">
        <v>19</v>
      </c>
      <c r="N515">
        <v>1</v>
      </c>
      <c r="O515">
        <v>0</v>
      </c>
      <c r="P515">
        <v>0.8640000000000001</v>
      </c>
      <c r="Q515">
        <v>0</v>
      </c>
      <c r="R515">
        <v>0.51690000000000003</v>
      </c>
      <c r="S515">
        <v>0.34710000000000002</v>
      </c>
      <c r="T515">
        <v>0.8640000000000001</v>
      </c>
      <c r="U515">
        <v>6</v>
      </c>
      <c r="V515">
        <v>0</v>
      </c>
      <c r="W515">
        <v>0.1666666666666666</v>
      </c>
      <c r="X515">
        <v>1</v>
      </c>
      <c r="Y515">
        <v>0.45229999999999998</v>
      </c>
      <c r="Z515">
        <v>1</v>
      </c>
    </row>
    <row r="516" spans="1:26" x14ac:dyDescent="0.2">
      <c r="A516" t="s">
        <v>44</v>
      </c>
      <c r="B516">
        <v>2023</v>
      </c>
      <c r="C516" t="str">
        <f t="shared" si="8"/>
        <v>DMC2023</v>
      </c>
      <c r="D516">
        <v>-3984894630589.021</v>
      </c>
      <c r="E516">
        <v>9.9143504287300052E-2</v>
      </c>
      <c r="F516">
        <v>1.0798541800655861</v>
      </c>
      <c r="G516">
        <v>28.24575564362928</v>
      </c>
      <c r="H516">
        <v>4.2254599474384547</v>
      </c>
      <c r="I516">
        <v>0</v>
      </c>
      <c r="J516">
        <v>6.0873965710914746E-3</v>
      </c>
      <c r="K516">
        <v>9.7890477674254836E-2</v>
      </c>
      <c r="L516">
        <v>6.0779140725718897E-2</v>
      </c>
      <c r="M516">
        <v>20</v>
      </c>
      <c r="N516">
        <v>0</v>
      </c>
      <c r="O516">
        <v>0</v>
      </c>
      <c r="P516">
        <v>0.8640000000000001</v>
      </c>
      <c r="Q516">
        <v>0</v>
      </c>
      <c r="R516">
        <v>0.51690000000000003</v>
      </c>
      <c r="S516">
        <v>0.34710000000000002</v>
      </c>
      <c r="T516">
        <v>0.8640000000000001</v>
      </c>
      <c r="U516">
        <v>6</v>
      </c>
      <c r="V516">
        <v>0</v>
      </c>
      <c r="W516">
        <v>0.1666666666666666</v>
      </c>
      <c r="X516">
        <v>1</v>
      </c>
      <c r="Y516">
        <v>0.45229999999999998</v>
      </c>
      <c r="Z516">
        <v>1</v>
      </c>
    </row>
    <row r="517" spans="1:26" x14ac:dyDescent="0.2">
      <c r="A517" t="s">
        <v>45</v>
      </c>
      <c r="B517">
        <v>2012</v>
      </c>
      <c r="C517" t="str">
        <f t="shared" si="8"/>
        <v>DNP2012</v>
      </c>
      <c r="D517">
        <v>1.4052170810187929E-13</v>
      </c>
      <c r="E517">
        <v>9.7952019979955132E-2</v>
      </c>
      <c r="F517">
        <v>0.82620348470319216</v>
      </c>
      <c r="G517">
        <v>26.213027576651161</v>
      </c>
      <c r="H517">
        <v>1.16331640755529</v>
      </c>
      <c r="I517">
        <v>0.63866721676503713</v>
      </c>
      <c r="J517">
        <v>4.635905803659579E-3</v>
      </c>
      <c r="K517">
        <v>1.8418015906194039E-2</v>
      </c>
      <c r="L517">
        <v>0.30253921879239648</v>
      </c>
      <c r="M517">
        <v>19</v>
      </c>
      <c r="N517">
        <v>0</v>
      </c>
      <c r="O517">
        <v>0</v>
      </c>
      <c r="P517">
        <v>0.41589999999999999</v>
      </c>
      <c r="Q517">
        <v>0.43790000000000001</v>
      </c>
      <c r="R517">
        <v>0</v>
      </c>
      <c r="S517">
        <v>0</v>
      </c>
      <c r="T517">
        <v>0</v>
      </c>
      <c r="U517">
        <v>5</v>
      </c>
      <c r="V517">
        <v>0</v>
      </c>
      <c r="W517">
        <v>0</v>
      </c>
      <c r="X517">
        <v>0</v>
      </c>
      <c r="Y517">
        <v>0.4788</v>
      </c>
      <c r="Z517">
        <v>1</v>
      </c>
    </row>
    <row r="518" spans="1:26" x14ac:dyDescent="0.2">
      <c r="A518" t="s">
        <v>45</v>
      </c>
      <c r="B518">
        <v>2013</v>
      </c>
      <c r="C518" t="str">
        <f t="shared" si="8"/>
        <v>DNP2013</v>
      </c>
      <c r="D518">
        <v>2.8701312107060769E-13</v>
      </c>
      <c r="E518">
        <v>0.25424174501289182</v>
      </c>
      <c r="F518">
        <v>0.8674556313361319</v>
      </c>
      <c r="G518">
        <v>26.36699849802643</v>
      </c>
      <c r="H518">
        <v>1.1703983586736251</v>
      </c>
      <c r="I518">
        <v>0.6800871206555007</v>
      </c>
      <c r="J518">
        <v>0.72137261528821606</v>
      </c>
      <c r="K518">
        <v>-0.19140674432875049</v>
      </c>
      <c r="L518">
        <v>0.16828644709597951</v>
      </c>
      <c r="M518">
        <v>20</v>
      </c>
      <c r="N518">
        <v>0</v>
      </c>
      <c r="O518">
        <v>0</v>
      </c>
      <c r="P518">
        <v>0.48840000000000011</v>
      </c>
      <c r="Q518">
        <v>0.5101</v>
      </c>
      <c r="R518">
        <v>0</v>
      </c>
      <c r="S518">
        <v>0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0.41860000000000003</v>
      </c>
      <c r="Z518">
        <v>1</v>
      </c>
    </row>
    <row r="519" spans="1:26" x14ac:dyDescent="0.2">
      <c r="A519" t="s">
        <v>45</v>
      </c>
      <c r="B519">
        <v>2014</v>
      </c>
      <c r="C519" t="str">
        <f t="shared" si="8"/>
        <v>DNP2014</v>
      </c>
      <c r="D519">
        <v>1.317921112150829E-13</v>
      </c>
      <c r="E519">
        <v>0.20679032078397569</v>
      </c>
      <c r="F519">
        <v>0.87990442775203492</v>
      </c>
      <c r="G519">
        <v>26.756149581358361</v>
      </c>
      <c r="H519">
        <v>1.111711070627782</v>
      </c>
      <c r="I519">
        <v>0.73356362354918059</v>
      </c>
      <c r="J519">
        <v>0</v>
      </c>
      <c r="K519">
        <v>-0.19141321231689629</v>
      </c>
      <c r="L519">
        <v>0.16828644709597951</v>
      </c>
      <c r="M519">
        <v>21</v>
      </c>
      <c r="N519">
        <v>0</v>
      </c>
      <c r="O519">
        <v>0</v>
      </c>
      <c r="P519">
        <v>0.35639999999999999</v>
      </c>
      <c r="Q519">
        <v>0.24279999999999999</v>
      </c>
      <c r="R519">
        <v>0</v>
      </c>
      <c r="S519">
        <v>0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0.42859999999999998</v>
      </c>
      <c r="Z519">
        <v>1</v>
      </c>
    </row>
    <row r="520" spans="1:26" x14ac:dyDescent="0.2">
      <c r="A520" t="s">
        <v>45</v>
      </c>
      <c r="B520">
        <v>2015</v>
      </c>
      <c r="C520" t="str">
        <f t="shared" si="8"/>
        <v>DNP2015</v>
      </c>
      <c r="D520">
        <v>1.034711664488036E-13</v>
      </c>
      <c r="E520">
        <v>0.1998896782623496</v>
      </c>
      <c r="F520">
        <v>1.035949947818753</v>
      </c>
      <c r="G520">
        <v>27.298098223230031</v>
      </c>
      <c r="H520">
        <v>1.111711070627782</v>
      </c>
      <c r="I520">
        <v>0.62894148613876721</v>
      </c>
      <c r="J520">
        <v>0.71935400514089243</v>
      </c>
      <c r="K520">
        <v>5.0853182396812427E-2</v>
      </c>
      <c r="L520">
        <v>0.19854220178111839</v>
      </c>
      <c r="M520">
        <v>22</v>
      </c>
      <c r="N520">
        <v>0</v>
      </c>
      <c r="O520">
        <v>0</v>
      </c>
      <c r="P520">
        <v>0.60219999999999996</v>
      </c>
      <c r="Q520">
        <v>0.15129999999999999</v>
      </c>
      <c r="R520">
        <v>0</v>
      </c>
      <c r="S520">
        <v>0</v>
      </c>
      <c r="T520">
        <v>0</v>
      </c>
      <c r="U520">
        <v>6</v>
      </c>
      <c r="V520">
        <v>0</v>
      </c>
      <c r="W520">
        <v>0</v>
      </c>
      <c r="X520">
        <v>1</v>
      </c>
      <c r="Y520">
        <v>0.39</v>
      </c>
      <c r="Z520">
        <v>1</v>
      </c>
    </row>
    <row r="521" spans="1:26" x14ac:dyDescent="0.2">
      <c r="A521" t="s">
        <v>45</v>
      </c>
      <c r="B521">
        <v>2016</v>
      </c>
      <c r="C521" t="str">
        <f t="shared" si="8"/>
        <v>DNP2016</v>
      </c>
      <c r="D521">
        <v>1.520295039874768E-14</v>
      </c>
      <c r="E521">
        <v>0.1738341765763127</v>
      </c>
      <c r="F521">
        <v>1.0361005549609741</v>
      </c>
      <c r="G521">
        <v>28.554672056335729</v>
      </c>
      <c r="H521">
        <v>1.153114158273967</v>
      </c>
      <c r="I521">
        <v>0.77974325316812665</v>
      </c>
      <c r="J521">
        <v>2.513363473156824</v>
      </c>
      <c r="K521">
        <v>7.6909230555506549E-4</v>
      </c>
      <c r="L521">
        <v>0.49049063606092053</v>
      </c>
      <c r="M521">
        <v>23</v>
      </c>
      <c r="N521">
        <v>0</v>
      </c>
      <c r="O521">
        <v>0</v>
      </c>
      <c r="P521">
        <v>0.53200000000000003</v>
      </c>
      <c r="Q521">
        <v>0.11749999999999999</v>
      </c>
      <c r="R521">
        <v>0</v>
      </c>
      <c r="S521">
        <v>0</v>
      </c>
      <c r="T521">
        <v>5.7000000000000002E-2</v>
      </c>
      <c r="U521">
        <v>5</v>
      </c>
      <c r="V521">
        <v>0</v>
      </c>
      <c r="W521">
        <v>0</v>
      </c>
      <c r="X521">
        <v>0</v>
      </c>
      <c r="Y521">
        <v>0.38379999999999997</v>
      </c>
      <c r="Z521">
        <v>1</v>
      </c>
    </row>
    <row r="522" spans="1:26" x14ac:dyDescent="0.2">
      <c r="A522" t="s">
        <v>45</v>
      </c>
      <c r="B522">
        <v>2017</v>
      </c>
      <c r="C522" t="str">
        <f t="shared" si="8"/>
        <v>DNP2017</v>
      </c>
      <c r="D522">
        <v>4.8845186111506193E-15</v>
      </c>
      <c r="E522">
        <v>7.4864284641924156E-2</v>
      </c>
      <c r="F522">
        <v>1.0121376633929731</v>
      </c>
      <c r="G522">
        <v>28.97978253072656</v>
      </c>
      <c r="H522">
        <v>1.0270593178663121</v>
      </c>
      <c r="I522">
        <v>0.7486338870046868</v>
      </c>
      <c r="J522">
        <v>0.5297594095675644</v>
      </c>
      <c r="K522">
        <v>1.4427887653815721E-2</v>
      </c>
      <c r="L522">
        <v>0.46667863602811011</v>
      </c>
      <c r="M522">
        <v>24</v>
      </c>
      <c r="N522">
        <v>0</v>
      </c>
      <c r="O522">
        <v>0</v>
      </c>
      <c r="P522">
        <v>0.53600000000000003</v>
      </c>
      <c r="Q522">
        <v>0.1168</v>
      </c>
      <c r="R522">
        <v>0</v>
      </c>
      <c r="S522">
        <v>0</v>
      </c>
      <c r="T522">
        <v>5.5999999999999987E-2</v>
      </c>
      <c r="U522">
        <v>5</v>
      </c>
      <c r="V522">
        <v>0</v>
      </c>
      <c r="W522">
        <v>0.2</v>
      </c>
      <c r="X522">
        <v>1</v>
      </c>
      <c r="Y522">
        <v>0.38140000000000002</v>
      </c>
      <c r="Z522">
        <v>1</v>
      </c>
    </row>
    <row r="523" spans="1:26" x14ac:dyDescent="0.2">
      <c r="A523" t="s">
        <v>45</v>
      </c>
      <c r="B523">
        <v>2018</v>
      </c>
      <c r="C523" t="str">
        <f t="shared" si="8"/>
        <v>DNP2018</v>
      </c>
      <c r="D523">
        <v>2.7517683091591242E-16</v>
      </c>
      <c r="E523">
        <v>7.008018769810425E-3</v>
      </c>
      <c r="F523">
        <v>0.94913412440102662</v>
      </c>
      <c r="G523">
        <v>29.52880289307662</v>
      </c>
      <c r="H523">
        <v>1.0915347451582791</v>
      </c>
      <c r="I523">
        <v>0.73805340222326499</v>
      </c>
      <c r="J523">
        <v>0.73155588937542615</v>
      </c>
      <c r="K523">
        <v>5.551975959205438E-3</v>
      </c>
      <c r="L523">
        <v>0.46818391151009298</v>
      </c>
      <c r="M523">
        <v>25</v>
      </c>
      <c r="N523">
        <v>0</v>
      </c>
      <c r="O523">
        <v>0</v>
      </c>
      <c r="P523">
        <v>0.4788</v>
      </c>
      <c r="Q523">
        <v>5.8400000000000001E-2</v>
      </c>
      <c r="R523">
        <v>0</v>
      </c>
      <c r="S523">
        <v>0</v>
      </c>
      <c r="T523">
        <v>0.32669999999999999</v>
      </c>
      <c r="U523">
        <v>5</v>
      </c>
      <c r="V523">
        <v>0</v>
      </c>
      <c r="W523">
        <v>0.2</v>
      </c>
      <c r="X523">
        <v>1</v>
      </c>
      <c r="Y523">
        <v>0.39</v>
      </c>
      <c r="Z523">
        <v>1</v>
      </c>
    </row>
    <row r="524" spans="1:26" x14ac:dyDescent="0.2">
      <c r="A524" t="s">
        <v>45</v>
      </c>
      <c r="B524">
        <v>2019</v>
      </c>
      <c r="C524" t="str">
        <f t="shared" si="8"/>
        <v>DNP2019</v>
      </c>
      <c r="D524">
        <v>4.7033284110475175E-16</v>
      </c>
      <c r="E524">
        <v>1.3092406596044021E-2</v>
      </c>
      <c r="F524">
        <v>0.9605153826582119</v>
      </c>
      <c r="G524">
        <v>29.657895576432999</v>
      </c>
      <c r="H524">
        <v>1.2936284094585591</v>
      </c>
      <c r="I524">
        <v>0.7273244398342974</v>
      </c>
      <c r="J524">
        <v>0.1377955739916166</v>
      </c>
      <c r="K524">
        <v>2.0006067406899392E-2</v>
      </c>
      <c r="L524">
        <v>0.50592194698005777</v>
      </c>
      <c r="M524">
        <v>26</v>
      </c>
      <c r="N524">
        <v>0</v>
      </c>
      <c r="O524">
        <v>1</v>
      </c>
      <c r="P524">
        <v>0.1656</v>
      </c>
      <c r="Q524">
        <v>0.17710000000000001</v>
      </c>
      <c r="R524">
        <v>0</v>
      </c>
      <c r="S524">
        <v>0</v>
      </c>
      <c r="T524">
        <v>0.06</v>
      </c>
      <c r="U524">
        <v>7</v>
      </c>
      <c r="V524">
        <v>0</v>
      </c>
      <c r="W524">
        <v>0.14285714285714279</v>
      </c>
      <c r="X524">
        <v>1</v>
      </c>
      <c r="Y524">
        <v>0.4</v>
      </c>
      <c r="Z524">
        <v>1</v>
      </c>
    </row>
    <row r="525" spans="1:26" x14ac:dyDescent="0.2">
      <c r="A525" t="s">
        <v>45</v>
      </c>
      <c r="B525">
        <v>2020</v>
      </c>
      <c r="C525" t="str">
        <f t="shared" si="8"/>
        <v>DNP2020</v>
      </c>
      <c r="D525">
        <v>2.8598915632994138E-16</v>
      </c>
      <c r="E525">
        <v>9.8318046763624309E-3</v>
      </c>
      <c r="F525">
        <v>0.91879846656069819</v>
      </c>
      <c r="G525">
        <v>29.90641563554442</v>
      </c>
      <c r="H525">
        <v>1.1213707139300571</v>
      </c>
      <c r="I525">
        <v>0.71692102881639586</v>
      </c>
      <c r="J525">
        <v>0.28212654043048779</v>
      </c>
      <c r="K525">
        <v>3.0812691196648711E-2</v>
      </c>
      <c r="L525">
        <v>0.53048413605991551</v>
      </c>
      <c r="M525">
        <v>27</v>
      </c>
      <c r="N525">
        <v>1</v>
      </c>
      <c r="O525">
        <v>1</v>
      </c>
      <c r="P525">
        <v>0.44410000000000011</v>
      </c>
      <c r="Q525">
        <v>0.1283</v>
      </c>
      <c r="R525">
        <v>0</v>
      </c>
      <c r="S525">
        <v>0</v>
      </c>
      <c r="T525">
        <v>0.28249999999999997</v>
      </c>
      <c r="U525">
        <v>7</v>
      </c>
      <c r="V525">
        <v>0</v>
      </c>
      <c r="W525">
        <v>0.14285714285714279</v>
      </c>
      <c r="X525">
        <v>1</v>
      </c>
      <c r="Y525">
        <v>0.41</v>
      </c>
      <c r="Z525">
        <v>1</v>
      </c>
    </row>
    <row r="526" spans="1:26" x14ac:dyDescent="0.2">
      <c r="A526" t="s">
        <v>45</v>
      </c>
      <c r="B526">
        <v>2021</v>
      </c>
      <c r="C526" t="str">
        <f t="shared" si="8"/>
        <v>DNP2021</v>
      </c>
      <c r="D526">
        <v>1.1539157357737251E-16</v>
      </c>
      <c r="E526">
        <v>5.8082736318160197E-3</v>
      </c>
      <c r="F526">
        <v>0.87266168801645627</v>
      </c>
      <c r="G526">
        <v>30.272932070331759</v>
      </c>
      <c r="H526">
        <v>1.2155930748732651</v>
      </c>
      <c r="I526">
        <v>0.72107054588278796</v>
      </c>
      <c r="J526">
        <v>0.44270011082497329</v>
      </c>
      <c r="K526">
        <v>2.1171233506554511E-2</v>
      </c>
      <c r="L526">
        <v>0.42968842934260582</v>
      </c>
      <c r="M526">
        <v>28</v>
      </c>
      <c r="N526">
        <v>1</v>
      </c>
      <c r="O526">
        <v>0</v>
      </c>
      <c r="P526">
        <v>0.1603</v>
      </c>
      <c r="Q526">
        <v>0.1182</v>
      </c>
      <c r="R526">
        <v>0</v>
      </c>
      <c r="S526">
        <v>5.28E-2</v>
      </c>
      <c r="T526">
        <v>5.28E-2</v>
      </c>
      <c r="U526">
        <v>7</v>
      </c>
      <c r="V526">
        <v>0</v>
      </c>
      <c r="W526">
        <v>0.14285714285714279</v>
      </c>
      <c r="X526">
        <v>1</v>
      </c>
      <c r="Y526">
        <v>0.43380000000000002</v>
      </c>
      <c r="Z526">
        <v>1</v>
      </c>
    </row>
    <row r="527" spans="1:26" x14ac:dyDescent="0.2">
      <c r="A527" t="s">
        <v>45</v>
      </c>
      <c r="B527">
        <v>2022</v>
      </c>
      <c r="C527" t="str">
        <f t="shared" si="8"/>
        <v>DNP2022</v>
      </c>
      <c r="D527">
        <v>3.4718562153357462E-16</v>
      </c>
      <c r="E527">
        <v>2.0796867139063389E-2</v>
      </c>
      <c r="F527">
        <v>0.89671032141062323</v>
      </c>
      <c r="G527">
        <v>30.4361286445803</v>
      </c>
      <c r="H527">
        <v>1.299986434829465</v>
      </c>
      <c r="I527">
        <v>0.72406516275657495</v>
      </c>
      <c r="J527">
        <v>0.17726808753392809</v>
      </c>
      <c r="K527">
        <v>-1.118997159460366E-2</v>
      </c>
      <c r="L527">
        <v>0.36770355784500719</v>
      </c>
      <c r="M527">
        <v>29</v>
      </c>
      <c r="N527">
        <v>1</v>
      </c>
      <c r="O527">
        <v>0</v>
      </c>
      <c r="P527">
        <v>0.1603</v>
      </c>
      <c r="Q527">
        <v>0.1116</v>
      </c>
      <c r="R527">
        <v>0</v>
      </c>
      <c r="S527">
        <v>5.28E-2</v>
      </c>
      <c r="T527">
        <v>5.28E-2</v>
      </c>
      <c r="U527">
        <v>7</v>
      </c>
      <c r="V527">
        <v>0</v>
      </c>
      <c r="W527">
        <v>0.14285714285714279</v>
      </c>
      <c r="X527">
        <v>1</v>
      </c>
      <c r="Y527">
        <v>0.435</v>
      </c>
      <c r="Z527">
        <v>1</v>
      </c>
    </row>
    <row r="528" spans="1:26" x14ac:dyDescent="0.2">
      <c r="A528" t="s">
        <v>45</v>
      </c>
      <c r="B528">
        <v>2023</v>
      </c>
      <c r="C528" t="str">
        <f t="shared" si="8"/>
        <v>DNP2023</v>
      </c>
      <c r="D528">
        <v>96003748653.60614</v>
      </c>
      <c r="E528">
        <v>1.4732744734944439E-2</v>
      </c>
      <c r="F528">
        <v>0.62256881710799539</v>
      </c>
      <c r="G528">
        <v>30.408394933099199</v>
      </c>
      <c r="H528">
        <v>1.2308340834519911</v>
      </c>
      <c r="I528">
        <v>0.45986024221465788</v>
      </c>
      <c r="J528">
        <v>-2.7352662861872771E-2</v>
      </c>
      <c r="K528">
        <v>5.0910196449979829E-2</v>
      </c>
      <c r="L528">
        <v>0.29358955062313202</v>
      </c>
      <c r="M528">
        <v>30</v>
      </c>
      <c r="N528">
        <v>0</v>
      </c>
      <c r="O528">
        <v>0</v>
      </c>
      <c r="P528">
        <v>0.1603</v>
      </c>
      <c r="Q528">
        <v>0.1116</v>
      </c>
      <c r="R528">
        <v>0</v>
      </c>
      <c r="S528">
        <v>5.28E-2</v>
      </c>
      <c r="T528">
        <v>5.28E-2</v>
      </c>
      <c r="U528">
        <v>7</v>
      </c>
      <c r="V528">
        <v>0</v>
      </c>
      <c r="W528">
        <v>0.14285714285714279</v>
      </c>
      <c r="X528">
        <v>1</v>
      </c>
      <c r="Y528">
        <v>0.435</v>
      </c>
      <c r="Z528">
        <v>1</v>
      </c>
    </row>
    <row r="529" spans="1:26" x14ac:dyDescent="0.2">
      <c r="A529" t="s">
        <v>46</v>
      </c>
      <c r="B529">
        <v>2014</v>
      </c>
      <c r="C529" t="str">
        <f t="shared" si="8"/>
        <v>DP32014</v>
      </c>
      <c r="D529">
        <v>5.0705500227452677E-13</v>
      </c>
      <c r="E529">
        <v>0.1214159355509993</v>
      </c>
      <c r="F529">
        <v>2.6518701207275308</v>
      </c>
      <c r="G529">
        <v>25.746067622779069</v>
      </c>
      <c r="H529" t="e">
        <v>#N/A</v>
      </c>
      <c r="I529">
        <v>0.36590477872692762</v>
      </c>
      <c r="J529">
        <v>0</v>
      </c>
      <c r="K529">
        <v>-1.2562073381452181E-3</v>
      </c>
      <c r="L529">
        <v>0.58066906100631188</v>
      </c>
      <c r="M529">
        <v>11</v>
      </c>
      <c r="N529">
        <v>0</v>
      </c>
      <c r="O529">
        <v>0</v>
      </c>
      <c r="P529">
        <v>0.49969999999999998</v>
      </c>
      <c r="Q529">
        <v>0.21820000000000001</v>
      </c>
      <c r="R529">
        <v>0</v>
      </c>
      <c r="S529">
        <v>0.2571</v>
      </c>
      <c r="T529">
        <v>0.34279999999999999</v>
      </c>
      <c r="U529">
        <v>5</v>
      </c>
      <c r="V529">
        <v>1</v>
      </c>
      <c r="W529">
        <v>0.2</v>
      </c>
      <c r="X529">
        <v>1</v>
      </c>
      <c r="Y529">
        <v>0.50219999999999998</v>
      </c>
      <c r="Z529">
        <v>1</v>
      </c>
    </row>
    <row r="530" spans="1:26" x14ac:dyDescent="0.2">
      <c r="A530" t="s">
        <v>46</v>
      </c>
      <c r="B530">
        <v>2015</v>
      </c>
      <c r="C530" t="str">
        <f t="shared" si="8"/>
        <v>DP32015</v>
      </c>
      <c r="D530">
        <v>5.1423423760485034E-13</v>
      </c>
      <c r="E530">
        <v>0.1579304427040851</v>
      </c>
      <c r="F530">
        <v>0.97451920578990325</v>
      </c>
      <c r="G530">
        <v>25.902789107978009</v>
      </c>
      <c r="H530">
        <v>1.7667267367636681</v>
      </c>
      <c r="I530">
        <v>0.42172620642624958</v>
      </c>
      <c r="J530">
        <v>0.16966979817961761</v>
      </c>
      <c r="K530">
        <v>0.12715526514162359</v>
      </c>
      <c r="L530">
        <v>0.52630484046789539</v>
      </c>
      <c r="M530">
        <v>12</v>
      </c>
      <c r="N530">
        <v>0</v>
      </c>
      <c r="O530">
        <v>0</v>
      </c>
      <c r="P530">
        <v>0.49969999999999998</v>
      </c>
      <c r="Q530">
        <v>0.21820000000000001</v>
      </c>
      <c r="R530">
        <v>0</v>
      </c>
      <c r="S530">
        <v>0.2571</v>
      </c>
      <c r="T530">
        <v>0.34279999999999999</v>
      </c>
      <c r="U530">
        <v>5</v>
      </c>
      <c r="V530">
        <v>1</v>
      </c>
      <c r="W530">
        <v>0.2</v>
      </c>
      <c r="X530">
        <v>1</v>
      </c>
      <c r="Y530">
        <v>0.50219999999999998</v>
      </c>
      <c r="Z530">
        <v>1</v>
      </c>
    </row>
    <row r="531" spans="1:26" x14ac:dyDescent="0.2">
      <c r="A531" t="s">
        <v>46</v>
      </c>
      <c r="B531">
        <v>2016</v>
      </c>
      <c r="C531" t="str">
        <f t="shared" si="8"/>
        <v>DP32016</v>
      </c>
      <c r="D531">
        <v>5.9488422443006761E-13</v>
      </c>
      <c r="E531">
        <v>0.1726336342289839</v>
      </c>
      <c r="F531">
        <v>1.455031786589009</v>
      </c>
      <c r="G531">
        <v>25.99397210638805</v>
      </c>
      <c r="H531">
        <v>1.3595210354619289</v>
      </c>
      <c r="I531">
        <v>0.32958196709646292</v>
      </c>
      <c r="J531">
        <v>9.5469456085529814E-2</v>
      </c>
      <c r="K531">
        <v>8.0083185498951631E-2</v>
      </c>
      <c r="L531">
        <v>0.45219464084836769</v>
      </c>
      <c r="M531">
        <v>13</v>
      </c>
      <c r="N531">
        <v>0</v>
      </c>
      <c r="O531">
        <v>0</v>
      </c>
      <c r="P531">
        <v>0.40600000000000003</v>
      </c>
      <c r="Q531">
        <v>0.22600000000000001</v>
      </c>
      <c r="R531">
        <v>0</v>
      </c>
      <c r="S531">
        <v>0.2482</v>
      </c>
      <c r="T531">
        <v>0.2482</v>
      </c>
      <c r="U531">
        <v>5</v>
      </c>
      <c r="V531">
        <v>1</v>
      </c>
      <c r="W531">
        <v>0.2</v>
      </c>
      <c r="X531">
        <v>1</v>
      </c>
      <c r="Y531">
        <v>0.51219999999999999</v>
      </c>
      <c r="Z531">
        <v>1</v>
      </c>
    </row>
    <row r="532" spans="1:26" x14ac:dyDescent="0.2">
      <c r="A532" t="s">
        <v>46</v>
      </c>
      <c r="B532">
        <v>2017</v>
      </c>
      <c r="C532" t="str">
        <f t="shared" si="8"/>
        <v>DP32017</v>
      </c>
      <c r="D532">
        <v>8.3197314086980955E-13</v>
      </c>
      <c r="E532">
        <v>0.26282997461735857</v>
      </c>
      <c r="F532">
        <v>2.7914422323447701</v>
      </c>
      <c r="G532">
        <v>26.092304742251471</v>
      </c>
      <c r="H532">
        <v>1.857969598610075</v>
      </c>
      <c r="I532">
        <v>0.3205173333934116</v>
      </c>
      <c r="J532">
        <v>0.1033297311131653</v>
      </c>
      <c r="K532">
        <v>0.18211794446724541</v>
      </c>
      <c r="L532">
        <v>0.3786493864820924</v>
      </c>
      <c r="M532">
        <v>14</v>
      </c>
      <c r="N532">
        <v>0</v>
      </c>
      <c r="O532">
        <v>0</v>
      </c>
      <c r="P532">
        <v>0.46060000000000001</v>
      </c>
      <c r="Q532">
        <v>0.32129999999999997</v>
      </c>
      <c r="R532">
        <v>0</v>
      </c>
      <c r="S532">
        <v>0.24809999999999999</v>
      </c>
      <c r="T532">
        <v>0.24809999999999999</v>
      </c>
      <c r="U532">
        <v>5</v>
      </c>
      <c r="V532">
        <v>1</v>
      </c>
      <c r="W532">
        <v>0.2</v>
      </c>
      <c r="X532">
        <v>0</v>
      </c>
      <c r="Y532">
        <v>0.49780000000000002</v>
      </c>
      <c r="Z532">
        <v>1</v>
      </c>
    </row>
    <row r="533" spans="1:26" x14ac:dyDescent="0.2">
      <c r="A533" t="s">
        <v>46</v>
      </c>
      <c r="B533">
        <v>2018</v>
      </c>
      <c r="C533" t="str">
        <f t="shared" si="8"/>
        <v>DP32018</v>
      </c>
      <c r="D533">
        <v>1.3921842854670809E-12</v>
      </c>
      <c r="E533">
        <v>0.442676862409357</v>
      </c>
      <c r="F533">
        <v>2.656048826292646</v>
      </c>
      <c r="G533">
        <v>26.203115569100611</v>
      </c>
      <c r="H533">
        <v>2.0539455897628471</v>
      </c>
      <c r="I533">
        <v>0.2458141073356713</v>
      </c>
      <c r="J533">
        <v>0.117183545731729</v>
      </c>
      <c r="K533">
        <v>0.3440258670397533</v>
      </c>
      <c r="L533">
        <v>0.37140219109539602</v>
      </c>
      <c r="M533">
        <v>15</v>
      </c>
      <c r="N533">
        <v>0</v>
      </c>
      <c r="O533">
        <v>0</v>
      </c>
      <c r="P533">
        <v>0.37940000000000002</v>
      </c>
      <c r="Q533">
        <v>0.24</v>
      </c>
      <c r="R533">
        <v>0</v>
      </c>
      <c r="S533">
        <v>0.24809999999999999</v>
      </c>
      <c r="T533">
        <v>0.24809999999999999</v>
      </c>
      <c r="U533">
        <v>5</v>
      </c>
      <c r="V533">
        <v>1</v>
      </c>
      <c r="W533">
        <v>0.2</v>
      </c>
      <c r="X533">
        <v>0</v>
      </c>
      <c r="Y533">
        <v>0.51749999999999996</v>
      </c>
      <c r="Z533">
        <v>1</v>
      </c>
    </row>
    <row r="534" spans="1:26" x14ac:dyDescent="0.2">
      <c r="A534" t="s">
        <v>46</v>
      </c>
      <c r="B534">
        <v>2019</v>
      </c>
      <c r="C534" t="str">
        <f t="shared" si="8"/>
        <v>DP32019</v>
      </c>
      <c r="D534">
        <v>6.0693465893294596E-13</v>
      </c>
      <c r="E534">
        <v>0.27419742027111371</v>
      </c>
      <c r="F534">
        <v>1.9066375451823181</v>
      </c>
      <c r="G534">
        <v>26.634552006870461</v>
      </c>
      <c r="H534">
        <v>2.5817917836762452</v>
      </c>
      <c r="I534">
        <v>0.18282035827897611</v>
      </c>
      <c r="J534">
        <v>0.53946728502955632</v>
      </c>
      <c r="K534">
        <v>0.1905607504756717</v>
      </c>
      <c r="L534">
        <v>0.22072493041864619</v>
      </c>
      <c r="M534">
        <v>16</v>
      </c>
      <c r="N534">
        <v>0</v>
      </c>
      <c r="O534">
        <v>1</v>
      </c>
      <c r="P534">
        <v>0.57600000000000007</v>
      </c>
      <c r="Q534">
        <v>0.3553</v>
      </c>
      <c r="R534">
        <v>0</v>
      </c>
      <c r="S534">
        <v>0.22070000000000001</v>
      </c>
      <c r="T534">
        <v>0.22070000000000001</v>
      </c>
      <c r="U534">
        <v>5</v>
      </c>
      <c r="V534">
        <v>0</v>
      </c>
      <c r="W534">
        <v>0.2</v>
      </c>
      <c r="X534">
        <v>0</v>
      </c>
      <c r="Y534">
        <v>0.43109999999999998</v>
      </c>
      <c r="Z534">
        <v>1</v>
      </c>
    </row>
    <row r="535" spans="1:26" x14ac:dyDescent="0.2">
      <c r="A535" t="s">
        <v>46</v>
      </c>
      <c r="B535">
        <v>2020</v>
      </c>
      <c r="C535" t="str">
        <f t="shared" si="8"/>
        <v>DP32020</v>
      </c>
      <c r="D535">
        <v>5.8553280074181867E-13</v>
      </c>
      <c r="E535">
        <v>0.32922831942061093</v>
      </c>
      <c r="F535">
        <v>1.9063639920011271</v>
      </c>
      <c r="G535">
        <v>26.813124556950509</v>
      </c>
      <c r="H535">
        <v>3.5913328776081528</v>
      </c>
      <c r="I535">
        <v>0.2150426122715611</v>
      </c>
      <c r="J535">
        <v>0.1955096144454973</v>
      </c>
      <c r="K535">
        <v>0.30115214453273431</v>
      </c>
      <c r="L535">
        <v>0.32284920049357457</v>
      </c>
      <c r="M535">
        <v>17</v>
      </c>
      <c r="N535">
        <v>0</v>
      </c>
      <c r="O535">
        <v>1</v>
      </c>
      <c r="P535">
        <v>0.57600000000000007</v>
      </c>
      <c r="Q535">
        <v>0.3553</v>
      </c>
      <c r="R535">
        <v>0</v>
      </c>
      <c r="S535">
        <v>0.22070000000000001</v>
      </c>
      <c r="T535">
        <v>0.22070000000000001</v>
      </c>
      <c r="U535">
        <v>5</v>
      </c>
      <c r="V535">
        <v>0</v>
      </c>
      <c r="W535">
        <v>0.2</v>
      </c>
      <c r="X535">
        <v>0</v>
      </c>
      <c r="Y535">
        <v>0.44109999999999999</v>
      </c>
      <c r="Z535">
        <v>1</v>
      </c>
    </row>
    <row r="536" spans="1:26" x14ac:dyDescent="0.2">
      <c r="A536" t="s">
        <v>46</v>
      </c>
      <c r="B536">
        <v>2021</v>
      </c>
      <c r="C536" t="str">
        <f t="shared" si="8"/>
        <v>DP32021</v>
      </c>
      <c r="D536">
        <v>4.7182740712513148E-13</v>
      </c>
      <c r="E536">
        <v>0.25468390626664572</v>
      </c>
      <c r="F536">
        <v>2.3675954585122669</v>
      </c>
      <c r="G536">
        <v>26.818621838589639</v>
      </c>
      <c r="H536">
        <v>2.684734485269153</v>
      </c>
      <c r="I536">
        <v>0.1778309223177367</v>
      </c>
      <c r="J536">
        <v>5.5124194180065089E-3</v>
      </c>
      <c r="K536">
        <v>0.21781481380393899</v>
      </c>
      <c r="L536">
        <v>0.32928719637275689</v>
      </c>
      <c r="M536">
        <v>18</v>
      </c>
      <c r="N536">
        <v>0</v>
      </c>
      <c r="O536">
        <v>0</v>
      </c>
      <c r="P536">
        <v>0.57600000000000007</v>
      </c>
      <c r="Q536">
        <v>0.3553</v>
      </c>
      <c r="R536">
        <v>0</v>
      </c>
      <c r="S536">
        <v>0.22070000000000001</v>
      </c>
      <c r="T536">
        <v>0.22070000000000001</v>
      </c>
      <c r="U536">
        <v>5</v>
      </c>
      <c r="V536">
        <v>0</v>
      </c>
      <c r="W536">
        <v>0.2</v>
      </c>
      <c r="X536">
        <v>0</v>
      </c>
      <c r="Y536">
        <v>0.4511</v>
      </c>
      <c r="Z536">
        <v>1</v>
      </c>
    </row>
    <row r="537" spans="1:26" x14ac:dyDescent="0.2">
      <c r="A537" t="s">
        <v>46</v>
      </c>
      <c r="B537">
        <v>2022</v>
      </c>
      <c r="C537" t="str">
        <f t="shared" si="8"/>
        <v>DP32022</v>
      </c>
      <c r="D537">
        <v>4.219140211805825E-13</v>
      </c>
      <c r="E537">
        <v>0.26068805920219112</v>
      </c>
      <c r="F537">
        <v>1.769786903952147</v>
      </c>
      <c r="G537">
        <v>26.95348725632482</v>
      </c>
      <c r="H537">
        <v>3.2149625979247678</v>
      </c>
      <c r="I537">
        <v>0.17803447456404781</v>
      </c>
      <c r="J537">
        <v>0.14438276036338801</v>
      </c>
      <c r="K537">
        <v>0.22862404944794959</v>
      </c>
      <c r="L537">
        <v>0.27677679584096682</v>
      </c>
      <c r="M537">
        <v>19</v>
      </c>
      <c r="N537">
        <v>0</v>
      </c>
      <c r="O537">
        <v>0</v>
      </c>
      <c r="P537">
        <v>0.5837</v>
      </c>
      <c r="Q537">
        <v>0.36330000000000001</v>
      </c>
      <c r="R537">
        <v>0</v>
      </c>
      <c r="S537">
        <v>0.22070000000000001</v>
      </c>
      <c r="T537">
        <v>0.22070000000000001</v>
      </c>
      <c r="U537">
        <v>5</v>
      </c>
      <c r="V537">
        <v>0</v>
      </c>
      <c r="W537">
        <v>0.2</v>
      </c>
      <c r="X537">
        <v>1</v>
      </c>
      <c r="Y537">
        <v>0.45</v>
      </c>
      <c r="Z537">
        <v>1</v>
      </c>
    </row>
    <row r="538" spans="1:26" x14ac:dyDescent="0.2">
      <c r="A538" t="s">
        <v>46</v>
      </c>
      <c r="B538">
        <v>2023</v>
      </c>
      <c r="C538" t="str">
        <f t="shared" si="8"/>
        <v>DP32023</v>
      </c>
      <c r="D538">
        <v>1013682563682.076</v>
      </c>
      <c r="E538">
        <v>0.2225513778694824</v>
      </c>
      <c r="F538">
        <v>2.3794003270335962</v>
      </c>
      <c r="G538">
        <v>27.070000669577741</v>
      </c>
      <c r="H538">
        <v>3.4305758799479711</v>
      </c>
      <c r="I538">
        <v>1.362537556286101E-2</v>
      </c>
      <c r="J538">
        <v>0.1235725811293393</v>
      </c>
      <c r="K538">
        <v>0.29145283292305019</v>
      </c>
      <c r="L538">
        <v>0.23000555642363321</v>
      </c>
      <c r="M538">
        <v>20</v>
      </c>
      <c r="N538">
        <v>0</v>
      </c>
      <c r="O538">
        <v>0</v>
      </c>
      <c r="P538">
        <v>0.5837</v>
      </c>
      <c r="Q538">
        <v>0.36330000000000001</v>
      </c>
      <c r="R538">
        <v>0</v>
      </c>
      <c r="S538">
        <v>0.22070000000000001</v>
      </c>
      <c r="T538">
        <v>0.22070000000000001</v>
      </c>
      <c r="U538">
        <v>5</v>
      </c>
      <c r="V538">
        <v>0</v>
      </c>
      <c r="W538">
        <v>0.2</v>
      </c>
      <c r="X538">
        <v>1</v>
      </c>
      <c r="Y538">
        <v>0.45</v>
      </c>
      <c r="Z538">
        <v>1</v>
      </c>
    </row>
    <row r="539" spans="1:26" x14ac:dyDescent="0.2">
      <c r="A539" t="s">
        <v>47</v>
      </c>
      <c r="B539">
        <v>2012</v>
      </c>
      <c r="C539" t="str">
        <f t="shared" si="8"/>
        <v>DPM2012</v>
      </c>
      <c r="D539">
        <v>2.7402619647724369E-14</v>
      </c>
      <c r="E539">
        <v>0.34237405959203598</v>
      </c>
      <c r="F539">
        <v>1.411223392200107</v>
      </c>
      <c r="G539">
        <v>29.99003492630888</v>
      </c>
      <c r="H539">
        <v>6.9881236010976444</v>
      </c>
      <c r="I539">
        <v>0.13373844958801051</v>
      </c>
      <c r="J539">
        <v>0.13828152750297229</v>
      </c>
      <c r="K539">
        <v>0.36350531852935991</v>
      </c>
      <c r="L539">
        <v>0.1512681331183007</v>
      </c>
      <c r="M539">
        <v>5</v>
      </c>
      <c r="N539">
        <v>1</v>
      </c>
      <c r="O539">
        <v>0</v>
      </c>
      <c r="P539">
        <v>0.67019999999999991</v>
      </c>
      <c r="Q539">
        <v>1E-4</v>
      </c>
      <c r="R539">
        <v>5.6399999999999999E-2</v>
      </c>
      <c r="S539">
        <v>0.61380000000000001</v>
      </c>
      <c r="T539">
        <v>0.67019999999999991</v>
      </c>
      <c r="U539">
        <v>5</v>
      </c>
      <c r="V539">
        <v>0</v>
      </c>
      <c r="W539">
        <v>0.2</v>
      </c>
      <c r="X539">
        <v>1</v>
      </c>
      <c r="Y539">
        <v>0.46800000000000003</v>
      </c>
      <c r="Z539">
        <v>1</v>
      </c>
    </row>
    <row r="540" spans="1:26" x14ac:dyDescent="0.2">
      <c r="A540" t="s">
        <v>47</v>
      </c>
      <c r="B540">
        <v>2013</v>
      </c>
      <c r="C540" t="str">
        <f t="shared" si="8"/>
        <v>DPM2013</v>
      </c>
      <c r="D540">
        <v>1.8664685983330569E-14</v>
      </c>
      <c r="E540">
        <v>0.23316788532656099</v>
      </c>
      <c r="F540">
        <v>1.5748222520851609</v>
      </c>
      <c r="G540">
        <v>30.011058909719111</v>
      </c>
      <c r="H540">
        <v>5.1605012011863129</v>
      </c>
      <c r="I540">
        <v>0.1156072924648567</v>
      </c>
      <c r="J540">
        <v>2.1246544318643808E-2</v>
      </c>
      <c r="K540">
        <v>0.1795957162149075</v>
      </c>
      <c r="L540">
        <v>0.13336914091446031</v>
      </c>
      <c r="M540">
        <v>6</v>
      </c>
      <c r="N540">
        <v>1</v>
      </c>
      <c r="O540">
        <v>0</v>
      </c>
      <c r="P540">
        <v>0.61380000000000001</v>
      </c>
      <c r="Q540">
        <v>2.0000000000000001E-4</v>
      </c>
      <c r="R540">
        <v>0</v>
      </c>
      <c r="S540">
        <v>0.61380000000000001</v>
      </c>
      <c r="T540">
        <v>0.61380000000000001</v>
      </c>
      <c r="U540">
        <v>5</v>
      </c>
      <c r="V540">
        <v>0</v>
      </c>
      <c r="W540">
        <v>0.2</v>
      </c>
      <c r="X540">
        <v>1</v>
      </c>
      <c r="Y540">
        <v>0.44290000000000002</v>
      </c>
      <c r="Z540">
        <v>1</v>
      </c>
    </row>
    <row r="541" spans="1:26" x14ac:dyDescent="0.2">
      <c r="A541" t="s">
        <v>47</v>
      </c>
      <c r="B541">
        <v>2014</v>
      </c>
      <c r="C541" t="str">
        <f t="shared" si="8"/>
        <v>DPM2014</v>
      </c>
      <c r="D541">
        <v>1.109684323135635E-14</v>
      </c>
      <c r="E541">
        <v>0.12908972646182851</v>
      </c>
      <c r="F541">
        <v>1.266742416200815</v>
      </c>
      <c r="G541">
        <v>29.944646094678259</v>
      </c>
      <c r="H541">
        <v>6.144288787181206</v>
      </c>
      <c r="I541">
        <v>0.1093926927450171</v>
      </c>
      <c r="J541">
        <v>-6.4255504854389467E-2</v>
      </c>
      <c r="K541">
        <v>9.6445539386606216E-2</v>
      </c>
      <c r="L541">
        <v>0.13646967057487849</v>
      </c>
      <c r="M541">
        <v>7</v>
      </c>
      <c r="N541">
        <v>1</v>
      </c>
      <c r="O541">
        <v>0</v>
      </c>
      <c r="P541">
        <v>0.61380000000000001</v>
      </c>
      <c r="Q541">
        <v>2.0000000000000001E-4</v>
      </c>
      <c r="R541">
        <v>0</v>
      </c>
      <c r="S541">
        <v>0.61380000000000001</v>
      </c>
      <c r="T541">
        <v>0.61380000000000001</v>
      </c>
      <c r="U541">
        <v>5</v>
      </c>
      <c r="V541">
        <v>0</v>
      </c>
      <c r="W541">
        <v>0.2</v>
      </c>
      <c r="X541">
        <v>1</v>
      </c>
      <c r="Y541">
        <v>0.45290000000000002</v>
      </c>
      <c r="Z541">
        <v>1</v>
      </c>
    </row>
    <row r="542" spans="1:26" x14ac:dyDescent="0.2">
      <c r="A542" t="s">
        <v>47</v>
      </c>
      <c r="B542">
        <v>2015</v>
      </c>
      <c r="C542" t="str">
        <f t="shared" si="8"/>
        <v>DPM2015</v>
      </c>
      <c r="D542">
        <v>1.276927521536302E-14</v>
      </c>
      <c r="E542">
        <v>0.1781176262451816</v>
      </c>
      <c r="F542">
        <v>1.2297408559366609</v>
      </c>
      <c r="G542">
        <v>30.021541966505119</v>
      </c>
      <c r="H542">
        <v>6.8977173623064019</v>
      </c>
      <c r="I542">
        <v>0.21720262081067229</v>
      </c>
      <c r="J542">
        <v>7.9929619439342847E-2</v>
      </c>
      <c r="K542">
        <v>0.1729594595444941</v>
      </c>
      <c r="L542">
        <v>0.14316319266637631</v>
      </c>
      <c r="M542">
        <v>8</v>
      </c>
      <c r="N542">
        <v>1</v>
      </c>
      <c r="O542">
        <v>0</v>
      </c>
      <c r="P542">
        <v>0.66379999999999995</v>
      </c>
      <c r="Q542">
        <v>2.0000000000000001E-4</v>
      </c>
      <c r="R542">
        <v>0.05</v>
      </c>
      <c r="S542">
        <v>0.61380000000000001</v>
      </c>
      <c r="T542">
        <v>0.66379999999999995</v>
      </c>
      <c r="U542">
        <v>4</v>
      </c>
      <c r="V542">
        <v>0</v>
      </c>
      <c r="W542">
        <v>0.25</v>
      </c>
      <c r="X542">
        <v>1</v>
      </c>
      <c r="Y542">
        <v>0.46289999999999998</v>
      </c>
      <c r="Z542">
        <v>1</v>
      </c>
    </row>
    <row r="543" spans="1:26" x14ac:dyDescent="0.2">
      <c r="A543" t="s">
        <v>47</v>
      </c>
      <c r="B543">
        <v>2016</v>
      </c>
      <c r="C543" t="str">
        <f t="shared" si="8"/>
        <v>DPM2016</v>
      </c>
      <c r="D543">
        <v>1.272162137534067E-14</v>
      </c>
      <c r="E543">
        <v>0.14154538820395501</v>
      </c>
      <c r="F543">
        <v>1.05406590767366</v>
      </c>
      <c r="G543">
        <v>29.88951110533754</v>
      </c>
      <c r="H543">
        <v>4.4033585561192901</v>
      </c>
      <c r="I543">
        <v>0.14000389991430021</v>
      </c>
      <c r="J543">
        <v>-0.1236860494096155</v>
      </c>
      <c r="K543">
        <v>0.21598246023964029</v>
      </c>
      <c r="L543">
        <v>0.25242614120800172</v>
      </c>
      <c r="M543">
        <v>9</v>
      </c>
      <c r="N543">
        <v>1</v>
      </c>
      <c r="O543">
        <v>0</v>
      </c>
      <c r="P543">
        <v>0.5958</v>
      </c>
      <c r="Q543">
        <v>2.2000000000000001E-3</v>
      </c>
      <c r="R543">
        <v>0</v>
      </c>
      <c r="S543">
        <v>0.5958</v>
      </c>
      <c r="T543">
        <v>0.5958</v>
      </c>
      <c r="U543">
        <v>5</v>
      </c>
      <c r="V543">
        <v>0</v>
      </c>
      <c r="W543">
        <v>0.2</v>
      </c>
      <c r="X543">
        <v>1</v>
      </c>
      <c r="Y543">
        <v>0.4763</v>
      </c>
      <c r="Z543">
        <v>1</v>
      </c>
    </row>
    <row r="544" spans="1:26" x14ac:dyDescent="0.2">
      <c r="A544" t="s">
        <v>47</v>
      </c>
      <c r="B544">
        <v>2017</v>
      </c>
      <c r="C544" t="str">
        <f t="shared" si="8"/>
        <v>DPM2017</v>
      </c>
      <c r="D544">
        <v>6.7188187547502001E-15</v>
      </c>
      <c r="E544">
        <v>8.8004494498356109E-2</v>
      </c>
      <c r="F544">
        <v>1.0360929434372581</v>
      </c>
      <c r="G544">
        <v>29.959673931565661</v>
      </c>
      <c r="H544">
        <v>5.0167999671262624</v>
      </c>
      <c r="I544">
        <v>0.21637345112690029</v>
      </c>
      <c r="J544">
        <v>7.2682827934145822E-2</v>
      </c>
      <c r="K544">
        <v>2.3444643389113978E-2</v>
      </c>
      <c r="L544">
        <v>0.37026940489076682</v>
      </c>
      <c r="M544">
        <v>10</v>
      </c>
      <c r="N544">
        <v>1</v>
      </c>
      <c r="O544">
        <v>0</v>
      </c>
      <c r="P544">
        <v>0.5958</v>
      </c>
      <c r="Q544">
        <v>2.3E-3</v>
      </c>
      <c r="R544">
        <v>0</v>
      </c>
      <c r="S544">
        <v>0.5958</v>
      </c>
      <c r="T544">
        <v>0.5958</v>
      </c>
      <c r="U544">
        <v>5</v>
      </c>
      <c r="V544">
        <v>0</v>
      </c>
      <c r="W544">
        <v>0.2</v>
      </c>
      <c r="X544">
        <v>1</v>
      </c>
      <c r="Y544">
        <v>0.48630000000000001</v>
      </c>
      <c r="Z544">
        <v>1</v>
      </c>
    </row>
    <row r="545" spans="1:26" x14ac:dyDescent="0.2">
      <c r="A545" t="s">
        <v>47</v>
      </c>
      <c r="B545">
        <v>2018</v>
      </c>
      <c r="C545" t="str">
        <f t="shared" si="8"/>
        <v>DPM2018</v>
      </c>
      <c r="D545">
        <v>5.7470724874292459E-15</v>
      </c>
      <c r="E545">
        <v>8.6308098105770489E-2</v>
      </c>
      <c r="F545">
        <v>1.042368713766167</v>
      </c>
      <c r="G545">
        <v>30.041047670641941</v>
      </c>
      <c r="H545">
        <v>3.5392098719728091</v>
      </c>
      <c r="I545">
        <v>0.25859354597754253</v>
      </c>
      <c r="J545">
        <v>8.4776244086365526E-2</v>
      </c>
      <c r="K545">
        <v>4.5320514305380637E-2</v>
      </c>
      <c r="L545">
        <v>0.4122312483391134</v>
      </c>
      <c r="M545">
        <v>11</v>
      </c>
      <c r="N545">
        <v>1</v>
      </c>
      <c r="O545">
        <v>0</v>
      </c>
      <c r="P545">
        <v>0.59589999999999999</v>
      </c>
      <c r="Q545">
        <v>1.6999999999999999E-3</v>
      </c>
      <c r="R545">
        <v>0</v>
      </c>
      <c r="S545">
        <v>0.59589999999999999</v>
      </c>
      <c r="T545">
        <v>0.59589999999999999</v>
      </c>
      <c r="U545">
        <v>5</v>
      </c>
      <c r="V545">
        <v>0</v>
      </c>
      <c r="W545">
        <v>0.2</v>
      </c>
      <c r="X545">
        <v>1</v>
      </c>
      <c r="Y545">
        <v>0.48670000000000002</v>
      </c>
      <c r="Z545">
        <v>1</v>
      </c>
    </row>
    <row r="546" spans="1:26" x14ac:dyDescent="0.2">
      <c r="A546" t="s">
        <v>47</v>
      </c>
      <c r="B546">
        <v>2019</v>
      </c>
      <c r="C546" t="str">
        <f t="shared" si="8"/>
        <v>DPM2019</v>
      </c>
      <c r="D546">
        <v>2.9711027738043689E-15</v>
      </c>
      <c r="E546">
        <v>4.7646014515387553E-2</v>
      </c>
      <c r="F546">
        <v>0.72958274320038996</v>
      </c>
      <c r="G546">
        <v>30.06816404763552</v>
      </c>
      <c r="H546">
        <v>3.4164853198336171</v>
      </c>
      <c r="I546">
        <v>0.28660703395949699</v>
      </c>
      <c r="J546">
        <v>2.748737169707716E-2</v>
      </c>
      <c r="K546">
        <v>0.16605060557793169</v>
      </c>
      <c r="L546">
        <v>0.35647287050959559</v>
      </c>
      <c r="M546">
        <v>12</v>
      </c>
      <c r="N546">
        <v>1</v>
      </c>
      <c r="O546">
        <v>1</v>
      </c>
      <c r="P546">
        <v>0.5958</v>
      </c>
      <c r="Q546">
        <v>8.0000000000000004E-4</v>
      </c>
      <c r="R546">
        <v>0</v>
      </c>
      <c r="S546">
        <v>0.5958</v>
      </c>
      <c r="T546">
        <v>0.5958</v>
      </c>
      <c r="U546">
        <v>6</v>
      </c>
      <c r="V546">
        <v>0</v>
      </c>
      <c r="W546">
        <v>0</v>
      </c>
      <c r="X546">
        <v>1</v>
      </c>
      <c r="Y546">
        <v>0.49249999999999999</v>
      </c>
      <c r="Z546">
        <v>1</v>
      </c>
    </row>
    <row r="547" spans="1:26" x14ac:dyDescent="0.2">
      <c r="A547" t="s">
        <v>47</v>
      </c>
      <c r="B547">
        <v>2020</v>
      </c>
      <c r="C547" t="str">
        <f t="shared" si="8"/>
        <v>DPM2020</v>
      </c>
      <c r="D547">
        <v>5.4947683262797922E-15</v>
      </c>
      <c r="E547">
        <v>8.5070595316526249E-2</v>
      </c>
      <c r="F547">
        <v>0.92120178071518977</v>
      </c>
      <c r="G547">
        <v>30.055818647420519</v>
      </c>
      <c r="H547">
        <v>2.8843673354653641</v>
      </c>
      <c r="I547">
        <v>0.27012901058606859</v>
      </c>
      <c r="J547">
        <v>-1.226950838778385E-2</v>
      </c>
      <c r="K547">
        <v>8.4338103840946144E-2</v>
      </c>
      <c r="L547">
        <v>0.31790537798164498</v>
      </c>
      <c r="M547">
        <v>13</v>
      </c>
      <c r="N547">
        <v>1</v>
      </c>
      <c r="O547">
        <v>1</v>
      </c>
      <c r="P547">
        <v>0.59589999999999999</v>
      </c>
      <c r="Q547">
        <v>8.0000000000000004E-4</v>
      </c>
      <c r="R547">
        <v>0</v>
      </c>
      <c r="S547">
        <v>0.59589999999999999</v>
      </c>
      <c r="T547">
        <v>0.59589999999999999</v>
      </c>
      <c r="U547">
        <v>6</v>
      </c>
      <c r="V547">
        <v>0</v>
      </c>
      <c r="W547">
        <v>0</v>
      </c>
      <c r="X547">
        <v>1</v>
      </c>
      <c r="Y547">
        <v>0.48199999999999998</v>
      </c>
      <c r="Z547">
        <v>1</v>
      </c>
    </row>
    <row r="548" spans="1:26" x14ac:dyDescent="0.2">
      <c r="A548" t="s">
        <v>47</v>
      </c>
      <c r="B548">
        <v>2021</v>
      </c>
      <c r="C548" t="str">
        <f t="shared" si="8"/>
        <v>DPM2021</v>
      </c>
      <c r="D548">
        <v>1.637259944075996E-14</v>
      </c>
      <c r="E548">
        <v>0.29603929963331549</v>
      </c>
      <c r="F548">
        <v>1.636125711502159</v>
      </c>
      <c r="G548">
        <v>30.264199070440458</v>
      </c>
      <c r="H548">
        <v>3.116513697702648</v>
      </c>
      <c r="I548">
        <v>0.23026200501667529</v>
      </c>
      <c r="J548">
        <v>0.23168164048392681</v>
      </c>
      <c r="K548">
        <v>0.19318886074060221</v>
      </c>
      <c r="L548">
        <v>0.2196858249116474</v>
      </c>
      <c r="M548">
        <v>14</v>
      </c>
      <c r="N548">
        <v>1</v>
      </c>
      <c r="O548">
        <v>0</v>
      </c>
      <c r="P548">
        <v>0.5958</v>
      </c>
      <c r="Q548">
        <v>8.0000000000000004E-4</v>
      </c>
      <c r="R548">
        <v>0</v>
      </c>
      <c r="S548">
        <v>0.5958</v>
      </c>
      <c r="T548">
        <v>0.5958</v>
      </c>
      <c r="U548">
        <v>5</v>
      </c>
      <c r="V548">
        <v>0</v>
      </c>
      <c r="W548">
        <v>0</v>
      </c>
      <c r="X548">
        <v>1</v>
      </c>
      <c r="Y548">
        <v>0.48470000000000002</v>
      </c>
      <c r="Z548">
        <v>1</v>
      </c>
    </row>
    <row r="549" spans="1:26" x14ac:dyDescent="0.2">
      <c r="A549" t="s">
        <v>47</v>
      </c>
      <c r="B549">
        <v>2022</v>
      </c>
      <c r="C549" t="str">
        <f t="shared" si="8"/>
        <v>DPM2022</v>
      </c>
      <c r="D549">
        <v>1.7829012506591589E-14</v>
      </c>
      <c r="E549">
        <v>0.39842451820513591</v>
      </c>
      <c r="F549">
        <v>1.157658619495314</v>
      </c>
      <c r="G549">
        <v>30.504517715666889</v>
      </c>
      <c r="H549">
        <v>4.4243123485047144</v>
      </c>
      <c r="I549">
        <v>0.20800042139401481</v>
      </c>
      <c r="J549">
        <v>0.27165429233962368</v>
      </c>
      <c r="K549">
        <v>0.29576584156094199</v>
      </c>
      <c r="L549">
        <v>0.14991109604145439</v>
      </c>
      <c r="M549">
        <v>15</v>
      </c>
      <c r="N549">
        <v>1</v>
      </c>
      <c r="O549">
        <v>0</v>
      </c>
      <c r="P549">
        <v>0.59589999999999999</v>
      </c>
      <c r="Q549">
        <v>5.0000000000000001E-4</v>
      </c>
      <c r="R549">
        <v>0</v>
      </c>
      <c r="S549">
        <v>0.59589999999999999</v>
      </c>
      <c r="T549">
        <v>0.59589999999999999</v>
      </c>
      <c r="U549">
        <v>5</v>
      </c>
      <c r="V549">
        <v>0</v>
      </c>
      <c r="W549">
        <v>0</v>
      </c>
      <c r="X549">
        <v>1</v>
      </c>
      <c r="Y549">
        <v>0.49469999999999997</v>
      </c>
      <c r="Z549">
        <v>1</v>
      </c>
    </row>
    <row r="550" spans="1:26" x14ac:dyDescent="0.2">
      <c r="A550" t="s">
        <v>47</v>
      </c>
      <c r="B550">
        <v>2023</v>
      </c>
      <c r="C550" t="str">
        <f t="shared" si="8"/>
        <v>DPM2023</v>
      </c>
      <c r="D550">
        <v>-57184009059447.602</v>
      </c>
      <c r="E550">
        <v>3.9808142552204683E-2</v>
      </c>
      <c r="F550">
        <v>0.92786204766828939</v>
      </c>
      <c r="G550">
        <v>30.219481151717449</v>
      </c>
      <c r="H550">
        <v>4.5330809267500181</v>
      </c>
      <c r="I550">
        <v>0</v>
      </c>
      <c r="J550">
        <v>-0.2480132417891053</v>
      </c>
      <c r="K550">
        <v>0.1026185234364823</v>
      </c>
      <c r="L550">
        <v>0.18149205231499879</v>
      </c>
      <c r="M550">
        <v>16</v>
      </c>
      <c r="N550">
        <v>0</v>
      </c>
      <c r="O550">
        <v>0</v>
      </c>
      <c r="P550">
        <v>0.59589999999999999</v>
      </c>
      <c r="Q550">
        <v>5.0000000000000001E-4</v>
      </c>
      <c r="R550">
        <v>0</v>
      </c>
      <c r="S550">
        <v>0.59589999999999999</v>
      </c>
      <c r="T550">
        <v>0.59589999999999999</v>
      </c>
      <c r="U550">
        <v>5</v>
      </c>
      <c r="V550">
        <v>0</v>
      </c>
      <c r="W550">
        <v>0</v>
      </c>
      <c r="X550">
        <v>1</v>
      </c>
      <c r="Y550">
        <v>0.49469999999999997</v>
      </c>
      <c r="Z550">
        <v>1</v>
      </c>
    </row>
    <row r="551" spans="1:26" x14ac:dyDescent="0.2">
      <c r="A551" t="s">
        <v>48</v>
      </c>
      <c r="B551">
        <v>2012</v>
      </c>
      <c r="C551" t="str">
        <f t="shared" si="8"/>
        <v>DPR2012</v>
      </c>
      <c r="D551">
        <v>6.9198767609040692E-14</v>
      </c>
      <c r="E551">
        <v>0.25264053170674172</v>
      </c>
      <c r="F551">
        <v>1.020483655415221</v>
      </c>
      <c r="G551">
        <v>28.668173657335359</v>
      </c>
      <c r="H551">
        <v>4.0342960521599549</v>
      </c>
      <c r="I551">
        <v>0.1974215822712983</v>
      </c>
      <c r="J551">
        <v>0.16038327420156251</v>
      </c>
      <c r="K551">
        <v>0.17011870488659431</v>
      </c>
      <c r="L551">
        <v>0.28459678833307511</v>
      </c>
      <c r="M551">
        <v>31</v>
      </c>
      <c r="N551">
        <v>0</v>
      </c>
      <c r="O551">
        <v>0</v>
      </c>
      <c r="P551">
        <v>0.62490000000000001</v>
      </c>
      <c r="Q551">
        <v>8.9999999999999998E-4</v>
      </c>
      <c r="R551">
        <v>6.6799999999999998E-2</v>
      </c>
      <c r="S551">
        <v>0.55810000000000004</v>
      </c>
      <c r="T551">
        <v>0.62490000000000001</v>
      </c>
      <c r="U551">
        <v>5</v>
      </c>
      <c r="V551">
        <v>0</v>
      </c>
      <c r="W551">
        <v>0</v>
      </c>
      <c r="X551">
        <v>0</v>
      </c>
      <c r="Y551">
        <v>0.499</v>
      </c>
      <c r="Z551">
        <v>1</v>
      </c>
    </row>
    <row r="552" spans="1:26" x14ac:dyDescent="0.2">
      <c r="A552" t="s">
        <v>48</v>
      </c>
      <c r="B552">
        <v>2013</v>
      </c>
      <c r="C552" t="str">
        <f t="shared" si="8"/>
        <v>DPR2013</v>
      </c>
      <c r="D552">
        <v>3.320838938174404E-14</v>
      </c>
      <c r="E552">
        <v>0.16003581076963799</v>
      </c>
      <c r="F552">
        <v>0.77585838606871338</v>
      </c>
      <c r="G552">
        <v>28.833468479704131</v>
      </c>
      <c r="H552">
        <v>4.1764919292994209</v>
      </c>
      <c r="I552">
        <v>0.18225777862542791</v>
      </c>
      <c r="J552">
        <v>0.1754004880090809</v>
      </c>
      <c r="K552">
        <v>0.20127296152905599</v>
      </c>
      <c r="L552">
        <v>0.48330759950047952</v>
      </c>
      <c r="M552">
        <v>32</v>
      </c>
      <c r="N552">
        <v>0</v>
      </c>
      <c r="O552">
        <v>0</v>
      </c>
      <c r="P552">
        <v>0.752</v>
      </c>
      <c r="Q552">
        <v>2.5999999999999999E-3</v>
      </c>
      <c r="R552">
        <v>0.18229999999999999</v>
      </c>
      <c r="S552">
        <v>0.56969999999999998</v>
      </c>
      <c r="T552">
        <v>0.752</v>
      </c>
      <c r="U552">
        <v>5</v>
      </c>
      <c r="V552">
        <v>0</v>
      </c>
      <c r="W552">
        <v>0.2</v>
      </c>
      <c r="X552">
        <v>0</v>
      </c>
      <c r="Y552">
        <v>0.50600000000000001</v>
      </c>
      <c r="Z552">
        <v>1</v>
      </c>
    </row>
    <row r="553" spans="1:26" x14ac:dyDescent="0.2">
      <c r="A553" t="s">
        <v>48</v>
      </c>
      <c r="B553">
        <v>2014</v>
      </c>
      <c r="C553" t="str">
        <f t="shared" si="8"/>
        <v>DPR2014</v>
      </c>
      <c r="D553">
        <v>1.950323934643612E-14</v>
      </c>
      <c r="E553">
        <v>9.7448667383351367E-2</v>
      </c>
      <c r="F553">
        <v>0.65903976534713016</v>
      </c>
      <c r="G553">
        <v>28.828592053628139</v>
      </c>
      <c r="H553">
        <v>3.7665226433034431</v>
      </c>
      <c r="I553">
        <v>0.19867940731667469</v>
      </c>
      <c r="J553">
        <v>-7.1142521183331642E-4</v>
      </c>
      <c r="K553">
        <v>7.2370665867844436E-2</v>
      </c>
      <c r="L553">
        <v>0.57122810043584527</v>
      </c>
      <c r="M553">
        <v>33</v>
      </c>
      <c r="N553">
        <v>0</v>
      </c>
      <c r="O553">
        <v>0</v>
      </c>
      <c r="P553">
        <v>0.69400000000000006</v>
      </c>
      <c r="Q553">
        <v>3.2000000000000002E-3</v>
      </c>
      <c r="R553">
        <v>0.13589999999999999</v>
      </c>
      <c r="S553">
        <v>0.55810000000000004</v>
      </c>
      <c r="T553">
        <v>0.69400000000000006</v>
      </c>
      <c r="U553">
        <v>5</v>
      </c>
      <c r="V553">
        <v>0</v>
      </c>
      <c r="W553">
        <v>0.2</v>
      </c>
      <c r="X553">
        <v>0</v>
      </c>
      <c r="Y553">
        <v>0.50819999999999999</v>
      </c>
      <c r="Z553">
        <v>1</v>
      </c>
    </row>
    <row r="554" spans="1:26" x14ac:dyDescent="0.2">
      <c r="A554" t="s">
        <v>48</v>
      </c>
      <c r="B554">
        <v>2015</v>
      </c>
      <c r="C554" t="str">
        <f t="shared" si="8"/>
        <v>DPR2015</v>
      </c>
      <c r="D554">
        <v>1.399816107299143E-14</v>
      </c>
      <c r="E554">
        <v>6.0335940018719128E-2</v>
      </c>
      <c r="F554">
        <v>0.63721280709822636</v>
      </c>
      <c r="G554">
        <v>28.852853853692331</v>
      </c>
      <c r="H554">
        <v>4.4250064419172803</v>
      </c>
      <c r="I554">
        <v>0.21271836810915029</v>
      </c>
      <c r="J554">
        <v>2.6037600993134239E-2</v>
      </c>
      <c r="K554">
        <v>8.3933427499312069E-2</v>
      </c>
      <c r="L554">
        <v>0.56798945834748782</v>
      </c>
      <c r="M554">
        <v>34</v>
      </c>
      <c r="N554">
        <v>0</v>
      </c>
      <c r="O554">
        <v>0</v>
      </c>
      <c r="P554">
        <v>0.69400000000000006</v>
      </c>
      <c r="Q554">
        <v>3.3E-3</v>
      </c>
      <c r="R554">
        <v>0.13589999999999999</v>
      </c>
      <c r="S554">
        <v>0.55810000000000004</v>
      </c>
      <c r="T554">
        <v>0.69400000000000006</v>
      </c>
      <c r="U554">
        <v>5</v>
      </c>
      <c r="V554">
        <v>0</v>
      </c>
      <c r="W554">
        <v>0.2</v>
      </c>
      <c r="X554">
        <v>0</v>
      </c>
      <c r="Y554">
        <v>0.51</v>
      </c>
      <c r="Z554">
        <v>1</v>
      </c>
    </row>
    <row r="555" spans="1:26" x14ac:dyDescent="0.2">
      <c r="A555" t="s">
        <v>48</v>
      </c>
      <c r="B555">
        <v>2016</v>
      </c>
      <c r="C555" t="str">
        <f t="shared" si="8"/>
        <v>DPR2016</v>
      </c>
      <c r="D555">
        <v>1.354940774009716E-14</v>
      </c>
      <c r="E555">
        <v>6.0688827550087462E-2</v>
      </c>
      <c r="F555">
        <v>0.66086691393806574</v>
      </c>
      <c r="G555">
        <v>28.868736248100241</v>
      </c>
      <c r="H555">
        <v>4.1468575259944043</v>
      </c>
      <c r="I555">
        <v>0.23025935971222961</v>
      </c>
      <c r="J555">
        <v>1.454455778790598E-2</v>
      </c>
      <c r="K555">
        <v>9.4774984682287094E-2</v>
      </c>
      <c r="L555">
        <v>0.57396633717191381</v>
      </c>
      <c r="M555">
        <v>35</v>
      </c>
      <c r="N555">
        <v>0</v>
      </c>
      <c r="O555">
        <v>0</v>
      </c>
      <c r="P555">
        <v>0.68240000000000012</v>
      </c>
      <c r="Q555">
        <v>3.3E-3</v>
      </c>
      <c r="R555">
        <v>0.12429999999999999</v>
      </c>
      <c r="S555">
        <v>0.55810000000000004</v>
      </c>
      <c r="T555">
        <v>0.68240000000000012</v>
      </c>
      <c r="U555">
        <v>5</v>
      </c>
      <c r="V555">
        <v>0</v>
      </c>
      <c r="W555">
        <v>0.2</v>
      </c>
      <c r="X555">
        <v>0</v>
      </c>
      <c r="Y555">
        <v>0.52</v>
      </c>
      <c r="Z555">
        <v>1</v>
      </c>
    </row>
    <row r="556" spans="1:26" x14ac:dyDescent="0.2">
      <c r="A556" t="s">
        <v>48</v>
      </c>
      <c r="B556">
        <v>2017</v>
      </c>
      <c r="C556" t="str">
        <f t="shared" si="8"/>
        <v>DPR2017</v>
      </c>
      <c r="D556">
        <v>1.8538122945878099E-14</v>
      </c>
      <c r="E556">
        <v>8.5695694457689708E-2</v>
      </c>
      <c r="F556">
        <v>0.69592561439274903</v>
      </c>
      <c r="G556">
        <v>28.878833119145561</v>
      </c>
      <c r="H556">
        <v>4.4138049780803881</v>
      </c>
      <c r="I556">
        <v>0.24660172239710509</v>
      </c>
      <c r="J556">
        <v>1.0148016438982889E-2</v>
      </c>
      <c r="K556">
        <v>0.10512327875277699</v>
      </c>
      <c r="L556">
        <v>0.55590721128763176</v>
      </c>
      <c r="M556">
        <v>36</v>
      </c>
      <c r="N556">
        <v>0</v>
      </c>
      <c r="O556">
        <v>0</v>
      </c>
      <c r="P556">
        <v>0.62660000000000005</v>
      </c>
      <c r="Q556">
        <v>1.5E-3</v>
      </c>
      <c r="R556">
        <v>6.8499999999999991E-2</v>
      </c>
      <c r="S556">
        <v>0.55810000000000004</v>
      </c>
      <c r="T556">
        <v>0.62660000000000005</v>
      </c>
      <c r="U556">
        <v>6</v>
      </c>
      <c r="V556">
        <v>0</v>
      </c>
      <c r="W556">
        <v>0.1666666666666666</v>
      </c>
      <c r="X556">
        <v>0</v>
      </c>
      <c r="Y556">
        <v>0.52079999999999993</v>
      </c>
      <c r="Z556">
        <v>1</v>
      </c>
    </row>
    <row r="557" spans="1:26" x14ac:dyDescent="0.2">
      <c r="A557" t="s">
        <v>48</v>
      </c>
      <c r="B557">
        <v>2018</v>
      </c>
      <c r="C557" t="str">
        <f t="shared" si="8"/>
        <v>DPR2018</v>
      </c>
      <c r="D557">
        <v>1.754991212982836E-14</v>
      </c>
      <c r="E557">
        <v>9.6111962746941768E-2</v>
      </c>
      <c r="F557">
        <v>0.6804293055501085</v>
      </c>
      <c r="G557">
        <v>28.928371133164429</v>
      </c>
      <c r="H557">
        <v>4.6260039048354873</v>
      </c>
      <c r="I557">
        <v>0.3317646386954301</v>
      </c>
      <c r="J557">
        <v>5.0785536036802803E-2</v>
      </c>
      <c r="K557">
        <v>0.1135066556640591</v>
      </c>
      <c r="L557">
        <v>0.53810971383244599</v>
      </c>
      <c r="M557">
        <v>37</v>
      </c>
      <c r="N557">
        <v>0</v>
      </c>
      <c r="O557">
        <v>0</v>
      </c>
      <c r="P557">
        <v>0.6715000000000001</v>
      </c>
      <c r="Q557">
        <v>8.0000000000000004E-4</v>
      </c>
      <c r="R557">
        <v>7.3399999999999993E-2</v>
      </c>
      <c r="S557">
        <v>0.55810000000000004</v>
      </c>
      <c r="T557">
        <v>0.6715000000000001</v>
      </c>
      <c r="U557">
        <v>5</v>
      </c>
      <c r="V557">
        <v>0</v>
      </c>
      <c r="W557">
        <v>0.2</v>
      </c>
      <c r="X557">
        <v>0</v>
      </c>
      <c r="Y557">
        <v>0.50800000000000001</v>
      </c>
      <c r="Z557">
        <v>1</v>
      </c>
    </row>
    <row r="558" spans="1:26" x14ac:dyDescent="0.2">
      <c r="A558" t="s">
        <v>48</v>
      </c>
      <c r="B558">
        <v>2019</v>
      </c>
      <c r="C558" t="str">
        <f t="shared" si="8"/>
        <v>DPR2019</v>
      </c>
      <c r="D558">
        <v>1.368677735182941E-14</v>
      </c>
      <c r="E558">
        <v>8.3922865152604026E-2</v>
      </c>
      <c r="F558">
        <v>0.8119046957029058</v>
      </c>
      <c r="G558">
        <v>28.94937291905384</v>
      </c>
      <c r="H558">
        <v>2.1687949827025088</v>
      </c>
      <c r="I558">
        <v>0.39049985483220961</v>
      </c>
      <c r="J558">
        <v>2.122387542880633E-2</v>
      </c>
      <c r="K558">
        <v>0.1131718503418339</v>
      </c>
      <c r="L558">
        <v>0.48623917424250801</v>
      </c>
      <c r="M558">
        <v>38</v>
      </c>
      <c r="N558">
        <v>0</v>
      </c>
      <c r="O558">
        <v>1</v>
      </c>
      <c r="P558">
        <v>0.63150000000000006</v>
      </c>
      <c r="Q558">
        <v>1E-4</v>
      </c>
      <c r="R558">
        <v>7.3399999999999993E-2</v>
      </c>
      <c r="S558">
        <v>0.55810000000000004</v>
      </c>
      <c r="T558">
        <v>0.63150000000000006</v>
      </c>
      <c r="U558">
        <v>5</v>
      </c>
      <c r="V558">
        <v>0</v>
      </c>
      <c r="W558">
        <v>0.2</v>
      </c>
      <c r="X558">
        <v>0</v>
      </c>
      <c r="Y558">
        <v>0.50600000000000001</v>
      </c>
      <c r="Z558">
        <v>1</v>
      </c>
    </row>
    <row r="559" spans="1:26" x14ac:dyDescent="0.2">
      <c r="A559" t="s">
        <v>48</v>
      </c>
      <c r="B559">
        <v>2020</v>
      </c>
      <c r="C559" t="str">
        <f t="shared" si="8"/>
        <v>DPR2020</v>
      </c>
      <c r="D559">
        <v>1.4851717315870781E-14</v>
      </c>
      <c r="E559">
        <v>9.1046703548403829E-2</v>
      </c>
      <c r="F559">
        <v>0.85550695979113001</v>
      </c>
      <c r="G559">
        <v>28.95952034757773</v>
      </c>
      <c r="H559">
        <v>2.3842851895123651</v>
      </c>
      <c r="I559">
        <v>0.38415370413909911</v>
      </c>
      <c r="J559">
        <v>1.019908826669425E-2</v>
      </c>
      <c r="K559">
        <v>3.714123590524266E-2</v>
      </c>
      <c r="L559">
        <v>0.45370122059423362</v>
      </c>
      <c r="M559">
        <v>39</v>
      </c>
      <c r="N559">
        <v>0</v>
      </c>
      <c r="O559">
        <v>1</v>
      </c>
      <c r="P559">
        <v>0.63150000000000006</v>
      </c>
      <c r="Q559">
        <v>2.0000000000000001E-4</v>
      </c>
      <c r="R559">
        <v>7.3399999999999993E-2</v>
      </c>
      <c r="S559">
        <v>0.55810000000000004</v>
      </c>
      <c r="T559">
        <v>0.63150000000000006</v>
      </c>
      <c r="U559">
        <v>5</v>
      </c>
      <c r="V559">
        <v>0</v>
      </c>
      <c r="W559">
        <v>0.2</v>
      </c>
      <c r="X559">
        <v>0</v>
      </c>
      <c r="Y559">
        <v>0.51729999999999998</v>
      </c>
      <c r="Z559">
        <v>1</v>
      </c>
    </row>
    <row r="560" spans="1:26" x14ac:dyDescent="0.2">
      <c r="A560" t="s">
        <v>48</v>
      </c>
      <c r="B560">
        <v>2021</v>
      </c>
      <c r="C560" t="str">
        <f t="shared" si="8"/>
        <v>DPR2021</v>
      </c>
      <c r="D560">
        <v>2.9062066814743443E-14</v>
      </c>
      <c r="E560">
        <v>0.17231302542189769</v>
      </c>
      <c r="F560">
        <v>1.0929816110153689</v>
      </c>
      <c r="G560">
        <v>29.025405141006861</v>
      </c>
      <c r="H560">
        <v>2.207366001078602</v>
      </c>
      <c r="I560">
        <v>0.31988605930443348</v>
      </c>
      <c r="J560">
        <v>6.8103657517781802E-2</v>
      </c>
      <c r="K560">
        <v>0.1881512033651348</v>
      </c>
      <c r="L560">
        <v>0.39723848667694828</v>
      </c>
      <c r="M560">
        <v>40</v>
      </c>
      <c r="N560">
        <v>0</v>
      </c>
      <c r="O560">
        <v>0</v>
      </c>
      <c r="P560">
        <v>0.55810000000000004</v>
      </c>
      <c r="Q560">
        <v>2.0000000000000001E-4</v>
      </c>
      <c r="R560">
        <v>0</v>
      </c>
      <c r="S560">
        <v>0.55810000000000004</v>
      </c>
      <c r="T560">
        <v>0.55810000000000004</v>
      </c>
      <c r="U560">
        <v>5</v>
      </c>
      <c r="V560">
        <v>0</v>
      </c>
      <c r="W560">
        <v>0.2</v>
      </c>
      <c r="X560">
        <v>0</v>
      </c>
      <c r="Y560">
        <v>0.53500000000000003</v>
      </c>
      <c r="Z560">
        <v>1</v>
      </c>
    </row>
    <row r="561" spans="1:26" x14ac:dyDescent="0.2">
      <c r="A561" t="s">
        <v>48</v>
      </c>
      <c r="B561">
        <v>2022</v>
      </c>
      <c r="C561" t="str">
        <f t="shared" si="8"/>
        <v>DPR2022</v>
      </c>
      <c r="D561">
        <v>1.6787116006843919E-14</v>
      </c>
      <c r="E561">
        <v>9.7346036013159318E-2</v>
      </c>
      <c r="F561">
        <v>0.826911058346813</v>
      </c>
      <c r="G561">
        <v>29.057703855909889</v>
      </c>
      <c r="H561">
        <v>3.4771847836573802</v>
      </c>
      <c r="I561">
        <v>0.28177873167502399</v>
      </c>
      <c r="J561">
        <v>3.2825979742251883E-2</v>
      </c>
      <c r="K561">
        <v>8.117525956584884E-2</v>
      </c>
      <c r="L561">
        <v>0.37922913160900018</v>
      </c>
      <c r="M561">
        <v>41</v>
      </c>
      <c r="N561">
        <v>0</v>
      </c>
      <c r="O561">
        <v>0</v>
      </c>
      <c r="P561">
        <v>0.55810000000000004</v>
      </c>
      <c r="Q561">
        <v>2.0000000000000001E-4</v>
      </c>
      <c r="R561">
        <v>0</v>
      </c>
      <c r="S561">
        <v>0.55810000000000004</v>
      </c>
      <c r="T561">
        <v>0.55810000000000004</v>
      </c>
      <c r="U561">
        <v>5</v>
      </c>
      <c r="V561">
        <v>0</v>
      </c>
      <c r="W561">
        <v>0.2</v>
      </c>
      <c r="X561">
        <v>0</v>
      </c>
      <c r="Y561">
        <v>0.53439999999999999</v>
      </c>
      <c r="Z561">
        <v>1</v>
      </c>
    </row>
    <row r="562" spans="1:26" x14ac:dyDescent="0.2">
      <c r="A562" t="s">
        <v>48</v>
      </c>
      <c r="B562">
        <v>2023</v>
      </c>
      <c r="C562" t="str">
        <f t="shared" si="8"/>
        <v>DPR2023</v>
      </c>
      <c r="D562">
        <v>20755590567960.91</v>
      </c>
      <c r="E562">
        <v>5.967338093664884E-2</v>
      </c>
      <c r="F562">
        <v>0.64476971886079937</v>
      </c>
      <c r="G562">
        <v>29.079881140435759</v>
      </c>
      <c r="H562">
        <v>6.3018088533840766</v>
      </c>
      <c r="I562">
        <v>0</v>
      </c>
      <c r="J562">
        <v>2.242502854050343E-2</v>
      </c>
      <c r="K562">
        <v>7.5842906133495147E-2</v>
      </c>
      <c r="L562">
        <v>0.37500208614674058</v>
      </c>
      <c r="M562">
        <v>42</v>
      </c>
      <c r="N562">
        <v>0</v>
      </c>
      <c r="O562">
        <v>0</v>
      </c>
      <c r="P562">
        <v>0.55810000000000004</v>
      </c>
      <c r="Q562">
        <v>2.0000000000000001E-4</v>
      </c>
      <c r="R562">
        <v>0</v>
      </c>
      <c r="S562">
        <v>0.55810000000000004</v>
      </c>
      <c r="T562">
        <v>0.55810000000000004</v>
      </c>
      <c r="U562">
        <v>5</v>
      </c>
      <c r="V562">
        <v>0</v>
      </c>
      <c r="W562">
        <v>0.2</v>
      </c>
      <c r="X562">
        <v>0</v>
      </c>
      <c r="Y562">
        <v>0.53439999999999999</v>
      </c>
      <c r="Z562">
        <v>1</v>
      </c>
    </row>
    <row r="563" spans="1:26" x14ac:dyDescent="0.2">
      <c r="A563" t="s">
        <v>49</v>
      </c>
      <c r="B563">
        <v>2012</v>
      </c>
      <c r="C563" t="str">
        <f t="shared" si="8"/>
        <v>DQC2012</v>
      </c>
      <c r="D563">
        <v>1.5982351441542691E-14</v>
      </c>
      <c r="E563">
        <v>6.0707597385203142E-2</v>
      </c>
      <c r="F563">
        <v>0.77999001078067187</v>
      </c>
      <c r="G563">
        <v>28.17104379300098</v>
      </c>
      <c r="H563">
        <v>1.770117821555854</v>
      </c>
      <c r="I563">
        <v>0.54428887791670644</v>
      </c>
      <c r="J563">
        <v>-6.3313945596956689E-2</v>
      </c>
      <c r="K563">
        <v>0.16216518981040071</v>
      </c>
      <c r="L563">
        <v>3.1462865115840143E-2</v>
      </c>
      <c r="M563">
        <v>19</v>
      </c>
      <c r="N563">
        <v>0</v>
      </c>
      <c r="O563">
        <v>0</v>
      </c>
      <c r="P563">
        <v>0.16</v>
      </c>
      <c r="Q563">
        <v>6.9699999999999998E-2</v>
      </c>
      <c r="R563">
        <v>0</v>
      </c>
      <c r="S563">
        <v>0.16</v>
      </c>
      <c r="T563">
        <v>0.16</v>
      </c>
      <c r="U563">
        <v>6</v>
      </c>
      <c r="V563">
        <v>1</v>
      </c>
      <c r="W563">
        <v>0.33333333333333331</v>
      </c>
      <c r="X563">
        <v>1</v>
      </c>
      <c r="Y563">
        <v>0.38500000000000001</v>
      </c>
      <c r="Z563">
        <v>1</v>
      </c>
    </row>
    <row r="564" spans="1:26" x14ac:dyDescent="0.2">
      <c r="A564" t="s">
        <v>49</v>
      </c>
      <c r="B564">
        <v>2013</v>
      </c>
      <c r="C564" t="str">
        <f t="shared" si="8"/>
        <v>DQC2013</v>
      </c>
      <c r="D564">
        <v>4.4214763771121622E-14</v>
      </c>
      <c r="E564">
        <v>0.1491239748470824</v>
      </c>
      <c r="F564">
        <v>0.94328616309971502</v>
      </c>
      <c r="G564">
        <v>28.142993796340651</v>
      </c>
      <c r="H564">
        <v>1.857084067280194</v>
      </c>
      <c r="I564">
        <v>0.50045012639848541</v>
      </c>
      <c r="J564">
        <v>-2.7660248154898311E-2</v>
      </c>
      <c r="K564">
        <v>6.6029273377077646E-2</v>
      </c>
      <c r="L564">
        <v>4.6209521697162907E-2</v>
      </c>
      <c r="M564">
        <v>20</v>
      </c>
      <c r="N564">
        <v>0</v>
      </c>
      <c r="O564">
        <v>0</v>
      </c>
      <c r="P564">
        <v>0.24690000000000001</v>
      </c>
      <c r="Q564">
        <v>0.16819999999999999</v>
      </c>
      <c r="R564">
        <v>7.3700000000000002E-2</v>
      </c>
      <c r="S564">
        <v>0</v>
      </c>
      <c r="T564">
        <v>7.3700000000000002E-2</v>
      </c>
      <c r="U564">
        <v>5</v>
      </c>
      <c r="V564">
        <v>1</v>
      </c>
      <c r="W564">
        <v>0.4</v>
      </c>
      <c r="X564">
        <v>1</v>
      </c>
      <c r="Y564">
        <v>0.38779999999999998</v>
      </c>
      <c r="Z564">
        <v>1</v>
      </c>
    </row>
    <row r="565" spans="1:26" x14ac:dyDescent="0.2">
      <c r="A565" t="s">
        <v>49</v>
      </c>
      <c r="B565">
        <v>2014</v>
      </c>
      <c r="C565" t="str">
        <f t="shared" si="8"/>
        <v>DQC2014</v>
      </c>
      <c r="D565">
        <v>6.9817850410102135E-14</v>
      </c>
      <c r="E565">
        <v>0.2499101208957599</v>
      </c>
      <c r="F565">
        <v>1.1269512927511609</v>
      </c>
      <c r="G565">
        <v>28.253233280089709</v>
      </c>
      <c r="H565">
        <v>2.026632188619709</v>
      </c>
      <c r="I565">
        <v>0.47210045219518598</v>
      </c>
      <c r="J565">
        <v>0.11654543292937709</v>
      </c>
      <c r="K565">
        <v>0.30235829132399011</v>
      </c>
      <c r="L565">
        <v>4.0451674050490848E-2</v>
      </c>
      <c r="M565">
        <v>21</v>
      </c>
      <c r="N565">
        <v>0</v>
      </c>
      <c r="O565">
        <v>0</v>
      </c>
      <c r="P565">
        <v>0.36709999999999998</v>
      </c>
      <c r="Q565">
        <v>0.151</v>
      </c>
      <c r="R565">
        <v>0</v>
      </c>
      <c r="S565">
        <v>0</v>
      </c>
      <c r="T565">
        <v>5.5999999999999987E-2</v>
      </c>
      <c r="U565">
        <v>5</v>
      </c>
      <c r="V565">
        <v>1</v>
      </c>
      <c r="W565">
        <v>0.4</v>
      </c>
      <c r="X565">
        <v>1</v>
      </c>
      <c r="Y565">
        <v>0.39779999999999999</v>
      </c>
      <c r="Z565">
        <v>1</v>
      </c>
    </row>
    <row r="566" spans="1:26" x14ac:dyDescent="0.2">
      <c r="A566" t="s">
        <v>49</v>
      </c>
      <c r="B566">
        <v>2015</v>
      </c>
      <c r="C566" t="str">
        <f t="shared" si="8"/>
        <v>DQC2015</v>
      </c>
      <c r="D566">
        <v>9.1622107906643655E-14</v>
      </c>
      <c r="E566">
        <v>0.1930004160827426</v>
      </c>
      <c r="F566">
        <v>1.373477558563839</v>
      </c>
      <c r="G566">
        <v>28.045886078906761</v>
      </c>
      <c r="H566">
        <v>2.1538055109234651</v>
      </c>
      <c r="I566">
        <v>0.28118753767462701</v>
      </c>
      <c r="J566">
        <v>-0.18726258239811719</v>
      </c>
      <c r="K566">
        <v>9.9402700430423513E-2</v>
      </c>
      <c r="L566">
        <v>5.1794619018719977E-2</v>
      </c>
      <c r="M566">
        <v>22</v>
      </c>
      <c r="N566">
        <v>0</v>
      </c>
      <c r="O566">
        <v>0</v>
      </c>
      <c r="P566">
        <v>0.36990000000000001</v>
      </c>
      <c r="Q566">
        <v>0.21529999999999999</v>
      </c>
      <c r="R566">
        <v>0.1075</v>
      </c>
      <c r="S566">
        <v>0</v>
      </c>
      <c r="T566">
        <v>0.1779</v>
      </c>
      <c r="U566">
        <v>5</v>
      </c>
      <c r="V566">
        <v>1</v>
      </c>
      <c r="W566">
        <v>0.4</v>
      </c>
      <c r="X566">
        <v>1</v>
      </c>
      <c r="Y566">
        <v>0.40500000000000003</v>
      </c>
      <c r="Z566">
        <v>1</v>
      </c>
    </row>
    <row r="567" spans="1:26" x14ac:dyDescent="0.2">
      <c r="A567" t="s">
        <v>49</v>
      </c>
      <c r="B567">
        <v>2016</v>
      </c>
      <c r="C567" t="str">
        <f t="shared" si="8"/>
        <v>DQC2016</v>
      </c>
      <c r="D567">
        <v>8.0796846314487383E-14</v>
      </c>
      <c r="E567">
        <v>0.17680300605806201</v>
      </c>
      <c r="F567">
        <v>1.518724359331143</v>
      </c>
      <c r="G567">
        <v>28.094363335555531</v>
      </c>
      <c r="H567">
        <v>3.3826136878300961</v>
      </c>
      <c r="I567">
        <v>0.27367376023085388</v>
      </c>
      <c r="J567">
        <v>4.9671498501273607E-2</v>
      </c>
      <c r="K567">
        <v>0.16478364110643329</v>
      </c>
      <c r="L567">
        <v>4.7745343393078413E-2</v>
      </c>
      <c r="M567">
        <v>23</v>
      </c>
      <c r="N567">
        <v>0</v>
      </c>
      <c r="O567">
        <v>0</v>
      </c>
      <c r="P567">
        <v>0.36990000000000001</v>
      </c>
      <c r="Q567">
        <v>0.2109</v>
      </c>
      <c r="R567">
        <v>0.1075</v>
      </c>
      <c r="S567">
        <v>0</v>
      </c>
      <c r="T567">
        <v>0.1779</v>
      </c>
      <c r="U567">
        <v>5</v>
      </c>
      <c r="V567">
        <v>1</v>
      </c>
      <c r="W567">
        <v>0.4</v>
      </c>
      <c r="X567">
        <v>1</v>
      </c>
      <c r="Y567">
        <v>0.41499999999999998</v>
      </c>
      <c r="Z567">
        <v>1</v>
      </c>
    </row>
    <row r="568" spans="1:26" x14ac:dyDescent="0.2">
      <c r="A568" t="s">
        <v>49</v>
      </c>
      <c r="B568">
        <v>2017</v>
      </c>
      <c r="C568" t="str">
        <f t="shared" si="8"/>
        <v>DQC2017</v>
      </c>
      <c r="D568">
        <v>4.2478405014570339E-14</v>
      </c>
      <c r="E568">
        <v>9.6826983058364416E-2</v>
      </c>
      <c r="F568">
        <v>1.095287375355718</v>
      </c>
      <c r="G568">
        <v>28.1081036550787</v>
      </c>
      <c r="H568">
        <v>2.9115304828921418</v>
      </c>
      <c r="I568">
        <v>0.29308676076692253</v>
      </c>
      <c r="J568">
        <v>1.383515155650095E-2</v>
      </c>
      <c r="K568">
        <v>-5.6605342497378884E-3</v>
      </c>
      <c r="L568">
        <v>4.506290345282906E-2</v>
      </c>
      <c r="M568">
        <v>24</v>
      </c>
      <c r="N568">
        <v>0</v>
      </c>
      <c r="O568">
        <v>0</v>
      </c>
      <c r="P568">
        <v>0.25829999999999997</v>
      </c>
      <c r="Q568">
        <v>0.28050000000000003</v>
      </c>
      <c r="R568">
        <v>0</v>
      </c>
      <c r="S568">
        <v>0</v>
      </c>
      <c r="T568">
        <v>0</v>
      </c>
      <c r="U568">
        <v>5</v>
      </c>
      <c r="V568">
        <v>1</v>
      </c>
      <c r="W568">
        <v>0.4</v>
      </c>
      <c r="X568">
        <v>1</v>
      </c>
      <c r="Y568">
        <v>0.42499999999999999</v>
      </c>
      <c r="Z568">
        <v>1</v>
      </c>
    </row>
    <row r="569" spans="1:26" x14ac:dyDescent="0.2">
      <c r="A569" t="s">
        <v>49</v>
      </c>
      <c r="B569">
        <v>2018</v>
      </c>
      <c r="C569" t="str">
        <f t="shared" si="8"/>
        <v>DQC2018</v>
      </c>
      <c r="D569">
        <v>2.5870003908664849E-14</v>
      </c>
      <c r="E569">
        <v>8.2946104771963083E-2</v>
      </c>
      <c r="F569">
        <v>0.88257931616643792</v>
      </c>
      <c r="G569">
        <v>28.254290774421619</v>
      </c>
      <c r="H569">
        <v>2.8580315417066098</v>
      </c>
      <c r="I569">
        <v>0.41832141951102669</v>
      </c>
      <c r="J569">
        <v>0.15741274210122011</v>
      </c>
      <c r="K569">
        <v>3.2604666473622589E-3</v>
      </c>
      <c r="L569">
        <v>9.577340831187163E-2</v>
      </c>
      <c r="M569">
        <v>25</v>
      </c>
      <c r="N569">
        <v>0</v>
      </c>
      <c r="O569">
        <v>0</v>
      </c>
      <c r="P569">
        <v>0.25829999999999997</v>
      </c>
      <c r="Q569">
        <v>0.28720000000000001</v>
      </c>
      <c r="R569">
        <v>0</v>
      </c>
      <c r="S569">
        <v>0</v>
      </c>
      <c r="T569">
        <v>0</v>
      </c>
      <c r="U569">
        <v>6</v>
      </c>
      <c r="V569">
        <v>1</v>
      </c>
      <c r="W569">
        <v>0.5</v>
      </c>
      <c r="X569">
        <v>1</v>
      </c>
      <c r="Y569">
        <v>0.45</v>
      </c>
      <c r="Z569">
        <v>1</v>
      </c>
    </row>
    <row r="570" spans="1:26" x14ac:dyDescent="0.2">
      <c r="A570" t="s">
        <v>49</v>
      </c>
      <c r="B570">
        <v>2019</v>
      </c>
      <c r="C570" t="str">
        <f t="shared" si="8"/>
        <v>DQC2019</v>
      </c>
      <c r="D570">
        <v>1.310235020096792E-14</v>
      </c>
      <c r="E570">
        <v>3.0397654499623599E-2</v>
      </c>
      <c r="F570">
        <v>0.64428962762142139</v>
      </c>
      <c r="G570">
        <v>28.03784785881518</v>
      </c>
      <c r="H570">
        <v>2.2204597992235948</v>
      </c>
      <c r="I570">
        <v>0.35257161196960868</v>
      </c>
      <c r="J570">
        <v>-0.19462149184579269</v>
      </c>
      <c r="K570">
        <v>3.3463286511242217E-2</v>
      </c>
      <c r="L570">
        <v>0.12885977981649571</v>
      </c>
      <c r="M570">
        <v>26</v>
      </c>
      <c r="N570">
        <v>0</v>
      </c>
      <c r="O570">
        <v>1</v>
      </c>
      <c r="P570">
        <v>0.31449999999999989</v>
      </c>
      <c r="Q570">
        <v>0.32579999999999998</v>
      </c>
      <c r="R570">
        <v>5.62E-2</v>
      </c>
      <c r="S570">
        <v>0</v>
      </c>
      <c r="T570">
        <v>5.62E-2</v>
      </c>
      <c r="U570">
        <v>6</v>
      </c>
      <c r="V570">
        <v>1</v>
      </c>
      <c r="W570">
        <v>0.5</v>
      </c>
      <c r="X570">
        <v>1</v>
      </c>
      <c r="Y570">
        <v>0.46</v>
      </c>
      <c r="Z570">
        <v>1</v>
      </c>
    </row>
    <row r="571" spans="1:26" x14ac:dyDescent="0.2">
      <c r="A571" t="s">
        <v>49</v>
      </c>
      <c r="B571">
        <v>2020</v>
      </c>
      <c r="C571" t="str">
        <f t="shared" si="8"/>
        <v>DQC2020</v>
      </c>
      <c r="D571">
        <v>9.1911762165474204E-15</v>
      </c>
      <c r="E571">
        <v>1.9783491575051781E-2</v>
      </c>
      <c r="F571">
        <v>0.69307661779415874</v>
      </c>
      <c r="G571">
        <v>27.97436175927287</v>
      </c>
      <c r="H571">
        <v>2.4947960801785771</v>
      </c>
      <c r="I571">
        <v>0.34509380728307898</v>
      </c>
      <c r="J571">
        <v>-6.1512835388874643E-2</v>
      </c>
      <c r="K571">
        <v>4.5833031113999542E-2</v>
      </c>
      <c r="L571">
        <v>0.21298641671075591</v>
      </c>
      <c r="M571">
        <v>27</v>
      </c>
      <c r="N571">
        <v>0</v>
      </c>
      <c r="O571">
        <v>1</v>
      </c>
      <c r="P571">
        <v>0.40060000000000001</v>
      </c>
      <c r="Q571">
        <v>0.2447</v>
      </c>
      <c r="R571">
        <v>5.62E-2</v>
      </c>
      <c r="S571">
        <v>0</v>
      </c>
      <c r="T571">
        <v>5.62E-2</v>
      </c>
      <c r="U571">
        <v>6</v>
      </c>
      <c r="V571">
        <v>1</v>
      </c>
      <c r="W571">
        <v>0.5</v>
      </c>
      <c r="X571">
        <v>1</v>
      </c>
      <c r="Y571">
        <v>0.47</v>
      </c>
      <c r="Z571">
        <v>1</v>
      </c>
    </row>
    <row r="572" spans="1:26" x14ac:dyDescent="0.2">
      <c r="A572" t="s">
        <v>49</v>
      </c>
      <c r="B572">
        <v>2021</v>
      </c>
      <c r="C572" t="str">
        <f t="shared" si="8"/>
        <v>DQC2021</v>
      </c>
      <c r="D572">
        <v>1.144497717851593E-14</v>
      </c>
      <c r="E572">
        <v>2.4097740096292911E-2</v>
      </c>
      <c r="F572">
        <v>0.96344272270581732</v>
      </c>
      <c r="G572">
        <v>27.974719237424971</v>
      </c>
      <c r="H572">
        <v>2.1509009234227352</v>
      </c>
      <c r="I572">
        <v>0.33026219785732169</v>
      </c>
      <c r="J572">
        <v>3.5754205502169789E-4</v>
      </c>
      <c r="K572">
        <v>-2.3737421164071629E-2</v>
      </c>
      <c r="L572">
        <v>0.21481485503460429</v>
      </c>
      <c r="M572">
        <v>28</v>
      </c>
      <c r="N572">
        <v>0</v>
      </c>
      <c r="O572">
        <v>0</v>
      </c>
      <c r="P572">
        <v>0.27110000000000001</v>
      </c>
      <c r="Q572">
        <v>0.34279999999999999</v>
      </c>
      <c r="R572">
        <v>0</v>
      </c>
      <c r="S572">
        <v>0</v>
      </c>
      <c r="T572">
        <v>0</v>
      </c>
      <c r="U572">
        <v>6</v>
      </c>
      <c r="V572">
        <v>1</v>
      </c>
      <c r="W572">
        <v>0.5</v>
      </c>
      <c r="X572">
        <v>1</v>
      </c>
      <c r="Y572">
        <v>0.48170000000000002</v>
      </c>
      <c r="Z572">
        <v>1</v>
      </c>
    </row>
    <row r="573" spans="1:26" x14ac:dyDescent="0.2">
      <c r="A573" t="s">
        <v>49</v>
      </c>
      <c r="B573">
        <v>2022</v>
      </c>
      <c r="C573" t="str">
        <f t="shared" si="8"/>
        <v>DQC2022</v>
      </c>
      <c r="D573">
        <v>6.735338526317818E-15</v>
      </c>
      <c r="E573">
        <v>1.590509666917457E-2</v>
      </c>
      <c r="F573">
        <v>0.68657009357375853</v>
      </c>
      <c r="G573">
        <v>28.026495002232579</v>
      </c>
      <c r="H573">
        <v>2.210484102579473</v>
      </c>
      <c r="I573">
        <v>0.37110919886151261</v>
      </c>
      <c r="J573">
        <v>5.31395650817168E-2</v>
      </c>
      <c r="K573">
        <v>-4.9857082756478148E-2</v>
      </c>
      <c r="L573">
        <v>0.1854708484709866</v>
      </c>
      <c r="M573">
        <v>29</v>
      </c>
      <c r="N573">
        <v>0</v>
      </c>
      <c r="O573">
        <v>0</v>
      </c>
      <c r="P573">
        <v>0.19339999999999999</v>
      </c>
      <c r="Q573">
        <v>0.24440000000000001</v>
      </c>
      <c r="R573">
        <v>0</v>
      </c>
      <c r="S573">
        <v>0</v>
      </c>
      <c r="T573">
        <v>0</v>
      </c>
      <c r="U573">
        <v>6</v>
      </c>
      <c r="V573">
        <v>0</v>
      </c>
      <c r="W573">
        <v>0.5</v>
      </c>
      <c r="X573">
        <v>1</v>
      </c>
      <c r="Y573">
        <v>0.49170000000000003</v>
      </c>
      <c r="Z573">
        <v>1</v>
      </c>
    </row>
    <row r="574" spans="1:26" x14ac:dyDescent="0.2">
      <c r="A574" t="s">
        <v>49</v>
      </c>
      <c r="B574">
        <v>2023</v>
      </c>
      <c r="C574" t="str">
        <f t="shared" si="8"/>
        <v>DQC2023</v>
      </c>
      <c r="D574">
        <v>-296911651260.07593</v>
      </c>
      <c r="E574">
        <v>-2.799603372253115E-2</v>
      </c>
      <c r="F574">
        <v>0.46260383977262898</v>
      </c>
      <c r="G574">
        <v>27.99847923779425</v>
      </c>
      <c r="H574">
        <v>1.949881641586767</v>
      </c>
      <c r="I574">
        <v>0.1734850388191779</v>
      </c>
      <c r="J574">
        <v>-2.7626962234361341E-2</v>
      </c>
      <c r="K574">
        <v>-1.413845712313039E-2</v>
      </c>
      <c r="L574">
        <v>0.16901579854468829</v>
      </c>
      <c r="M574">
        <v>30</v>
      </c>
      <c r="N574">
        <v>0</v>
      </c>
      <c r="O574">
        <v>0</v>
      </c>
      <c r="P574">
        <v>0.19339999999999999</v>
      </c>
      <c r="Q574">
        <v>0.24440000000000001</v>
      </c>
      <c r="R574">
        <v>0</v>
      </c>
      <c r="S574">
        <v>0</v>
      </c>
      <c r="T574">
        <v>0</v>
      </c>
      <c r="U574">
        <v>6</v>
      </c>
      <c r="V574">
        <v>0</v>
      </c>
      <c r="W574">
        <v>0.5</v>
      </c>
      <c r="X574">
        <v>1</v>
      </c>
      <c r="Y574">
        <v>0.49170000000000003</v>
      </c>
      <c r="Z574">
        <v>1</v>
      </c>
    </row>
    <row r="575" spans="1:26" x14ac:dyDescent="0.2">
      <c r="A575" t="s">
        <v>50</v>
      </c>
      <c r="B575">
        <v>2012</v>
      </c>
      <c r="C575" t="str">
        <f t="shared" si="8"/>
        <v>DRC2012</v>
      </c>
      <c r="D575">
        <v>5.0827581111525592E-14</v>
      </c>
      <c r="E575">
        <v>0.26689514307261358</v>
      </c>
      <c r="F575">
        <v>1.246037675554851</v>
      </c>
      <c r="G575">
        <v>28.538509235933741</v>
      </c>
      <c r="H575">
        <v>2.18580808257239</v>
      </c>
      <c r="I575">
        <v>0.52807188143513972</v>
      </c>
      <c r="J575">
        <v>0.52818672777801412</v>
      </c>
      <c r="K575">
        <v>0.2240838595464909</v>
      </c>
      <c r="L575">
        <v>0.56682964597075147</v>
      </c>
      <c r="M575">
        <v>7</v>
      </c>
      <c r="N575">
        <v>0</v>
      </c>
      <c r="O575">
        <v>0</v>
      </c>
      <c r="P575">
        <v>0.505</v>
      </c>
      <c r="Q575">
        <v>1.52E-2</v>
      </c>
      <c r="R575">
        <v>0</v>
      </c>
      <c r="S575">
        <v>0.505</v>
      </c>
      <c r="T575">
        <v>0.505</v>
      </c>
      <c r="U575">
        <v>7</v>
      </c>
      <c r="V575">
        <v>0</v>
      </c>
      <c r="W575">
        <v>0</v>
      </c>
      <c r="X575">
        <v>0</v>
      </c>
      <c r="Y575">
        <v>0.48670000000000002</v>
      </c>
      <c r="Z575">
        <v>1</v>
      </c>
    </row>
    <row r="576" spans="1:26" x14ac:dyDescent="0.2">
      <c r="A576" t="s">
        <v>50</v>
      </c>
      <c r="B576">
        <v>2013</v>
      </c>
      <c r="C576" t="str">
        <f t="shared" si="8"/>
        <v>DRC2013</v>
      </c>
      <c r="D576">
        <v>3.6944995832688378E-14</v>
      </c>
      <c r="E576">
        <v>0.27209512880966458</v>
      </c>
      <c r="F576">
        <v>1.5835272806910781</v>
      </c>
      <c r="G576">
        <v>28.790332474850839</v>
      </c>
      <c r="H576">
        <v>1.942246100613628</v>
      </c>
      <c r="I576">
        <v>0.56716997372145705</v>
      </c>
      <c r="J576">
        <v>0.2863686372743548</v>
      </c>
      <c r="K576">
        <v>4.8181968586495739E-2</v>
      </c>
      <c r="L576">
        <v>0.5787260324754594</v>
      </c>
      <c r="M576">
        <v>8</v>
      </c>
      <c r="N576">
        <v>0</v>
      </c>
      <c r="O576">
        <v>0</v>
      </c>
      <c r="P576">
        <v>0.50509999999999999</v>
      </c>
      <c r="Q576">
        <v>1.29E-2</v>
      </c>
      <c r="R576">
        <v>0</v>
      </c>
      <c r="S576">
        <v>0.50509999999999999</v>
      </c>
      <c r="T576">
        <v>0.50509999999999999</v>
      </c>
      <c r="U576">
        <v>7</v>
      </c>
      <c r="V576">
        <v>0</v>
      </c>
      <c r="W576">
        <v>0</v>
      </c>
      <c r="X576">
        <v>0</v>
      </c>
      <c r="Y576">
        <v>0.49919999999999998</v>
      </c>
      <c r="Z576">
        <v>1</v>
      </c>
    </row>
    <row r="577" spans="1:26" x14ac:dyDescent="0.2">
      <c r="A577" t="s">
        <v>50</v>
      </c>
      <c r="B577">
        <v>2014</v>
      </c>
      <c r="C577" t="str">
        <f t="shared" si="8"/>
        <v>DRC2014</v>
      </c>
      <c r="D577">
        <v>3.5834050070611628E-14</v>
      </c>
      <c r="E577">
        <v>0.229670951684317</v>
      </c>
      <c r="F577">
        <v>1.9932897655670669</v>
      </c>
      <c r="G577">
        <v>28.774416533328409</v>
      </c>
      <c r="H577">
        <v>1.3900052963219041</v>
      </c>
      <c r="I577">
        <v>0.5104916023799263</v>
      </c>
      <c r="J577">
        <v>-1.5789952223514429E-2</v>
      </c>
      <c r="K577">
        <v>0.24442332631370389</v>
      </c>
      <c r="L577">
        <v>0.63483045090391887</v>
      </c>
      <c r="M577">
        <v>9</v>
      </c>
      <c r="N577">
        <v>0</v>
      </c>
      <c r="O577">
        <v>0</v>
      </c>
      <c r="P577">
        <v>0.50509999999999999</v>
      </c>
      <c r="Q577">
        <v>6.5000000000000006E-3</v>
      </c>
      <c r="R577">
        <v>0</v>
      </c>
      <c r="S577">
        <v>0.50509999999999999</v>
      </c>
      <c r="T577">
        <v>0.50509999999999999</v>
      </c>
      <c r="U577">
        <v>7</v>
      </c>
      <c r="V577">
        <v>0</v>
      </c>
      <c r="W577">
        <v>0</v>
      </c>
      <c r="X577">
        <v>0</v>
      </c>
      <c r="Y577">
        <v>0.4592</v>
      </c>
      <c r="Z577">
        <v>1</v>
      </c>
    </row>
    <row r="578" spans="1:26" x14ac:dyDescent="0.2">
      <c r="A578" t="s">
        <v>50</v>
      </c>
      <c r="B578">
        <v>2015</v>
      </c>
      <c r="C578" t="str">
        <f t="shared" si="8"/>
        <v>DRC2015</v>
      </c>
      <c r="D578">
        <v>4.201679345244241E-14</v>
      </c>
      <c r="E578">
        <v>0.24808640851827249</v>
      </c>
      <c r="F578">
        <v>1.735384761004551</v>
      </c>
      <c r="G578">
        <v>28.776164350231731</v>
      </c>
      <c r="H578">
        <v>1.400933554800021</v>
      </c>
      <c r="I578">
        <v>0.46770875697922082</v>
      </c>
      <c r="J578">
        <v>1.749345225555921E-3</v>
      </c>
      <c r="K578">
        <v>0.19620463712928901</v>
      </c>
      <c r="L578">
        <v>0.57847618311820803</v>
      </c>
      <c r="M578">
        <v>10</v>
      </c>
      <c r="N578">
        <v>0</v>
      </c>
      <c r="O578">
        <v>0</v>
      </c>
      <c r="P578">
        <v>0.50509999999999999</v>
      </c>
      <c r="Q578">
        <v>6.0000000000000001E-3</v>
      </c>
      <c r="R578">
        <v>0</v>
      </c>
      <c r="S578">
        <v>0.50509999999999999</v>
      </c>
      <c r="T578">
        <v>0.50509999999999999</v>
      </c>
      <c r="U578">
        <v>7</v>
      </c>
      <c r="V578">
        <v>0</v>
      </c>
      <c r="W578">
        <v>0</v>
      </c>
      <c r="X578">
        <v>0</v>
      </c>
      <c r="Y578">
        <v>0.47420000000000001</v>
      </c>
      <c r="Z578">
        <v>1</v>
      </c>
    </row>
    <row r="579" spans="1:26" x14ac:dyDescent="0.2">
      <c r="A579" t="s">
        <v>50</v>
      </c>
      <c r="B579">
        <v>2016</v>
      </c>
      <c r="C579" t="str">
        <f t="shared" ref="C579:C642" si="9">A579&amp;B579</f>
        <v>DRC2016</v>
      </c>
      <c r="D579">
        <v>5.2924537794841582E-14</v>
      </c>
      <c r="E579">
        <v>0.26516141342327199</v>
      </c>
      <c r="F579">
        <v>1.7882521477186151</v>
      </c>
      <c r="G579">
        <v>28.666133571956621</v>
      </c>
      <c r="H579">
        <v>1.4864201166225559</v>
      </c>
      <c r="I579">
        <v>0.43805944461144969</v>
      </c>
      <c r="J579">
        <v>-0.1018079909556505</v>
      </c>
      <c r="K579">
        <v>0.1766095791940602</v>
      </c>
      <c r="L579">
        <v>0.53318852226643976</v>
      </c>
      <c r="M579">
        <v>11</v>
      </c>
      <c r="N579">
        <v>0</v>
      </c>
      <c r="O579">
        <v>0</v>
      </c>
      <c r="P579">
        <v>0.50509999999999999</v>
      </c>
      <c r="Q579">
        <v>6.9999999999999993E-3</v>
      </c>
      <c r="R579">
        <v>0</v>
      </c>
      <c r="S579">
        <v>0.50509999999999999</v>
      </c>
      <c r="T579">
        <v>0.50509999999999999</v>
      </c>
      <c r="U579">
        <v>7</v>
      </c>
      <c r="V579">
        <v>0</v>
      </c>
      <c r="W579">
        <v>0</v>
      </c>
      <c r="X579">
        <v>0</v>
      </c>
      <c r="Y579">
        <v>0.46750000000000003</v>
      </c>
      <c r="Z579">
        <v>1</v>
      </c>
    </row>
    <row r="580" spans="1:26" x14ac:dyDescent="0.2">
      <c r="A580" t="s">
        <v>50</v>
      </c>
      <c r="B580">
        <v>2017</v>
      </c>
      <c r="C580" t="str">
        <f t="shared" si="9"/>
        <v>DRC2017</v>
      </c>
      <c r="D580">
        <v>2.126389592168037E-14</v>
      </c>
      <c r="E580">
        <v>0.1087457039201138</v>
      </c>
      <c r="F580">
        <v>1.4824066685556729</v>
      </c>
      <c r="G580">
        <v>28.658605227827891</v>
      </c>
      <c r="H580">
        <v>1.5135184447664221</v>
      </c>
      <c r="I580">
        <v>0.45360736269062329</v>
      </c>
      <c r="J580">
        <v>-1.013598849319663E-2</v>
      </c>
      <c r="K580">
        <v>0.1911939490766375</v>
      </c>
      <c r="L580">
        <v>0.58503815606819742</v>
      </c>
      <c r="M580">
        <v>12</v>
      </c>
      <c r="N580">
        <v>0</v>
      </c>
      <c r="O580">
        <v>0</v>
      </c>
      <c r="P580">
        <v>0.50509999999999999</v>
      </c>
      <c r="Q580">
        <v>6.6E-3</v>
      </c>
      <c r="R580">
        <v>0</v>
      </c>
      <c r="S580">
        <v>0.50509999999999999</v>
      </c>
      <c r="T580">
        <v>0.50509999999999999</v>
      </c>
      <c r="U580">
        <v>7</v>
      </c>
      <c r="V580">
        <v>0</v>
      </c>
      <c r="W580">
        <v>0</v>
      </c>
      <c r="X580">
        <v>0</v>
      </c>
      <c r="Y580">
        <v>0.4738</v>
      </c>
      <c r="Z580">
        <v>1</v>
      </c>
    </row>
    <row r="581" spans="1:26" x14ac:dyDescent="0.2">
      <c r="A581" t="s">
        <v>50</v>
      </c>
      <c r="B581">
        <v>2018</v>
      </c>
      <c r="C581" t="str">
        <f t="shared" si="9"/>
        <v>DRC2018</v>
      </c>
      <c r="D581">
        <v>1.7566120345054581E-14</v>
      </c>
      <c r="E581">
        <v>9.2416324053099672E-2</v>
      </c>
      <c r="F581">
        <v>1.3632247834341491</v>
      </c>
      <c r="G581">
        <v>28.672233977890031</v>
      </c>
      <c r="H581">
        <v>1.2701531932797669</v>
      </c>
      <c r="I581">
        <v>0.46158126398849902</v>
      </c>
      <c r="J581">
        <v>1.372204482480432E-2</v>
      </c>
      <c r="K581">
        <v>8.0837178294813919E-2</v>
      </c>
      <c r="L581">
        <v>0.53380538582531334</v>
      </c>
      <c r="M581">
        <v>13</v>
      </c>
      <c r="N581">
        <v>0</v>
      </c>
      <c r="O581">
        <v>0</v>
      </c>
      <c r="P581">
        <v>0.56610000000000005</v>
      </c>
      <c r="Q581">
        <v>6.0000000000000001E-3</v>
      </c>
      <c r="R581">
        <v>6.0999999999999999E-2</v>
      </c>
      <c r="S581">
        <v>0.50509999999999999</v>
      </c>
      <c r="T581">
        <v>0.56610000000000005</v>
      </c>
      <c r="U581">
        <v>7</v>
      </c>
      <c r="V581">
        <v>0</v>
      </c>
      <c r="W581">
        <v>0</v>
      </c>
      <c r="X581">
        <v>0</v>
      </c>
      <c r="Y581">
        <v>0.47</v>
      </c>
      <c r="Z581">
        <v>1</v>
      </c>
    </row>
    <row r="582" spans="1:26" x14ac:dyDescent="0.2">
      <c r="A582" t="s">
        <v>50</v>
      </c>
      <c r="B582">
        <v>2019</v>
      </c>
      <c r="C582" t="str">
        <f t="shared" si="9"/>
        <v>DRC2019</v>
      </c>
      <c r="D582">
        <v>3.4155919498827913E-14</v>
      </c>
      <c r="E582">
        <v>0.15350026224776869</v>
      </c>
      <c r="F582">
        <v>1.4193716277548789</v>
      </c>
      <c r="G582">
        <v>28.627335397560671</v>
      </c>
      <c r="H582">
        <v>1.172571245234302</v>
      </c>
      <c r="I582">
        <v>0.39737012981632241</v>
      </c>
      <c r="J582">
        <v>-4.3905556300325888E-2</v>
      </c>
      <c r="K582">
        <v>0.15051300739211351</v>
      </c>
      <c r="L582">
        <v>0.46392057660604291</v>
      </c>
      <c r="M582">
        <v>14</v>
      </c>
      <c r="N582">
        <v>0</v>
      </c>
      <c r="O582">
        <v>1</v>
      </c>
      <c r="P582">
        <v>0.56610000000000005</v>
      </c>
      <c r="Q582">
        <v>3.8999999999999998E-3</v>
      </c>
      <c r="R582">
        <v>6.0999999999999999E-2</v>
      </c>
      <c r="S582">
        <v>0.50509999999999999</v>
      </c>
      <c r="T582">
        <v>0.56610000000000005</v>
      </c>
      <c r="U582">
        <v>7</v>
      </c>
      <c r="V582">
        <v>0</v>
      </c>
      <c r="W582">
        <v>0</v>
      </c>
      <c r="X582">
        <v>0</v>
      </c>
      <c r="Y582">
        <v>0.48170000000000002</v>
      </c>
      <c r="Z582">
        <v>1</v>
      </c>
    </row>
    <row r="583" spans="1:26" x14ac:dyDescent="0.2">
      <c r="A583" t="s">
        <v>50</v>
      </c>
      <c r="B583">
        <v>2020</v>
      </c>
      <c r="C583" t="str">
        <f t="shared" si="9"/>
        <v>DRC2020</v>
      </c>
      <c r="D583">
        <v>4.3382132605325317E-14</v>
      </c>
      <c r="E583">
        <v>0.1519100774623352</v>
      </c>
      <c r="F583">
        <v>1.42744617207056</v>
      </c>
      <c r="G583">
        <v>28.519204330406762</v>
      </c>
      <c r="H583">
        <v>1.4854393637718319</v>
      </c>
      <c r="I583">
        <v>0.30584352143012039</v>
      </c>
      <c r="J583">
        <v>-0.10249004535424321</v>
      </c>
      <c r="K583">
        <v>0.35243683683279459</v>
      </c>
      <c r="L583">
        <v>0.43618670741173943</v>
      </c>
      <c r="M583">
        <v>15</v>
      </c>
      <c r="N583">
        <v>0</v>
      </c>
      <c r="O583">
        <v>1</v>
      </c>
      <c r="P583">
        <v>0.5554</v>
      </c>
      <c r="Q583">
        <v>2E-3</v>
      </c>
      <c r="R583">
        <v>5.0299999999999997E-2</v>
      </c>
      <c r="S583">
        <v>0.50509999999999999</v>
      </c>
      <c r="T583">
        <v>0.5554</v>
      </c>
      <c r="U583">
        <v>7</v>
      </c>
      <c r="V583">
        <v>0</v>
      </c>
      <c r="W583">
        <v>0.14285714285714279</v>
      </c>
      <c r="X583">
        <v>0</v>
      </c>
      <c r="Y583">
        <v>0.47229999999999989</v>
      </c>
      <c r="Z583">
        <v>1</v>
      </c>
    </row>
    <row r="584" spans="1:26" x14ac:dyDescent="0.2">
      <c r="A584" t="s">
        <v>50</v>
      </c>
      <c r="B584">
        <v>2021</v>
      </c>
      <c r="C584" t="str">
        <f t="shared" si="9"/>
        <v>DRC2021</v>
      </c>
      <c r="D584">
        <v>2.9573335873218762E-14</v>
      </c>
      <c r="E584">
        <v>0.16394571072178329</v>
      </c>
      <c r="F584">
        <v>1.6711371977656351</v>
      </c>
      <c r="G584">
        <v>28.773951069092259</v>
      </c>
      <c r="H584">
        <v>1.7670936530078969</v>
      </c>
      <c r="I584">
        <v>0.43432312012871149</v>
      </c>
      <c r="J584">
        <v>0.29013483824891528</v>
      </c>
      <c r="K584">
        <v>-1.938548230151629E-2</v>
      </c>
      <c r="L584">
        <v>0.31026206257163319</v>
      </c>
      <c r="M584">
        <v>16</v>
      </c>
      <c r="N584">
        <v>0</v>
      </c>
      <c r="O584">
        <v>0</v>
      </c>
      <c r="P584">
        <v>0.50509999999999999</v>
      </c>
      <c r="Q584">
        <v>0.50770000000000004</v>
      </c>
      <c r="R584">
        <v>0</v>
      </c>
      <c r="S584">
        <v>0.50509999999999999</v>
      </c>
      <c r="T584">
        <v>0.50509999999999999</v>
      </c>
      <c r="U584">
        <v>7</v>
      </c>
      <c r="V584">
        <v>0</v>
      </c>
      <c r="W584">
        <v>0.14285714285714279</v>
      </c>
      <c r="X584">
        <v>1</v>
      </c>
      <c r="Y584">
        <v>0.47</v>
      </c>
      <c r="Z584">
        <v>1</v>
      </c>
    </row>
    <row r="585" spans="1:26" x14ac:dyDescent="0.2">
      <c r="A585" t="s">
        <v>50</v>
      </c>
      <c r="B585">
        <v>2022</v>
      </c>
      <c r="C585" t="str">
        <f t="shared" si="9"/>
        <v>DRC2022</v>
      </c>
      <c r="D585">
        <v>2.6297021917051631E-14</v>
      </c>
      <c r="E585">
        <v>0.1608496394426969</v>
      </c>
      <c r="F585">
        <v>1.1572253888795561</v>
      </c>
      <c r="G585">
        <v>28.86001782774181</v>
      </c>
      <c r="H585">
        <v>1.5545634469464871</v>
      </c>
      <c r="I585">
        <v>0.44123014701456031</v>
      </c>
      <c r="J585">
        <v>8.9879084732418679E-2</v>
      </c>
      <c r="K585">
        <v>1.494105742720811E-2</v>
      </c>
      <c r="L585">
        <v>0.26629394763316372</v>
      </c>
      <c r="M585">
        <v>17</v>
      </c>
      <c r="N585">
        <v>0</v>
      </c>
      <c r="O585">
        <v>0</v>
      </c>
      <c r="P585">
        <v>0.50509999999999999</v>
      </c>
      <c r="Q585">
        <v>5.7999999999999996E-3</v>
      </c>
      <c r="R585">
        <v>0</v>
      </c>
      <c r="S585">
        <v>0.50509999999999999</v>
      </c>
      <c r="T585">
        <v>0.50509999999999999</v>
      </c>
      <c r="U585">
        <v>7</v>
      </c>
      <c r="V585">
        <v>0</v>
      </c>
      <c r="W585">
        <v>0.14285714285714279</v>
      </c>
      <c r="X585">
        <v>1</v>
      </c>
      <c r="Y585">
        <v>0.48080000000000001</v>
      </c>
      <c r="Z585">
        <v>1</v>
      </c>
    </row>
    <row r="586" spans="1:26" x14ac:dyDescent="0.2">
      <c r="A586" t="s">
        <v>50</v>
      </c>
      <c r="B586">
        <v>2023</v>
      </c>
      <c r="C586" t="str">
        <f t="shared" si="9"/>
        <v>DRC2023</v>
      </c>
      <c r="D586">
        <v>-2500894377274.1548</v>
      </c>
      <c r="E586">
        <v>8.8146147386524334E-2</v>
      </c>
      <c r="F586">
        <v>1.0858690096228361</v>
      </c>
      <c r="G586">
        <v>28.850179148365399</v>
      </c>
      <c r="H586">
        <v>1.630749940427427</v>
      </c>
      <c r="I586">
        <v>0.17425076380588461</v>
      </c>
      <c r="J586">
        <v>-9.7904379108820772E-3</v>
      </c>
      <c r="K586">
        <v>0.17922421304850031</v>
      </c>
      <c r="L586">
        <v>0.30836331348175189</v>
      </c>
      <c r="M586">
        <v>18</v>
      </c>
      <c r="N586">
        <v>0</v>
      </c>
      <c r="O586">
        <v>0</v>
      </c>
      <c r="P586">
        <v>0.50509999999999999</v>
      </c>
      <c r="Q586">
        <v>5.7999999999999996E-3</v>
      </c>
      <c r="R586">
        <v>0</v>
      </c>
      <c r="S586">
        <v>0.50509999999999999</v>
      </c>
      <c r="T586">
        <v>0.50509999999999999</v>
      </c>
      <c r="U586">
        <v>7</v>
      </c>
      <c r="V586">
        <v>0</v>
      </c>
      <c r="W586">
        <v>0.14285714285714279</v>
      </c>
      <c r="X586">
        <v>1</v>
      </c>
      <c r="Y586">
        <v>0.48080000000000001</v>
      </c>
      <c r="Z586">
        <v>1</v>
      </c>
    </row>
    <row r="587" spans="1:26" x14ac:dyDescent="0.2">
      <c r="A587" t="s">
        <v>51</v>
      </c>
      <c r="B587">
        <v>2012</v>
      </c>
      <c r="C587" t="str">
        <f t="shared" si="9"/>
        <v>DTC2012</v>
      </c>
      <c r="D587">
        <v>-1.196566393828753E-12</v>
      </c>
      <c r="E587">
        <v>5.2785859104851758</v>
      </c>
      <c r="F587">
        <v>1.1144016489788111</v>
      </c>
      <c r="G587">
        <v>26.204318051055338</v>
      </c>
      <c r="H587">
        <v>0.35738822162008582</v>
      </c>
      <c r="I587">
        <v>1</v>
      </c>
      <c r="J587">
        <v>2.3454917622607759E-2</v>
      </c>
      <c r="K587">
        <v>-7.1535257115939638E-2</v>
      </c>
      <c r="L587">
        <v>0.75721202211349126</v>
      </c>
      <c r="M587">
        <v>8</v>
      </c>
      <c r="N587">
        <v>0</v>
      </c>
      <c r="O587">
        <v>0</v>
      </c>
      <c r="P587">
        <v>0.67489999999999994</v>
      </c>
      <c r="Q587">
        <v>0</v>
      </c>
      <c r="R587">
        <v>0</v>
      </c>
      <c r="S587">
        <v>0.67489999999999994</v>
      </c>
      <c r="T587">
        <v>0.67489999999999994</v>
      </c>
      <c r="U587">
        <v>4</v>
      </c>
      <c r="V587">
        <v>0</v>
      </c>
      <c r="W587">
        <v>0.25</v>
      </c>
      <c r="X587">
        <v>0</v>
      </c>
      <c r="Y587">
        <v>0.43830000000000002</v>
      </c>
      <c r="Z587">
        <v>1</v>
      </c>
    </row>
    <row r="588" spans="1:26" x14ac:dyDescent="0.2">
      <c r="A588" t="s">
        <v>51</v>
      </c>
      <c r="B588">
        <v>2013</v>
      </c>
      <c r="C588" t="str">
        <f t="shared" si="9"/>
        <v>DTC2013</v>
      </c>
      <c r="D588">
        <v>-3.4599738694341029E-13</v>
      </c>
      <c r="E588">
        <v>0.62936140628523995</v>
      </c>
      <c r="F588">
        <v>1.2969146005038359</v>
      </c>
      <c r="G588">
        <v>26.204744949005988</v>
      </c>
      <c r="H588">
        <v>0.30575191550914482</v>
      </c>
      <c r="I588">
        <v>1</v>
      </c>
      <c r="J588">
        <v>0</v>
      </c>
      <c r="K588">
        <v>-2.9210582077158751E-3</v>
      </c>
      <c r="L588">
        <v>0.9004587068360751</v>
      </c>
      <c r="M588">
        <v>9</v>
      </c>
      <c r="N588">
        <v>0</v>
      </c>
      <c r="O588">
        <v>0</v>
      </c>
      <c r="P588">
        <v>0.67489999999999994</v>
      </c>
      <c r="Q588">
        <v>0.1668</v>
      </c>
      <c r="R588">
        <v>0</v>
      </c>
      <c r="S588">
        <v>0.67489999999999994</v>
      </c>
      <c r="T588">
        <v>0.67489999999999994</v>
      </c>
      <c r="U588">
        <v>5</v>
      </c>
      <c r="V588">
        <v>0</v>
      </c>
      <c r="W588">
        <v>0</v>
      </c>
      <c r="X588">
        <v>0</v>
      </c>
      <c r="Y588">
        <v>0.41830000000000001</v>
      </c>
      <c r="Z588">
        <v>1</v>
      </c>
    </row>
    <row r="589" spans="1:26" x14ac:dyDescent="0.2">
      <c r="A589" t="s">
        <v>51</v>
      </c>
      <c r="B589">
        <v>2014</v>
      </c>
      <c r="C589" t="str">
        <f t="shared" si="9"/>
        <v>DTC2014</v>
      </c>
      <c r="D589">
        <v>3.5975638510099133E-15</v>
      </c>
      <c r="E589">
        <v>-4.7925623835702548E-3</v>
      </c>
      <c r="F589">
        <v>1.2754631285935369</v>
      </c>
      <c r="G589">
        <v>26.164236143271829</v>
      </c>
      <c r="H589" t="e">
        <v>#N/A</v>
      </c>
      <c r="I589">
        <v>1</v>
      </c>
      <c r="J589">
        <v>-3.9289253758235443E-2</v>
      </c>
      <c r="K589">
        <v>5.8646634359195433E-2</v>
      </c>
      <c r="L589">
        <v>0.71797440742766938</v>
      </c>
      <c r="M589">
        <v>10</v>
      </c>
      <c r="N589">
        <v>0</v>
      </c>
      <c r="O589">
        <v>0</v>
      </c>
      <c r="P589">
        <v>0.67489999999999994</v>
      </c>
      <c r="Q589">
        <v>5.6300000000000003E-2</v>
      </c>
      <c r="R589">
        <v>0</v>
      </c>
      <c r="S589">
        <v>0.67489999999999994</v>
      </c>
      <c r="T589">
        <v>0.67489999999999994</v>
      </c>
      <c r="U589">
        <v>5</v>
      </c>
      <c r="V589">
        <v>0</v>
      </c>
      <c r="W589">
        <v>0</v>
      </c>
      <c r="X589">
        <v>0</v>
      </c>
      <c r="Y589">
        <v>0.41860000000000003</v>
      </c>
      <c r="Z589">
        <v>1</v>
      </c>
    </row>
    <row r="590" spans="1:26" x14ac:dyDescent="0.2">
      <c r="A590" t="s">
        <v>51</v>
      </c>
      <c r="B590">
        <v>2015</v>
      </c>
      <c r="C590" t="str">
        <f t="shared" si="9"/>
        <v>DTC2015</v>
      </c>
      <c r="D590">
        <v>1.108154745271499E-13</v>
      </c>
      <c r="E590">
        <v>-0.18071071360051119</v>
      </c>
      <c r="F590">
        <v>1.261305196425063</v>
      </c>
      <c r="G590">
        <v>26.173065201927059</v>
      </c>
      <c r="H590">
        <v>0.3498252048876988</v>
      </c>
      <c r="I590">
        <v>1</v>
      </c>
      <c r="J590">
        <v>8.8681497547802302E-3</v>
      </c>
      <c r="K590">
        <v>0.10461863840821729</v>
      </c>
      <c r="L590">
        <v>0.69333715997145418</v>
      </c>
      <c r="M590">
        <v>11</v>
      </c>
      <c r="N590">
        <v>0</v>
      </c>
      <c r="O590">
        <v>0</v>
      </c>
      <c r="P590">
        <v>0.72429999999999994</v>
      </c>
      <c r="Q590">
        <v>5.6300000000000003E-2</v>
      </c>
      <c r="R590">
        <v>0</v>
      </c>
      <c r="S590">
        <v>0</v>
      </c>
      <c r="T590">
        <v>0.67330000000000001</v>
      </c>
      <c r="U590">
        <v>5</v>
      </c>
      <c r="V590">
        <v>0</v>
      </c>
      <c r="W590">
        <v>0</v>
      </c>
      <c r="X590">
        <v>0</v>
      </c>
      <c r="Y590">
        <v>0.42859999999999998</v>
      </c>
      <c r="Z590">
        <v>1</v>
      </c>
    </row>
    <row r="591" spans="1:26" x14ac:dyDescent="0.2">
      <c r="A591" t="s">
        <v>51</v>
      </c>
      <c r="B591">
        <v>2016</v>
      </c>
      <c r="C591" t="str">
        <f t="shared" si="9"/>
        <v>DTC2016</v>
      </c>
      <c r="D591">
        <v>2.4487631906918681E-13</v>
      </c>
      <c r="E591">
        <v>-0.65560763082985996</v>
      </c>
      <c r="F591">
        <v>1.2626177377226671</v>
      </c>
      <c r="G591">
        <v>26.168870239131319</v>
      </c>
      <c r="H591">
        <v>0.35698484638979722</v>
      </c>
      <c r="I591">
        <v>1</v>
      </c>
      <c r="J591">
        <v>-4.1861762300471339E-3</v>
      </c>
      <c r="K591">
        <v>1.059466568741931E-2</v>
      </c>
      <c r="L591">
        <v>0.68556374950473165</v>
      </c>
      <c r="M591">
        <v>12</v>
      </c>
      <c r="N591">
        <v>0</v>
      </c>
      <c r="O591">
        <v>0</v>
      </c>
      <c r="P591">
        <v>0.72429999999999994</v>
      </c>
      <c r="Q591">
        <v>5.1999999999999998E-3</v>
      </c>
      <c r="R591">
        <v>0</v>
      </c>
      <c r="S591">
        <v>0</v>
      </c>
      <c r="T591">
        <v>0.67330000000000001</v>
      </c>
      <c r="U591">
        <v>5</v>
      </c>
      <c r="V591">
        <v>0</v>
      </c>
      <c r="W591">
        <v>0</v>
      </c>
      <c r="X591">
        <v>0</v>
      </c>
      <c r="Y591">
        <v>0.44879999999999998</v>
      </c>
      <c r="Z591">
        <v>1</v>
      </c>
    </row>
    <row r="592" spans="1:26" x14ac:dyDescent="0.2">
      <c r="A592" t="s">
        <v>51</v>
      </c>
      <c r="B592">
        <v>2017</v>
      </c>
      <c r="C592" t="str">
        <f t="shared" si="9"/>
        <v>DTC2017</v>
      </c>
      <c r="D592">
        <v>3.31035034291321E-13</v>
      </c>
      <c r="E592">
        <v>0.35955550173207568</v>
      </c>
      <c r="F592">
        <v>1.299499837220959</v>
      </c>
      <c r="G592">
        <v>26.283414353620199</v>
      </c>
      <c r="H592">
        <v>0.35136509330220539</v>
      </c>
      <c r="I592">
        <v>0.76075116065887205</v>
      </c>
      <c r="J592">
        <v>0.12136210828909939</v>
      </c>
      <c r="K592">
        <v>2.4537409177692499E-2</v>
      </c>
      <c r="L592">
        <v>0.64102253418358712</v>
      </c>
      <c r="M592">
        <v>13</v>
      </c>
      <c r="N592">
        <v>0</v>
      </c>
      <c r="O592">
        <v>0</v>
      </c>
      <c r="P592">
        <v>0.72080000000000011</v>
      </c>
      <c r="Q592">
        <v>6.6799999999999998E-2</v>
      </c>
      <c r="R592">
        <v>0</v>
      </c>
      <c r="S592">
        <v>0</v>
      </c>
      <c r="T592">
        <v>0.4</v>
      </c>
      <c r="U592">
        <v>5</v>
      </c>
      <c r="V592">
        <v>0</v>
      </c>
      <c r="W592">
        <v>0</v>
      </c>
      <c r="X592">
        <v>0</v>
      </c>
      <c r="Y592">
        <v>0.44</v>
      </c>
      <c r="Z592">
        <v>1</v>
      </c>
    </row>
    <row r="593" spans="1:26" x14ac:dyDescent="0.2">
      <c r="A593" t="s">
        <v>51</v>
      </c>
      <c r="B593">
        <v>2018</v>
      </c>
      <c r="C593" t="str">
        <f t="shared" si="9"/>
        <v>DTC2018</v>
      </c>
      <c r="D593">
        <v>1.8615302353396259E-13</v>
      </c>
      <c r="E593">
        <v>0.19977910189593071</v>
      </c>
      <c r="F593">
        <v>1.2227037502614959</v>
      </c>
      <c r="G593">
        <v>26.38884752971483</v>
      </c>
      <c r="H593">
        <v>0.63015819865375633</v>
      </c>
      <c r="I593">
        <v>0.73093890580354193</v>
      </c>
      <c r="J593">
        <v>0.11119184786292791</v>
      </c>
      <c r="K593">
        <v>3.5447890082964638E-2</v>
      </c>
      <c r="L593">
        <v>0.5670868844033321</v>
      </c>
      <c r="M593">
        <v>14</v>
      </c>
      <c r="N593">
        <v>0</v>
      </c>
      <c r="O593">
        <v>0</v>
      </c>
      <c r="P593">
        <v>0.7208</v>
      </c>
      <c r="Q593">
        <v>6.6799999999999998E-2</v>
      </c>
      <c r="R593">
        <v>0</v>
      </c>
      <c r="S593">
        <v>0</v>
      </c>
      <c r="T593">
        <v>0.4</v>
      </c>
      <c r="U593">
        <v>5</v>
      </c>
      <c r="V593">
        <v>0</v>
      </c>
      <c r="W593">
        <v>0</v>
      </c>
      <c r="X593">
        <v>0</v>
      </c>
      <c r="Y593">
        <v>0.45</v>
      </c>
      <c r="Z593">
        <v>1</v>
      </c>
    </row>
    <row r="594" spans="1:26" x14ac:dyDescent="0.2">
      <c r="A594" t="s">
        <v>51</v>
      </c>
      <c r="B594">
        <v>2019</v>
      </c>
      <c r="C594" t="str">
        <f t="shared" si="9"/>
        <v>DTC2019</v>
      </c>
      <c r="D594">
        <v>9.305305879020006E-14</v>
      </c>
      <c r="E594">
        <v>0.13818434330825741</v>
      </c>
      <c r="F594">
        <v>1.0351191260168799</v>
      </c>
      <c r="G594">
        <v>26.625592241353718</v>
      </c>
      <c r="H594">
        <v>0.81568507634426768</v>
      </c>
      <c r="I594">
        <v>0.75361197154020521</v>
      </c>
      <c r="J594">
        <v>0.26711759610693919</v>
      </c>
      <c r="K594">
        <v>6.8072554168927056E-4</v>
      </c>
      <c r="L594">
        <v>0.57340227270021449</v>
      </c>
      <c r="M594">
        <v>15</v>
      </c>
      <c r="N594">
        <v>0</v>
      </c>
      <c r="O594">
        <v>1</v>
      </c>
      <c r="P594">
        <v>0.7208</v>
      </c>
      <c r="Q594">
        <v>6.6799999999999998E-2</v>
      </c>
      <c r="R594">
        <v>0</v>
      </c>
      <c r="S594">
        <v>0</v>
      </c>
      <c r="T594">
        <v>0.4</v>
      </c>
      <c r="U594">
        <v>5</v>
      </c>
      <c r="V594">
        <v>0</v>
      </c>
      <c r="W594">
        <v>0</v>
      </c>
      <c r="X594">
        <v>0</v>
      </c>
      <c r="Y594">
        <v>0.46</v>
      </c>
      <c r="Z594">
        <v>1</v>
      </c>
    </row>
    <row r="595" spans="1:26" x14ac:dyDescent="0.2">
      <c r="A595" t="s">
        <v>51</v>
      </c>
      <c r="B595">
        <v>2020</v>
      </c>
      <c r="C595" t="str">
        <f t="shared" si="9"/>
        <v>DTC2020</v>
      </c>
      <c r="D595">
        <v>1.2383892735191219E-13</v>
      </c>
      <c r="E595">
        <v>0.1568301101124748</v>
      </c>
      <c r="F595">
        <v>1.0491389034968519</v>
      </c>
      <c r="G595">
        <v>26.631266952085859</v>
      </c>
      <c r="H595">
        <v>0.90805574967319347</v>
      </c>
      <c r="I595">
        <v>0.70943719616768353</v>
      </c>
      <c r="J595">
        <v>5.6908424028461191E-3</v>
      </c>
      <c r="K595">
        <v>9.4860153275407744E-3</v>
      </c>
      <c r="L595">
        <v>0.51864127145795835</v>
      </c>
      <c r="M595">
        <v>16</v>
      </c>
      <c r="N595">
        <v>0</v>
      </c>
      <c r="O595">
        <v>1</v>
      </c>
      <c r="P595">
        <v>0.7208</v>
      </c>
      <c r="Q595">
        <v>6.6799999999999998E-2</v>
      </c>
      <c r="R595">
        <v>0</v>
      </c>
      <c r="S595">
        <v>0</v>
      </c>
      <c r="T595">
        <v>0.4</v>
      </c>
      <c r="U595">
        <v>5</v>
      </c>
      <c r="V595">
        <v>0</v>
      </c>
      <c r="W595">
        <v>0</v>
      </c>
      <c r="X595">
        <v>0</v>
      </c>
      <c r="Y595">
        <v>0.47</v>
      </c>
      <c r="Z595">
        <v>1</v>
      </c>
    </row>
    <row r="596" spans="1:26" x14ac:dyDescent="0.2">
      <c r="A596" t="s">
        <v>51</v>
      </c>
      <c r="B596">
        <v>2021</v>
      </c>
      <c r="C596" t="str">
        <f t="shared" si="9"/>
        <v>DTC2021</v>
      </c>
      <c r="D596">
        <v>3.4096508663053752E-14</v>
      </c>
      <c r="E596">
        <v>3.4240865216490397E-2</v>
      </c>
      <c r="F596">
        <v>1.070258771391291</v>
      </c>
      <c r="G596">
        <v>26.507031860120129</v>
      </c>
      <c r="H596">
        <v>1.0108313905990549</v>
      </c>
      <c r="I596">
        <v>0.6763893172498664</v>
      </c>
      <c r="J596">
        <v>-0.11682781021102701</v>
      </c>
      <c r="K596">
        <v>8.1887046117553611E-2</v>
      </c>
      <c r="L596">
        <v>0.51903438046611461</v>
      </c>
      <c r="M596">
        <v>17</v>
      </c>
      <c r="N596">
        <v>0</v>
      </c>
      <c r="O596">
        <v>0</v>
      </c>
      <c r="P596">
        <v>0.7208</v>
      </c>
      <c r="Q596">
        <v>6.6699999999999995E-2</v>
      </c>
      <c r="R596">
        <v>0</v>
      </c>
      <c r="S596">
        <v>0</v>
      </c>
      <c r="T596">
        <v>0.4</v>
      </c>
      <c r="U596">
        <v>5</v>
      </c>
      <c r="V596">
        <v>0</v>
      </c>
      <c r="W596">
        <v>0</v>
      </c>
      <c r="X596">
        <v>0</v>
      </c>
      <c r="Y596">
        <v>0.48</v>
      </c>
      <c r="Z596">
        <v>1</v>
      </c>
    </row>
    <row r="597" spans="1:26" x14ac:dyDescent="0.2">
      <c r="A597" t="s">
        <v>51</v>
      </c>
      <c r="B597">
        <v>2022</v>
      </c>
      <c r="C597" t="str">
        <f t="shared" si="9"/>
        <v>DTC2022</v>
      </c>
      <c r="D597">
        <v>-7.3397039091391951E-14</v>
      </c>
      <c r="E597">
        <v>-8.3822952897657801E-2</v>
      </c>
      <c r="F597">
        <v>0.87211490253757351</v>
      </c>
      <c r="G597">
        <v>26.51452547107457</v>
      </c>
      <c r="H597">
        <v>1.2112772820047699</v>
      </c>
      <c r="I597">
        <v>0.71330000407670546</v>
      </c>
      <c r="J597">
        <v>7.521758321558103E-3</v>
      </c>
      <c r="K597">
        <v>-7.4293990463340037E-2</v>
      </c>
      <c r="L597">
        <v>0.45031044916957508</v>
      </c>
      <c r="M597">
        <v>18</v>
      </c>
      <c r="N597">
        <v>0</v>
      </c>
      <c r="O597">
        <v>0</v>
      </c>
      <c r="P597">
        <v>0.7208</v>
      </c>
      <c r="Q597">
        <v>6.4600000000000005E-2</v>
      </c>
      <c r="R597">
        <v>0</v>
      </c>
      <c r="S597">
        <v>0</v>
      </c>
      <c r="T597">
        <v>0.4</v>
      </c>
      <c r="U597">
        <v>7</v>
      </c>
      <c r="V597">
        <v>0</v>
      </c>
      <c r="W597">
        <v>0</v>
      </c>
      <c r="X597">
        <v>0</v>
      </c>
      <c r="Y597">
        <v>0.43269999999999997</v>
      </c>
      <c r="Z597">
        <v>1</v>
      </c>
    </row>
    <row r="598" spans="1:26" x14ac:dyDescent="0.2">
      <c r="A598" t="s">
        <v>51</v>
      </c>
      <c r="B598">
        <v>2023</v>
      </c>
      <c r="C598" t="str">
        <f t="shared" si="9"/>
        <v>DTC2023</v>
      </c>
      <c r="D598">
        <v>2946491479822.729</v>
      </c>
      <c r="E598">
        <v>-0.43857563505176328</v>
      </c>
      <c r="F598">
        <v>0.79226101750174804</v>
      </c>
      <c r="G598">
        <v>26.29154036380498</v>
      </c>
      <c r="H598">
        <v>1.1045414874327939</v>
      </c>
      <c r="I598">
        <v>0.62049327295673495</v>
      </c>
      <c r="J598">
        <v>-0.19987323472196569</v>
      </c>
      <c r="K598">
        <v>0.1249129197630011</v>
      </c>
      <c r="L598">
        <v>0.48012054727248149</v>
      </c>
      <c r="M598">
        <v>19</v>
      </c>
      <c r="N598">
        <v>0</v>
      </c>
      <c r="O598">
        <v>0</v>
      </c>
      <c r="P598">
        <v>0.7208</v>
      </c>
      <c r="Q598">
        <v>6.4600000000000005E-2</v>
      </c>
      <c r="R598">
        <v>0</v>
      </c>
      <c r="S598">
        <v>0</v>
      </c>
      <c r="T598">
        <v>0.4</v>
      </c>
      <c r="U598">
        <v>7</v>
      </c>
      <c r="V598">
        <v>0</v>
      </c>
      <c r="W598">
        <v>0</v>
      </c>
      <c r="X598">
        <v>0</v>
      </c>
      <c r="Y598">
        <v>0.43269999999999997</v>
      </c>
      <c r="Z598">
        <v>1</v>
      </c>
    </row>
    <row r="599" spans="1:26" x14ac:dyDescent="0.2">
      <c r="A599" t="s">
        <v>52</v>
      </c>
      <c r="B599">
        <v>2021</v>
      </c>
      <c r="C599" t="str">
        <f t="shared" si="9"/>
        <v>DTG2021</v>
      </c>
      <c r="D599">
        <v>1.667491177254072E-14</v>
      </c>
      <c r="E599">
        <v>7.8312835950834492E-3</v>
      </c>
      <c r="F599">
        <v>0.92980703118618147</v>
      </c>
      <c r="G599">
        <v>26.18267434205093</v>
      </c>
      <c r="H599" t="e">
        <v>#N/A</v>
      </c>
      <c r="I599">
        <v>0.49971027712309801</v>
      </c>
      <c r="J599">
        <v>0</v>
      </c>
      <c r="K599">
        <v>3.70583620547651E-2</v>
      </c>
      <c r="L599">
        <v>0.40920276151377222</v>
      </c>
      <c r="M599">
        <v>29</v>
      </c>
      <c r="N599">
        <v>1</v>
      </c>
      <c r="O599">
        <v>0</v>
      </c>
      <c r="P599">
        <v>0.82990000000000008</v>
      </c>
      <c r="Q599">
        <v>0.35649999999999998</v>
      </c>
      <c r="R599">
        <v>0</v>
      </c>
      <c r="S599">
        <v>0</v>
      </c>
      <c r="T599">
        <v>0.51340000000000008</v>
      </c>
      <c r="U599">
        <v>6</v>
      </c>
      <c r="V599">
        <v>0</v>
      </c>
      <c r="W599">
        <v>0.33333333333333331</v>
      </c>
      <c r="X599">
        <v>1</v>
      </c>
      <c r="Y599">
        <v>0.50380000000000003</v>
      </c>
      <c r="Z599">
        <v>0.83333333333333337</v>
      </c>
    </row>
    <row r="600" spans="1:26" x14ac:dyDescent="0.2">
      <c r="A600" t="s">
        <v>52</v>
      </c>
      <c r="B600">
        <v>2022</v>
      </c>
      <c r="C600" t="str">
        <f t="shared" si="9"/>
        <v>DTG2022</v>
      </c>
      <c r="D600">
        <v>2.6263805568004678E-13</v>
      </c>
      <c r="E600">
        <v>0.13393965833079699</v>
      </c>
      <c r="F600">
        <v>1.0489998317636</v>
      </c>
      <c r="G600">
        <v>26.295089089936081</v>
      </c>
      <c r="H600">
        <v>1.149952857548771</v>
      </c>
      <c r="I600">
        <v>0.48446214433811441</v>
      </c>
      <c r="J600">
        <v>0.1189768577027626</v>
      </c>
      <c r="K600">
        <v>5.3106535597504938E-2</v>
      </c>
      <c r="L600">
        <v>0.34842270615638687</v>
      </c>
      <c r="M600">
        <v>30</v>
      </c>
      <c r="N600">
        <v>1</v>
      </c>
      <c r="O600">
        <v>0</v>
      </c>
      <c r="P600">
        <v>0.7752</v>
      </c>
      <c r="Q600">
        <v>0.52600000000000002</v>
      </c>
      <c r="R600">
        <v>0</v>
      </c>
      <c r="S600">
        <v>0</v>
      </c>
      <c r="T600">
        <v>0.21010000000000001</v>
      </c>
      <c r="U600">
        <v>7</v>
      </c>
      <c r="V600">
        <v>0</v>
      </c>
      <c r="W600">
        <v>0.42857142857142849</v>
      </c>
      <c r="X600">
        <v>1</v>
      </c>
      <c r="Y600">
        <v>0.42599999999999999</v>
      </c>
      <c r="Z600">
        <v>1</v>
      </c>
    </row>
    <row r="601" spans="1:26" x14ac:dyDescent="0.2">
      <c r="A601" t="s">
        <v>52</v>
      </c>
      <c r="B601">
        <v>2023</v>
      </c>
      <c r="C601" t="str">
        <f t="shared" si="9"/>
        <v>DTG2023</v>
      </c>
      <c r="D601">
        <v>184471381702.9754</v>
      </c>
      <c r="E601">
        <v>0.14861521210195591</v>
      </c>
      <c r="F601">
        <v>0.95532288479202843</v>
      </c>
      <c r="G601">
        <v>26.44875222550672</v>
      </c>
      <c r="H601">
        <v>1.3056287111211049</v>
      </c>
      <c r="I601">
        <v>0.32751437865760619</v>
      </c>
      <c r="J601">
        <v>0.1660980036693995</v>
      </c>
      <c r="K601">
        <v>-2.2520085789707479E-2</v>
      </c>
      <c r="L601">
        <v>0.31783684776985338</v>
      </c>
      <c r="M601">
        <v>31</v>
      </c>
      <c r="N601">
        <v>0</v>
      </c>
      <c r="O601">
        <v>0</v>
      </c>
      <c r="P601">
        <v>0.7752</v>
      </c>
      <c r="Q601">
        <v>0.52600000000000002</v>
      </c>
      <c r="R601">
        <v>0</v>
      </c>
      <c r="S601">
        <v>0</v>
      </c>
      <c r="T601">
        <v>0.21010000000000001</v>
      </c>
      <c r="U601">
        <v>7</v>
      </c>
      <c r="V601">
        <v>0</v>
      </c>
      <c r="W601">
        <v>0.42857142857142849</v>
      </c>
      <c r="X601">
        <v>1</v>
      </c>
      <c r="Y601">
        <v>0.42599999999999999</v>
      </c>
      <c r="Z601">
        <v>1</v>
      </c>
    </row>
    <row r="602" spans="1:26" x14ac:dyDescent="0.2">
      <c r="A602" t="s">
        <v>53</v>
      </c>
      <c r="B602">
        <v>2012</v>
      </c>
      <c r="C602" t="str">
        <f t="shared" si="9"/>
        <v>DTL2012</v>
      </c>
      <c r="D602">
        <v>3.6052774714725869E-15</v>
      </c>
      <c r="E602">
        <v>1.8192829700983851E-2</v>
      </c>
      <c r="F602">
        <v>0.93253932419993546</v>
      </c>
      <c r="G602">
        <v>28.279367803120071</v>
      </c>
      <c r="H602">
        <v>1.295423445111294</v>
      </c>
      <c r="I602">
        <v>0.62102389391091295</v>
      </c>
      <c r="J602">
        <v>5.7147094209567761E-2</v>
      </c>
      <c r="K602">
        <v>0.104486002483625</v>
      </c>
      <c r="L602">
        <v>0.4111489932542064</v>
      </c>
      <c r="M602">
        <v>11</v>
      </c>
      <c r="N602">
        <v>0</v>
      </c>
      <c r="O602">
        <v>0</v>
      </c>
      <c r="P602">
        <v>0.76060000000000005</v>
      </c>
      <c r="Q602">
        <v>0.53739999999999999</v>
      </c>
      <c r="R602">
        <v>0</v>
      </c>
      <c r="S602">
        <v>0</v>
      </c>
      <c r="T602">
        <v>0.11260000000000001</v>
      </c>
      <c r="U602">
        <v>5</v>
      </c>
      <c r="V602">
        <v>1</v>
      </c>
      <c r="W602">
        <v>0.6</v>
      </c>
      <c r="X602">
        <v>1</v>
      </c>
      <c r="Y602">
        <v>0.35780000000000001</v>
      </c>
      <c r="Z602">
        <v>1</v>
      </c>
    </row>
    <row r="603" spans="1:26" x14ac:dyDescent="0.2">
      <c r="A603" t="s">
        <v>53</v>
      </c>
      <c r="B603">
        <v>2013</v>
      </c>
      <c r="C603" t="str">
        <f t="shared" si="9"/>
        <v>DTL2013</v>
      </c>
      <c r="D603">
        <v>3.6163895096665332E-15</v>
      </c>
      <c r="E603">
        <v>2.5289162733400299E-2</v>
      </c>
      <c r="F603">
        <v>0.9170175416140377</v>
      </c>
      <c r="G603">
        <v>28.454686159348299</v>
      </c>
      <c r="H603">
        <v>1.0730322223279409</v>
      </c>
      <c r="I603">
        <v>0.67412283235328774</v>
      </c>
      <c r="J603">
        <v>0.19162551763797819</v>
      </c>
      <c r="K603">
        <v>-1.3911549686928121E-2</v>
      </c>
      <c r="L603">
        <v>0.38502714794382847</v>
      </c>
      <c r="M603">
        <v>12</v>
      </c>
      <c r="N603">
        <v>0</v>
      </c>
      <c r="O603">
        <v>0</v>
      </c>
      <c r="P603">
        <v>0.83129999999999993</v>
      </c>
      <c r="Q603">
        <v>0.57750000000000001</v>
      </c>
      <c r="R603">
        <v>0</v>
      </c>
      <c r="S603">
        <v>0</v>
      </c>
      <c r="T603">
        <v>0.13500000000000001</v>
      </c>
      <c r="U603">
        <v>4</v>
      </c>
      <c r="V603">
        <v>1</v>
      </c>
      <c r="W603">
        <v>0.5</v>
      </c>
      <c r="X603">
        <v>1</v>
      </c>
      <c r="Y603">
        <v>0.37109999999999999</v>
      </c>
      <c r="Z603">
        <v>1</v>
      </c>
    </row>
    <row r="604" spans="1:26" x14ac:dyDescent="0.2">
      <c r="A604" t="s">
        <v>53</v>
      </c>
      <c r="B604">
        <v>2014</v>
      </c>
      <c r="C604" t="str">
        <f t="shared" si="9"/>
        <v>DTL2014</v>
      </c>
      <c r="D604">
        <v>1.17540049753929E-15</v>
      </c>
      <c r="E604">
        <v>8.0454319688773208E-3</v>
      </c>
      <c r="F604">
        <v>0.88428719963697677</v>
      </c>
      <c r="G604">
        <v>28.49021520308823</v>
      </c>
      <c r="H604">
        <v>1.0539996513485219</v>
      </c>
      <c r="I604">
        <v>0.65503125057617584</v>
      </c>
      <c r="J604">
        <v>3.6167741877466193E-2</v>
      </c>
      <c r="K604">
        <v>-7.1823570148520949E-2</v>
      </c>
      <c r="L604">
        <v>0.36257934697219429</v>
      </c>
      <c r="M604">
        <v>13</v>
      </c>
      <c r="N604">
        <v>0</v>
      </c>
      <c r="O604">
        <v>0</v>
      </c>
      <c r="P604">
        <v>0.86240000000000006</v>
      </c>
      <c r="Q604">
        <v>0.58840000000000003</v>
      </c>
      <c r="R604">
        <v>0</v>
      </c>
      <c r="S604">
        <v>0</v>
      </c>
      <c r="T604">
        <v>0.17480000000000001</v>
      </c>
      <c r="U604">
        <v>5</v>
      </c>
      <c r="V604">
        <v>1</v>
      </c>
      <c r="W604">
        <v>0.4</v>
      </c>
      <c r="X604">
        <v>1</v>
      </c>
      <c r="Y604">
        <v>0.37</v>
      </c>
      <c r="Z604">
        <v>1</v>
      </c>
    </row>
    <row r="605" spans="1:26" x14ac:dyDescent="0.2">
      <c r="A605" t="s">
        <v>53</v>
      </c>
      <c r="B605">
        <v>2015</v>
      </c>
      <c r="C605" t="str">
        <f t="shared" si="9"/>
        <v>DTL2015</v>
      </c>
      <c r="D605">
        <v>-1.088616636083849E-14</v>
      </c>
      <c r="E605">
        <v>-8.4337884426420304E-2</v>
      </c>
      <c r="F605">
        <v>0.8865332621075861</v>
      </c>
      <c r="G605">
        <v>28.511512089207798</v>
      </c>
      <c r="H605">
        <v>1.017090382466989</v>
      </c>
      <c r="I605">
        <v>0.68865303602294115</v>
      </c>
      <c r="J605">
        <v>2.1525283300068979E-2</v>
      </c>
      <c r="K605">
        <v>2.4698876370177841E-2</v>
      </c>
      <c r="L605">
        <v>0.32899009753855318</v>
      </c>
      <c r="M605">
        <v>14</v>
      </c>
      <c r="N605">
        <v>0</v>
      </c>
      <c r="O605">
        <v>0</v>
      </c>
      <c r="P605">
        <v>0.88659999999999994</v>
      </c>
      <c r="Q605">
        <v>0.7279000000000001</v>
      </c>
      <c r="R605">
        <v>0</v>
      </c>
      <c r="S605">
        <v>0</v>
      </c>
      <c r="T605">
        <v>0.19900000000000001</v>
      </c>
      <c r="U605">
        <v>5</v>
      </c>
      <c r="V605">
        <v>1</v>
      </c>
      <c r="W605">
        <v>0.2</v>
      </c>
      <c r="X605">
        <v>1</v>
      </c>
      <c r="Y605">
        <v>0.39450000000000002</v>
      </c>
      <c r="Z605">
        <v>1</v>
      </c>
    </row>
    <row r="606" spans="1:26" x14ac:dyDescent="0.2">
      <c r="A606" t="s">
        <v>53</v>
      </c>
      <c r="B606">
        <v>2016</v>
      </c>
      <c r="C606" t="str">
        <f t="shared" si="9"/>
        <v>DTL2016</v>
      </c>
      <c r="D606">
        <v>2.5807755521344629E-14</v>
      </c>
      <c r="E606">
        <v>0.175345532503035</v>
      </c>
      <c r="F606">
        <v>1.350007460887177</v>
      </c>
      <c r="G606">
        <v>28.542225252627031</v>
      </c>
      <c r="H606">
        <v>0.96807444150782462</v>
      </c>
      <c r="I606">
        <v>0.63391118592302698</v>
      </c>
      <c r="J606">
        <v>3.1189678540265438E-2</v>
      </c>
      <c r="K606">
        <v>2.6530627695402351E-2</v>
      </c>
      <c r="L606">
        <v>0.30329867491890078</v>
      </c>
      <c r="M606">
        <v>15</v>
      </c>
      <c r="N606">
        <v>1</v>
      </c>
      <c r="O606">
        <v>0</v>
      </c>
      <c r="P606">
        <v>0.89319999999999988</v>
      </c>
      <c r="Q606">
        <v>0.70590000000000008</v>
      </c>
      <c r="R606">
        <v>0</v>
      </c>
      <c r="S606">
        <v>0</v>
      </c>
      <c r="T606">
        <v>0.188</v>
      </c>
      <c r="U606">
        <v>3</v>
      </c>
      <c r="V606">
        <v>0</v>
      </c>
      <c r="W606">
        <v>0.33333333333333331</v>
      </c>
      <c r="X606">
        <v>1</v>
      </c>
      <c r="Y606">
        <v>0.37559999999999999</v>
      </c>
      <c r="Z606">
        <v>1</v>
      </c>
    </row>
    <row r="607" spans="1:26" x14ac:dyDescent="0.2">
      <c r="A607" t="s">
        <v>53</v>
      </c>
      <c r="B607">
        <v>2017</v>
      </c>
      <c r="C607" t="str">
        <f t="shared" si="9"/>
        <v>DTL2017</v>
      </c>
      <c r="D607">
        <v>3.3535067246896032E-14</v>
      </c>
      <c r="E607">
        <v>0.17094722586415981</v>
      </c>
      <c r="F607">
        <v>1.647188291297045</v>
      </c>
      <c r="G607">
        <v>28.518230772989561</v>
      </c>
      <c r="H607">
        <v>1.1005108671650461</v>
      </c>
      <c r="I607">
        <v>0.52362673234324897</v>
      </c>
      <c r="J607">
        <v>-1.7097701259835341E-2</v>
      </c>
      <c r="K607">
        <v>-1.305431944737688E-2</v>
      </c>
      <c r="L607">
        <v>0.30369582837885678</v>
      </c>
      <c r="M607">
        <v>16</v>
      </c>
      <c r="N607">
        <v>1</v>
      </c>
      <c r="O607">
        <v>0</v>
      </c>
      <c r="P607">
        <v>0.83379999999999999</v>
      </c>
      <c r="Q607">
        <v>0.71519999999999995</v>
      </c>
      <c r="R607">
        <v>0</v>
      </c>
      <c r="S607">
        <v>0</v>
      </c>
      <c r="T607">
        <v>0.12859999999999999</v>
      </c>
      <c r="U607">
        <v>3</v>
      </c>
      <c r="V607">
        <v>0</v>
      </c>
      <c r="W607">
        <v>0.33333333333333331</v>
      </c>
      <c r="X607">
        <v>1</v>
      </c>
      <c r="Y607">
        <v>0.39629999999999999</v>
      </c>
      <c r="Z607">
        <v>1</v>
      </c>
    </row>
    <row r="608" spans="1:26" x14ac:dyDescent="0.2">
      <c r="A608" t="s">
        <v>53</v>
      </c>
      <c r="B608">
        <v>2018</v>
      </c>
      <c r="C608" t="str">
        <f t="shared" si="9"/>
        <v>DTL2018</v>
      </c>
      <c r="D608">
        <v>-2.159537205434735E-15</v>
      </c>
      <c r="E608">
        <v>-1.5266381353029971E-2</v>
      </c>
      <c r="F608">
        <v>1.462628985047967</v>
      </c>
      <c r="G608">
        <v>28.669956580226181</v>
      </c>
      <c r="H608">
        <v>1.3472580344882461</v>
      </c>
      <c r="I608">
        <v>0.60021313337464977</v>
      </c>
      <c r="J608">
        <v>0.1560128455766259</v>
      </c>
      <c r="K608">
        <v>-8.617186203879075E-2</v>
      </c>
      <c r="L608">
        <v>0.28210995787023391</v>
      </c>
      <c r="M608">
        <v>17</v>
      </c>
      <c r="N608">
        <v>1</v>
      </c>
      <c r="O608">
        <v>0</v>
      </c>
      <c r="P608">
        <v>0.89739999999999998</v>
      </c>
      <c r="Q608">
        <v>0.71519999999999995</v>
      </c>
      <c r="R608">
        <v>0</v>
      </c>
      <c r="S608">
        <v>0</v>
      </c>
      <c r="T608">
        <v>0.1822</v>
      </c>
      <c r="U608">
        <v>3</v>
      </c>
      <c r="V608">
        <v>0</v>
      </c>
      <c r="W608">
        <v>0.33333333333333331</v>
      </c>
      <c r="X608">
        <v>1</v>
      </c>
      <c r="Y608">
        <v>0.39560000000000001</v>
      </c>
      <c r="Z608">
        <v>1</v>
      </c>
    </row>
    <row r="609" spans="1:26" x14ac:dyDescent="0.2">
      <c r="A609" t="s">
        <v>53</v>
      </c>
      <c r="B609">
        <v>2019</v>
      </c>
      <c r="C609" t="str">
        <f t="shared" si="9"/>
        <v>DTL2019</v>
      </c>
      <c r="D609">
        <v>-1.8001984759739012E-14</v>
      </c>
      <c r="E609">
        <v>-0.1419723613409844</v>
      </c>
      <c r="F609">
        <v>1.1840912980317519</v>
      </c>
      <c r="G609">
        <v>28.658273731920239</v>
      </c>
      <c r="H609">
        <v>1.19816325051989</v>
      </c>
      <c r="I609">
        <v>0.64580149271623799</v>
      </c>
      <c r="J609">
        <v>-1.161486882253682E-2</v>
      </c>
      <c r="K609">
        <v>2.8917562632119621E-2</v>
      </c>
      <c r="L609">
        <v>0.25818662720943908</v>
      </c>
      <c r="M609">
        <v>18</v>
      </c>
      <c r="N609">
        <v>0</v>
      </c>
      <c r="O609">
        <v>1</v>
      </c>
      <c r="P609">
        <v>0.88509999999999989</v>
      </c>
      <c r="Q609">
        <v>0.61219999999999997</v>
      </c>
      <c r="R609">
        <v>0</v>
      </c>
      <c r="S609">
        <v>0</v>
      </c>
      <c r="T609">
        <v>0.1799</v>
      </c>
      <c r="U609">
        <v>3</v>
      </c>
      <c r="V609">
        <v>1</v>
      </c>
      <c r="W609">
        <v>0.33333333333333331</v>
      </c>
      <c r="X609">
        <v>1</v>
      </c>
      <c r="Y609">
        <v>0.41710000000000003</v>
      </c>
      <c r="Z609">
        <v>1</v>
      </c>
    </row>
    <row r="610" spans="1:26" x14ac:dyDescent="0.2">
      <c r="A610" t="s">
        <v>53</v>
      </c>
      <c r="B610">
        <v>2020</v>
      </c>
      <c r="C610" t="str">
        <f t="shared" si="9"/>
        <v>DTL2020</v>
      </c>
      <c r="D610">
        <v>3.6024201417299734E-15</v>
      </c>
      <c r="E610">
        <v>2.1030851815481741E-2</v>
      </c>
      <c r="F610">
        <v>0.85599728985057988</v>
      </c>
      <c r="G610">
        <v>28.518518421454729</v>
      </c>
      <c r="H610">
        <v>1.146943226030344</v>
      </c>
      <c r="I610">
        <v>0.58392398496286479</v>
      </c>
      <c r="J610">
        <v>-0.13042901571162149</v>
      </c>
      <c r="K610">
        <v>0.1724348108102759</v>
      </c>
      <c r="L610">
        <v>0.27644385129137172</v>
      </c>
      <c r="M610">
        <v>19</v>
      </c>
      <c r="N610">
        <v>0</v>
      </c>
      <c r="O610">
        <v>1</v>
      </c>
      <c r="P610">
        <v>0.90129999999999999</v>
      </c>
      <c r="Q610">
        <v>0.65469999999999995</v>
      </c>
      <c r="R610">
        <v>0</v>
      </c>
      <c r="S610">
        <v>0</v>
      </c>
      <c r="T610">
        <v>0.19550000000000001</v>
      </c>
      <c r="U610">
        <v>3</v>
      </c>
      <c r="V610">
        <v>0</v>
      </c>
      <c r="W610">
        <v>0.66666666666666652</v>
      </c>
      <c r="X610">
        <v>1</v>
      </c>
      <c r="Y610">
        <v>0.4143</v>
      </c>
      <c r="Z610">
        <v>1</v>
      </c>
    </row>
    <row r="611" spans="1:26" x14ac:dyDescent="0.2">
      <c r="A611" t="s">
        <v>53</v>
      </c>
      <c r="B611">
        <v>2021</v>
      </c>
      <c r="C611" t="str">
        <f t="shared" si="9"/>
        <v>DTL2021</v>
      </c>
      <c r="D611">
        <v>1.5757106922048751E-14</v>
      </c>
      <c r="E611">
        <v>5.2735169132213121E-2</v>
      </c>
      <c r="F611">
        <v>1.881660893591907</v>
      </c>
      <c r="G611">
        <v>28.26620803056348</v>
      </c>
      <c r="H611">
        <v>1.2186359866817491</v>
      </c>
      <c r="I611">
        <v>0.4360581680570948</v>
      </c>
      <c r="J611">
        <v>-0.2229964741810366</v>
      </c>
      <c r="K611">
        <v>0.26161097366042219</v>
      </c>
      <c r="L611">
        <v>0.34449942984988141</v>
      </c>
      <c r="M611">
        <v>20</v>
      </c>
      <c r="N611">
        <v>0</v>
      </c>
      <c r="O611">
        <v>0</v>
      </c>
      <c r="P611">
        <v>0.9022</v>
      </c>
      <c r="Q611">
        <v>0.65480000000000005</v>
      </c>
      <c r="R611">
        <v>0</v>
      </c>
      <c r="S611">
        <v>0</v>
      </c>
      <c r="T611">
        <v>0.19639999999999999</v>
      </c>
      <c r="U611">
        <v>4</v>
      </c>
      <c r="V611">
        <v>0</v>
      </c>
      <c r="W611">
        <v>0.5</v>
      </c>
      <c r="X611">
        <v>1</v>
      </c>
      <c r="Y611">
        <v>0.44800000000000001</v>
      </c>
      <c r="Z611">
        <v>1</v>
      </c>
    </row>
    <row r="612" spans="1:26" x14ac:dyDescent="0.2">
      <c r="A612" t="s">
        <v>53</v>
      </c>
      <c r="B612">
        <v>2022</v>
      </c>
      <c r="C612" t="str">
        <f t="shared" si="9"/>
        <v>DTL2022</v>
      </c>
      <c r="D612">
        <v>-2.7208854647202019E-14</v>
      </c>
      <c r="E612">
        <v>-0.16744538048036711</v>
      </c>
      <c r="F612">
        <v>1.2934546759445511</v>
      </c>
      <c r="G612">
        <v>28.49332425988241</v>
      </c>
      <c r="H612">
        <v>1.445737262454114</v>
      </c>
      <c r="I612">
        <v>0.61511535332812584</v>
      </c>
      <c r="J612">
        <v>0.25497572443743238</v>
      </c>
      <c r="K612">
        <v>-0.32372116536696982</v>
      </c>
      <c r="L612">
        <v>0.2296658059153146</v>
      </c>
      <c r="M612">
        <v>21</v>
      </c>
      <c r="N612">
        <v>0</v>
      </c>
      <c r="O612">
        <v>0</v>
      </c>
      <c r="P612">
        <v>0.89890000000000003</v>
      </c>
      <c r="Q612">
        <v>0.65469999999999995</v>
      </c>
      <c r="R612">
        <v>0</v>
      </c>
      <c r="S612">
        <v>0</v>
      </c>
      <c r="T612">
        <v>0.19309999999999999</v>
      </c>
      <c r="U612">
        <v>4</v>
      </c>
      <c r="V612">
        <v>0</v>
      </c>
      <c r="W612">
        <v>0.5</v>
      </c>
      <c r="X612">
        <v>1</v>
      </c>
      <c r="Y612">
        <v>0.43</v>
      </c>
      <c r="Z612">
        <v>1</v>
      </c>
    </row>
    <row r="613" spans="1:26" x14ac:dyDescent="0.2">
      <c r="A613" t="s">
        <v>53</v>
      </c>
      <c r="B613">
        <v>2023</v>
      </c>
      <c r="C613" t="str">
        <f t="shared" si="9"/>
        <v>DTL2023</v>
      </c>
      <c r="D613">
        <v>1250227718758.042</v>
      </c>
      <c r="E613">
        <v>-0.14343955652208951</v>
      </c>
      <c r="F613">
        <v>0.96481032827642521</v>
      </c>
      <c r="G613">
        <v>28.359923606662399</v>
      </c>
      <c r="H613">
        <v>1.260227795076674</v>
      </c>
      <c r="I613">
        <v>0.47486107692109431</v>
      </c>
      <c r="J613">
        <v>-0.1248855955426285</v>
      </c>
      <c r="K613">
        <v>0.1160700963436062</v>
      </c>
      <c r="L613">
        <v>0.231037167864202</v>
      </c>
      <c r="M613">
        <v>22</v>
      </c>
      <c r="N613">
        <v>0</v>
      </c>
      <c r="O613">
        <v>0</v>
      </c>
      <c r="P613">
        <v>0.89890000000000003</v>
      </c>
      <c r="Q613">
        <v>0.65469999999999995</v>
      </c>
      <c r="R613">
        <v>0</v>
      </c>
      <c r="S613">
        <v>0</v>
      </c>
      <c r="T613">
        <v>0.19309999999999999</v>
      </c>
      <c r="U613">
        <v>4</v>
      </c>
      <c r="V613">
        <v>0</v>
      </c>
      <c r="W613">
        <v>0.5</v>
      </c>
      <c r="X613">
        <v>1</v>
      </c>
      <c r="Y613">
        <v>0.43</v>
      </c>
      <c r="Z613">
        <v>1</v>
      </c>
    </row>
    <row r="614" spans="1:26" x14ac:dyDescent="0.2">
      <c r="A614" t="s">
        <v>54</v>
      </c>
      <c r="B614">
        <v>2012</v>
      </c>
      <c r="C614" t="str">
        <f t="shared" si="9"/>
        <v>DTT2012</v>
      </c>
      <c r="D614">
        <v>-1.6281556515173051E-13</v>
      </c>
      <c r="E614">
        <v>-2.5080808802077938E-2</v>
      </c>
      <c r="F614">
        <v>0.58970302503911087</v>
      </c>
      <c r="G614">
        <v>25.594950796601999</v>
      </c>
      <c r="H614">
        <v>3.7481659815851458</v>
      </c>
      <c r="I614">
        <v>0.15257693738162079</v>
      </c>
      <c r="J614">
        <v>2.2066447030677509E-2</v>
      </c>
      <c r="K614">
        <v>3.7616342196771881E-2</v>
      </c>
      <c r="L614">
        <v>0.57009148569193391</v>
      </c>
      <c r="M614">
        <v>8</v>
      </c>
      <c r="N614">
        <v>0</v>
      </c>
      <c r="O614">
        <v>0</v>
      </c>
      <c r="P614">
        <v>0.41739999999999999</v>
      </c>
      <c r="Q614">
        <v>0.28970000000000001</v>
      </c>
      <c r="R614">
        <v>0</v>
      </c>
      <c r="S614">
        <v>0.18959999999999999</v>
      </c>
      <c r="T614">
        <v>0.18959999999999999</v>
      </c>
      <c r="U614">
        <v>7</v>
      </c>
      <c r="V614">
        <v>1</v>
      </c>
      <c r="W614">
        <v>0</v>
      </c>
      <c r="X614">
        <v>0</v>
      </c>
      <c r="Y614">
        <v>0.505</v>
      </c>
      <c r="Z614">
        <v>1</v>
      </c>
    </row>
    <row r="615" spans="1:26" x14ac:dyDescent="0.2">
      <c r="A615" t="s">
        <v>54</v>
      </c>
      <c r="B615">
        <v>2013</v>
      </c>
      <c r="C615" t="str">
        <f t="shared" si="9"/>
        <v>DTT2013</v>
      </c>
      <c r="D615">
        <v>3.8236630255076013E-14</v>
      </c>
      <c r="E615">
        <v>6.264707010936078E-3</v>
      </c>
      <c r="F615">
        <v>0.59824231419125873</v>
      </c>
      <c r="G615">
        <v>25.628919478814431</v>
      </c>
      <c r="H615">
        <v>2.2857672544406098</v>
      </c>
      <c r="I615">
        <v>0.1757154615288446</v>
      </c>
      <c r="J615">
        <v>3.4552206334540918E-2</v>
      </c>
      <c r="K615">
        <v>-1.2732490507365069E-2</v>
      </c>
      <c r="L615">
        <v>0.5136018372775627</v>
      </c>
      <c r="M615">
        <v>9</v>
      </c>
      <c r="N615">
        <v>0</v>
      </c>
      <c r="O615">
        <v>0</v>
      </c>
      <c r="P615">
        <v>0.41739999999999999</v>
      </c>
      <c r="Q615">
        <v>0.28970000000000001</v>
      </c>
      <c r="R615">
        <v>0</v>
      </c>
      <c r="S615">
        <v>0.18959999999999999</v>
      </c>
      <c r="T615">
        <v>0.18959999999999999</v>
      </c>
      <c r="U615">
        <v>7</v>
      </c>
      <c r="V615">
        <v>1</v>
      </c>
      <c r="W615">
        <v>0</v>
      </c>
      <c r="X615">
        <v>0</v>
      </c>
      <c r="Y615">
        <v>0.48</v>
      </c>
      <c r="Z615">
        <v>1</v>
      </c>
    </row>
    <row r="616" spans="1:26" x14ac:dyDescent="0.2">
      <c r="A616" t="s">
        <v>54</v>
      </c>
      <c r="B616">
        <v>2014</v>
      </c>
      <c r="C616" t="str">
        <f t="shared" si="9"/>
        <v>DTT2014</v>
      </c>
      <c r="D616">
        <v>1.4877397925131049E-13</v>
      </c>
      <c r="E616">
        <v>2.8401904974177449E-2</v>
      </c>
      <c r="F616">
        <v>0.80404656586623746</v>
      </c>
      <c r="G616">
        <v>25.719771062621739</v>
      </c>
      <c r="H616">
        <v>2.112459352878973</v>
      </c>
      <c r="I616">
        <v>0.22529892700200971</v>
      </c>
      <c r="J616">
        <v>9.5106461665074971E-2</v>
      </c>
      <c r="K616">
        <v>-1.2141951517453869E-2</v>
      </c>
      <c r="L616">
        <v>0.44849782457188431</v>
      </c>
      <c r="M616">
        <v>10</v>
      </c>
      <c r="N616">
        <v>0</v>
      </c>
      <c r="O616">
        <v>0</v>
      </c>
      <c r="P616">
        <v>0.41739999999999999</v>
      </c>
      <c r="Q616">
        <v>0.28970000000000001</v>
      </c>
      <c r="R616">
        <v>0</v>
      </c>
      <c r="S616">
        <v>0.18959999999999999</v>
      </c>
      <c r="T616">
        <v>0.18959999999999999</v>
      </c>
      <c r="U616">
        <v>7</v>
      </c>
      <c r="V616">
        <v>1</v>
      </c>
      <c r="W616">
        <v>0</v>
      </c>
      <c r="X616">
        <v>0</v>
      </c>
      <c r="Y616">
        <v>0.49</v>
      </c>
      <c r="Z616">
        <v>1</v>
      </c>
    </row>
    <row r="617" spans="1:26" x14ac:dyDescent="0.2">
      <c r="A617" t="s">
        <v>54</v>
      </c>
      <c r="B617">
        <v>2015</v>
      </c>
      <c r="C617" t="str">
        <f t="shared" si="9"/>
        <v>DTT2015</v>
      </c>
      <c r="D617">
        <v>2.501555711728018E-13</v>
      </c>
      <c r="E617">
        <v>4.7790329355930999E-2</v>
      </c>
      <c r="F617">
        <v>0.90013604558240956</v>
      </c>
      <c r="G617">
        <v>25.733527609919001</v>
      </c>
      <c r="H617">
        <v>1.8170232473375529</v>
      </c>
      <c r="I617">
        <v>0.21512734814360579</v>
      </c>
      <c r="J617">
        <v>1.385160397779805E-2</v>
      </c>
      <c r="K617">
        <v>0.1151738561013998</v>
      </c>
      <c r="L617">
        <v>0.42365407424251078</v>
      </c>
      <c r="M617">
        <v>11</v>
      </c>
      <c r="N617">
        <v>0</v>
      </c>
      <c r="O617">
        <v>0</v>
      </c>
      <c r="P617">
        <v>0.65929999999999989</v>
      </c>
      <c r="Q617">
        <v>0.29339999999999999</v>
      </c>
      <c r="R617">
        <v>0</v>
      </c>
      <c r="S617">
        <v>0.18959999999999999</v>
      </c>
      <c r="T617">
        <v>0.18959999999999999</v>
      </c>
      <c r="U617">
        <v>7</v>
      </c>
      <c r="V617">
        <v>1</v>
      </c>
      <c r="W617">
        <v>0</v>
      </c>
      <c r="X617">
        <v>0</v>
      </c>
      <c r="Y617">
        <v>0.5</v>
      </c>
      <c r="Z617">
        <v>1</v>
      </c>
    </row>
    <row r="618" spans="1:26" x14ac:dyDescent="0.2">
      <c r="A618" t="s">
        <v>54</v>
      </c>
      <c r="B618">
        <v>2016</v>
      </c>
      <c r="C618" t="str">
        <f t="shared" si="9"/>
        <v>DTT2016</v>
      </c>
      <c r="D618">
        <v>3.2611810090974009E-13</v>
      </c>
      <c r="E618">
        <v>6.6634927540721173E-2</v>
      </c>
      <c r="F618">
        <v>0.72362999006391604</v>
      </c>
      <c r="G618">
        <v>25.785821690421059</v>
      </c>
      <c r="H618">
        <v>2.1110792616823901</v>
      </c>
      <c r="I618">
        <v>0.22676225376954351</v>
      </c>
      <c r="J618">
        <v>5.3685565334769203E-2</v>
      </c>
      <c r="K618">
        <v>-5.840260034544293E-2</v>
      </c>
      <c r="L618">
        <v>0.41105329638510019</v>
      </c>
      <c r="M618">
        <v>12</v>
      </c>
      <c r="N618">
        <v>0</v>
      </c>
      <c r="O618">
        <v>0</v>
      </c>
      <c r="P618">
        <v>0.65870000000000006</v>
      </c>
      <c r="Q618">
        <v>0.27300000000000002</v>
      </c>
      <c r="R618">
        <v>0</v>
      </c>
      <c r="S618">
        <v>0</v>
      </c>
      <c r="T618">
        <v>0</v>
      </c>
      <c r="U618">
        <v>5</v>
      </c>
      <c r="V618">
        <v>0</v>
      </c>
      <c r="W618">
        <v>0</v>
      </c>
      <c r="X618">
        <v>0</v>
      </c>
      <c r="Y618">
        <v>0.49</v>
      </c>
      <c r="Z618">
        <v>1</v>
      </c>
    </row>
    <row r="619" spans="1:26" x14ac:dyDescent="0.2">
      <c r="A619" t="s">
        <v>54</v>
      </c>
      <c r="B619">
        <v>2017</v>
      </c>
      <c r="C619" t="str">
        <f t="shared" si="9"/>
        <v>DTT2017</v>
      </c>
      <c r="D619">
        <v>1.67457475137694E-13</v>
      </c>
      <c r="E619">
        <v>3.5039160756832187E-2</v>
      </c>
      <c r="F619">
        <v>0.86092202809419771</v>
      </c>
      <c r="G619">
        <v>25.788114622478101</v>
      </c>
      <c r="H619">
        <v>2.0625082386050479</v>
      </c>
      <c r="I619">
        <v>0.2431902430644908</v>
      </c>
      <c r="J619">
        <v>2.2955628360965541E-3</v>
      </c>
      <c r="K619">
        <v>0.10073429631913219</v>
      </c>
      <c r="L619">
        <v>0.40978409395955362</v>
      </c>
      <c r="M619">
        <v>13</v>
      </c>
      <c r="N619">
        <v>0</v>
      </c>
      <c r="O619">
        <v>0</v>
      </c>
      <c r="P619">
        <v>0.65870000000000006</v>
      </c>
      <c r="Q619">
        <v>0.28310000000000002</v>
      </c>
      <c r="R619">
        <v>0</v>
      </c>
      <c r="S619">
        <v>0</v>
      </c>
      <c r="T619">
        <v>0</v>
      </c>
      <c r="U619">
        <v>5</v>
      </c>
      <c r="V619">
        <v>0</v>
      </c>
      <c r="W619">
        <v>0</v>
      </c>
      <c r="X619">
        <v>0</v>
      </c>
      <c r="Y619">
        <v>0.5</v>
      </c>
      <c r="Z619">
        <v>1</v>
      </c>
    </row>
    <row r="620" spans="1:26" x14ac:dyDescent="0.2">
      <c r="A620" t="s">
        <v>54</v>
      </c>
      <c r="B620">
        <v>2018</v>
      </c>
      <c r="C620" t="str">
        <f t="shared" si="9"/>
        <v>DTT2018</v>
      </c>
      <c r="D620">
        <v>1.6053456972713359E-13</v>
      </c>
      <c r="E620">
        <v>4.2077397791961513E-2</v>
      </c>
      <c r="F620">
        <v>0.73091148521111682</v>
      </c>
      <c r="G620">
        <v>25.902389998494609</v>
      </c>
      <c r="H620">
        <v>1.867360522876077</v>
      </c>
      <c r="I620">
        <v>0.32269428665229932</v>
      </c>
      <c r="J620">
        <v>0.1210607956381089</v>
      </c>
      <c r="K620">
        <v>-5.0358754805208607E-2</v>
      </c>
      <c r="L620">
        <v>0.34324839040280358</v>
      </c>
      <c r="M620">
        <v>14</v>
      </c>
      <c r="N620">
        <v>0</v>
      </c>
      <c r="O620">
        <v>0</v>
      </c>
      <c r="P620">
        <v>0.65870000000000006</v>
      </c>
      <c r="Q620">
        <v>0.28770000000000001</v>
      </c>
      <c r="R620">
        <v>0</v>
      </c>
      <c r="S620">
        <v>0</v>
      </c>
      <c r="T620">
        <v>0</v>
      </c>
      <c r="U620">
        <v>5</v>
      </c>
      <c r="V620">
        <v>0</v>
      </c>
      <c r="W620">
        <v>0</v>
      </c>
      <c r="X620">
        <v>0</v>
      </c>
      <c r="Y620">
        <v>0.51</v>
      </c>
      <c r="Z620">
        <v>1</v>
      </c>
    </row>
    <row r="621" spans="1:26" x14ac:dyDescent="0.2">
      <c r="A621" t="s">
        <v>54</v>
      </c>
      <c r="B621">
        <v>2019</v>
      </c>
      <c r="C621" t="str">
        <f t="shared" si="9"/>
        <v>DTT2019</v>
      </c>
      <c r="D621">
        <v>2.6067081323231389E-13</v>
      </c>
      <c r="E621">
        <v>6.074148540906487E-2</v>
      </c>
      <c r="F621">
        <v>0.92816495267149535</v>
      </c>
      <c r="G621">
        <v>25.85153416930482</v>
      </c>
      <c r="H621">
        <v>1.679595411655151</v>
      </c>
      <c r="I621">
        <v>0.27592152519408558</v>
      </c>
      <c r="J621">
        <v>-4.9584317145365153E-2</v>
      </c>
      <c r="K621">
        <v>0.1880920335279378</v>
      </c>
      <c r="L621">
        <v>0.35413028019413823</v>
      </c>
      <c r="M621">
        <v>15</v>
      </c>
      <c r="N621">
        <v>0</v>
      </c>
      <c r="O621">
        <v>1</v>
      </c>
      <c r="P621">
        <v>0.65870000000000006</v>
      </c>
      <c r="Q621">
        <v>0.29820000000000002</v>
      </c>
      <c r="R621">
        <v>0</v>
      </c>
      <c r="S621">
        <v>0</v>
      </c>
      <c r="T621">
        <v>0</v>
      </c>
      <c r="U621">
        <v>5</v>
      </c>
      <c r="V621">
        <v>0</v>
      </c>
      <c r="W621">
        <v>0</v>
      </c>
      <c r="X621">
        <v>0</v>
      </c>
      <c r="Y621">
        <v>0.52</v>
      </c>
      <c r="Z621">
        <v>1</v>
      </c>
    </row>
    <row r="622" spans="1:26" x14ac:dyDescent="0.2">
      <c r="A622" t="s">
        <v>54</v>
      </c>
      <c r="B622">
        <v>2020</v>
      </c>
      <c r="C622" t="str">
        <f t="shared" si="9"/>
        <v>DTT2020</v>
      </c>
      <c r="D622">
        <v>3.0711590850633088E-13</v>
      </c>
      <c r="E622">
        <v>7.0036971138739898E-2</v>
      </c>
      <c r="F622">
        <v>0.86653896887233395</v>
      </c>
      <c r="G622">
        <v>25.849690887731139</v>
      </c>
      <c r="H622">
        <v>1.850704337771538</v>
      </c>
      <c r="I622">
        <v>0.26149563136357362</v>
      </c>
      <c r="J622">
        <v>-1.8415837735327181E-3</v>
      </c>
      <c r="K622">
        <v>0.20370883696652531</v>
      </c>
      <c r="L622">
        <v>0.3369115040273028</v>
      </c>
      <c r="M622">
        <v>16</v>
      </c>
      <c r="N622">
        <v>0</v>
      </c>
      <c r="O622">
        <v>1</v>
      </c>
      <c r="P622">
        <v>0.69769999999999999</v>
      </c>
      <c r="Q622">
        <v>0.30049999999999999</v>
      </c>
      <c r="R622">
        <v>0</v>
      </c>
      <c r="S622">
        <v>0</v>
      </c>
      <c r="T622">
        <v>0</v>
      </c>
      <c r="U622">
        <v>5</v>
      </c>
      <c r="V622">
        <v>0</v>
      </c>
      <c r="W622">
        <v>0</v>
      </c>
      <c r="X622">
        <v>0</v>
      </c>
      <c r="Y622">
        <v>0.53</v>
      </c>
      <c r="Z622">
        <v>1</v>
      </c>
    </row>
    <row r="623" spans="1:26" x14ac:dyDescent="0.2">
      <c r="A623" t="s">
        <v>54</v>
      </c>
      <c r="B623">
        <v>2021</v>
      </c>
      <c r="C623" t="str">
        <f t="shared" si="9"/>
        <v>DTT2021</v>
      </c>
      <c r="D623">
        <v>1.497012876567801E-13</v>
      </c>
      <c r="E623">
        <v>2.8550292451958479E-2</v>
      </c>
      <c r="F623">
        <v>1.129466831384365</v>
      </c>
      <c r="G623">
        <v>25.747922441535462</v>
      </c>
      <c r="H623">
        <v>2.0948954770085551</v>
      </c>
      <c r="I623">
        <v>0.20238077811806451</v>
      </c>
      <c r="J623">
        <v>-9.6761324192208953E-2</v>
      </c>
      <c r="K623">
        <v>2.74217840796784E-2</v>
      </c>
      <c r="L623">
        <v>0.37111775365391148</v>
      </c>
      <c r="M623">
        <v>17</v>
      </c>
      <c r="N623">
        <v>0</v>
      </c>
      <c r="O623">
        <v>0</v>
      </c>
      <c r="P623">
        <v>0.70180000000000009</v>
      </c>
      <c r="Q623">
        <v>0.29859999999999998</v>
      </c>
      <c r="R623">
        <v>0</v>
      </c>
      <c r="S623">
        <v>0</v>
      </c>
      <c r="T623">
        <v>0</v>
      </c>
      <c r="U623">
        <v>5</v>
      </c>
      <c r="V623">
        <v>0</v>
      </c>
      <c r="W623">
        <v>0</v>
      </c>
      <c r="X623">
        <v>0</v>
      </c>
      <c r="Y623">
        <v>0.54</v>
      </c>
      <c r="Z623">
        <v>1</v>
      </c>
    </row>
    <row r="624" spans="1:26" x14ac:dyDescent="0.2">
      <c r="A624" t="s">
        <v>54</v>
      </c>
      <c r="B624">
        <v>2022</v>
      </c>
      <c r="C624" t="str">
        <f t="shared" si="9"/>
        <v>DTT2022</v>
      </c>
      <c r="D624">
        <v>3.315426849238974E-13</v>
      </c>
      <c r="E624">
        <v>7.1306599783122399E-2</v>
      </c>
      <c r="F624">
        <v>0.82606838276281702</v>
      </c>
      <c r="G624">
        <v>25.83970701186071</v>
      </c>
      <c r="H624">
        <v>2.5223399631293169</v>
      </c>
      <c r="I624">
        <v>0.2247319407101073</v>
      </c>
      <c r="J624">
        <v>9.612865800307023E-2</v>
      </c>
      <c r="K624">
        <v>0.1100545243408499</v>
      </c>
      <c r="L624">
        <v>0.34713793730239922</v>
      </c>
      <c r="M624">
        <v>18</v>
      </c>
      <c r="N624">
        <v>0</v>
      </c>
      <c r="O624">
        <v>0</v>
      </c>
      <c r="P624">
        <v>0.72109999999999996</v>
      </c>
      <c r="Q624">
        <v>0.32440000000000002</v>
      </c>
      <c r="R624">
        <v>0</v>
      </c>
      <c r="S624">
        <v>0</v>
      </c>
      <c r="T624">
        <v>0</v>
      </c>
      <c r="U624">
        <v>5</v>
      </c>
      <c r="V624">
        <v>0</v>
      </c>
      <c r="W624">
        <v>0</v>
      </c>
      <c r="X624">
        <v>0</v>
      </c>
      <c r="Y624">
        <v>0.55000000000000004</v>
      </c>
      <c r="Z624">
        <v>1</v>
      </c>
    </row>
    <row r="625" spans="1:26" x14ac:dyDescent="0.2">
      <c r="A625" t="s">
        <v>54</v>
      </c>
      <c r="B625">
        <v>2023</v>
      </c>
      <c r="C625" t="str">
        <f t="shared" si="9"/>
        <v>DTT2023</v>
      </c>
      <c r="D625">
        <v>-4730064431057.6299</v>
      </c>
      <c r="E625">
        <v>5.7397542160860973E-2</v>
      </c>
      <c r="F625">
        <v>1.2055715179516699</v>
      </c>
      <c r="G625">
        <v>25.8677277630131</v>
      </c>
      <c r="H625">
        <v>2.403677722046738</v>
      </c>
      <c r="I625">
        <v>0.13596098068863671</v>
      </c>
      <c r="J625">
        <v>2.8417025038412369E-2</v>
      </c>
      <c r="K625">
        <v>5.4409797941095212E-2</v>
      </c>
      <c r="L625">
        <v>0.35901203209989291</v>
      </c>
      <c r="M625">
        <v>19</v>
      </c>
      <c r="N625">
        <v>0</v>
      </c>
      <c r="O625">
        <v>0</v>
      </c>
      <c r="P625">
        <v>0.72109999999999996</v>
      </c>
      <c r="Q625">
        <v>0.32440000000000002</v>
      </c>
      <c r="R625">
        <v>0</v>
      </c>
      <c r="S625">
        <v>0</v>
      </c>
      <c r="T625">
        <v>0</v>
      </c>
      <c r="U625">
        <v>5</v>
      </c>
      <c r="V625">
        <v>0</v>
      </c>
      <c r="W625">
        <v>0</v>
      </c>
      <c r="X625">
        <v>0</v>
      </c>
      <c r="Y625">
        <v>0.55000000000000004</v>
      </c>
      <c r="Z625">
        <v>1</v>
      </c>
    </row>
    <row r="626" spans="1:26" x14ac:dyDescent="0.2">
      <c r="A626" t="s">
        <v>55</v>
      </c>
      <c r="B626">
        <v>2012</v>
      </c>
      <c r="C626" t="str">
        <f t="shared" si="9"/>
        <v>DXV2012</v>
      </c>
      <c r="D626">
        <v>9.2418952299153992E-15</v>
      </c>
      <c r="E626">
        <v>4.5958149777621152E-2</v>
      </c>
      <c r="F626">
        <v>0.91418891651016509</v>
      </c>
      <c r="G626">
        <v>27.27538013904303</v>
      </c>
      <c r="H626">
        <v>0.58197201724829561</v>
      </c>
      <c r="I626">
        <v>0.85908877484772905</v>
      </c>
      <c r="J626">
        <v>5.3025486602776617E-2</v>
      </c>
      <c r="K626">
        <v>5.5295341485014768E-3</v>
      </c>
      <c r="L626">
        <v>0.77107248784485682</v>
      </c>
      <c r="M626">
        <v>19</v>
      </c>
      <c r="N626">
        <v>0</v>
      </c>
      <c r="O626">
        <v>0</v>
      </c>
      <c r="P626">
        <v>0.65799999999999992</v>
      </c>
      <c r="Q626">
        <v>8.0000000000000004E-4</v>
      </c>
      <c r="R626">
        <v>0</v>
      </c>
      <c r="S626">
        <v>0.65799999999999992</v>
      </c>
      <c r="T626">
        <v>0.65799999999999992</v>
      </c>
      <c r="U626">
        <v>5</v>
      </c>
      <c r="V626">
        <v>0</v>
      </c>
      <c r="W626">
        <v>0.4</v>
      </c>
      <c r="X626">
        <v>0</v>
      </c>
      <c r="Y626">
        <v>0.47220000000000001</v>
      </c>
      <c r="Z626">
        <v>1</v>
      </c>
    </row>
    <row r="627" spans="1:26" x14ac:dyDescent="0.2">
      <c r="A627" t="s">
        <v>55</v>
      </c>
      <c r="B627">
        <v>2013</v>
      </c>
      <c r="C627" t="str">
        <f t="shared" si="9"/>
        <v>DXV2013</v>
      </c>
      <c r="D627">
        <v>9.4302128650009403E-14</v>
      </c>
      <c r="E627">
        <v>4.4022751929545682E-2</v>
      </c>
      <c r="F627">
        <v>0.70182001358395507</v>
      </c>
      <c r="G627">
        <v>26.11364153666743</v>
      </c>
      <c r="H627">
        <v>0.56076070598700745</v>
      </c>
      <c r="I627">
        <v>0.53026304270887048</v>
      </c>
      <c r="J627">
        <v>-0.68705837341732579</v>
      </c>
      <c r="K627">
        <v>-3.0888550148131841E-2</v>
      </c>
      <c r="L627">
        <v>0.16676749972700419</v>
      </c>
      <c r="M627">
        <v>20</v>
      </c>
      <c r="N627">
        <v>0</v>
      </c>
      <c r="O627">
        <v>0</v>
      </c>
      <c r="P627">
        <v>0.65799999999999992</v>
      </c>
      <c r="Q627">
        <v>8.0000000000000004E-4</v>
      </c>
      <c r="R627">
        <v>0</v>
      </c>
      <c r="S627">
        <v>0.65799999999999992</v>
      </c>
      <c r="T627">
        <v>0.65799999999999992</v>
      </c>
      <c r="U627">
        <v>5</v>
      </c>
      <c r="V627">
        <v>0</v>
      </c>
      <c r="W627">
        <v>0.4</v>
      </c>
      <c r="X627">
        <v>0</v>
      </c>
      <c r="Y627">
        <v>0.48220000000000002</v>
      </c>
      <c r="Z627">
        <v>1</v>
      </c>
    </row>
    <row r="628" spans="1:26" x14ac:dyDescent="0.2">
      <c r="A628" t="s">
        <v>55</v>
      </c>
      <c r="B628">
        <v>2014</v>
      </c>
      <c r="C628" t="str">
        <f t="shared" si="9"/>
        <v>DXV2014</v>
      </c>
      <c r="D628">
        <v>1.387198503363864E-13</v>
      </c>
      <c r="E628">
        <v>4.748153901930699E-2</v>
      </c>
      <c r="F628">
        <v>0.69149013082883459</v>
      </c>
      <c r="G628">
        <v>25.981041274819798</v>
      </c>
      <c r="H628">
        <v>1.5687529261230331</v>
      </c>
      <c r="I628">
        <v>0.43890463130728019</v>
      </c>
      <c r="J628">
        <v>-0.12418488113797831</v>
      </c>
      <c r="K628">
        <v>0.10680034309933149</v>
      </c>
      <c r="L628">
        <v>0.1681430075623154</v>
      </c>
      <c r="M628">
        <v>21</v>
      </c>
      <c r="N628">
        <v>0</v>
      </c>
      <c r="O628">
        <v>0</v>
      </c>
      <c r="P628">
        <v>0.65799999999999992</v>
      </c>
      <c r="Q628">
        <v>8.0000000000000004E-4</v>
      </c>
      <c r="R628">
        <v>0</v>
      </c>
      <c r="S628">
        <v>0.65799999999999992</v>
      </c>
      <c r="T628">
        <v>0.65799999999999992</v>
      </c>
      <c r="U628">
        <v>5</v>
      </c>
      <c r="V628">
        <v>0</v>
      </c>
      <c r="W628">
        <v>0.4</v>
      </c>
      <c r="X628">
        <v>0</v>
      </c>
      <c r="Y628">
        <v>0.48880000000000001</v>
      </c>
      <c r="Z628">
        <v>1</v>
      </c>
    </row>
    <row r="629" spans="1:26" x14ac:dyDescent="0.2">
      <c r="A629" t="s">
        <v>55</v>
      </c>
      <c r="B629">
        <v>2015</v>
      </c>
      <c r="C629" t="str">
        <f t="shared" si="9"/>
        <v>DXV2015</v>
      </c>
      <c r="D629">
        <v>1.5410055569540949E-13</v>
      </c>
      <c r="E629">
        <v>3.5667603757710858E-2</v>
      </c>
      <c r="F629">
        <v>0.54701789948072987</v>
      </c>
      <c r="G629">
        <v>25.80167601514092</v>
      </c>
      <c r="H629">
        <v>1.899738538693895</v>
      </c>
      <c r="I629">
        <v>0.30648511192088751</v>
      </c>
      <c r="J629">
        <v>-0.16420121290293371</v>
      </c>
      <c r="K629">
        <v>-8.9405172329199367E-2</v>
      </c>
      <c r="L629">
        <v>0.17609153236055539</v>
      </c>
      <c r="M629">
        <v>22</v>
      </c>
      <c r="N629">
        <v>0</v>
      </c>
      <c r="O629">
        <v>0</v>
      </c>
      <c r="P629">
        <v>0.65799999999999992</v>
      </c>
      <c r="Q629">
        <v>5.0000000000000001E-4</v>
      </c>
      <c r="R629">
        <v>0</v>
      </c>
      <c r="S629">
        <v>0.65799999999999992</v>
      </c>
      <c r="T629">
        <v>0.65799999999999992</v>
      </c>
      <c r="U629">
        <v>5</v>
      </c>
      <c r="V629">
        <v>0</v>
      </c>
      <c r="W629">
        <v>0.4</v>
      </c>
      <c r="X629">
        <v>0</v>
      </c>
      <c r="Y629">
        <v>0.48499999999999999</v>
      </c>
      <c r="Z629">
        <v>1</v>
      </c>
    </row>
    <row r="630" spans="1:26" x14ac:dyDescent="0.2">
      <c r="A630" t="s">
        <v>55</v>
      </c>
      <c r="B630">
        <v>2016</v>
      </c>
      <c r="C630" t="str">
        <f t="shared" si="9"/>
        <v>DXV2016</v>
      </c>
      <c r="D630">
        <v>1.706909022277107E-13</v>
      </c>
      <c r="E630">
        <v>4.7895113377482347E-2</v>
      </c>
      <c r="F630">
        <v>0.6277682289719585</v>
      </c>
      <c r="G630">
        <v>25.92247689269464</v>
      </c>
      <c r="H630">
        <v>2.6879484577424129</v>
      </c>
      <c r="I630">
        <v>0.35448276817950108</v>
      </c>
      <c r="J630">
        <v>0.12840259293811829</v>
      </c>
      <c r="K630">
        <v>0.13024991859513199</v>
      </c>
      <c r="L630">
        <v>0.13950526905305899</v>
      </c>
      <c r="M630">
        <v>23</v>
      </c>
      <c r="N630">
        <v>0</v>
      </c>
      <c r="O630">
        <v>0</v>
      </c>
      <c r="P630">
        <v>0.65799999999999992</v>
      </c>
      <c r="Q630">
        <v>5.0000000000000001E-4</v>
      </c>
      <c r="R630">
        <v>0</v>
      </c>
      <c r="S630">
        <v>0.65799999999999992</v>
      </c>
      <c r="T630">
        <v>0.65799999999999992</v>
      </c>
      <c r="U630">
        <v>5</v>
      </c>
      <c r="V630">
        <v>0</v>
      </c>
      <c r="W630">
        <v>0</v>
      </c>
      <c r="X630">
        <v>0</v>
      </c>
      <c r="Y630">
        <v>0.47499999999999998</v>
      </c>
      <c r="Z630">
        <v>1</v>
      </c>
    </row>
    <row r="631" spans="1:26" x14ac:dyDescent="0.2">
      <c r="A631" t="s">
        <v>55</v>
      </c>
      <c r="B631">
        <v>2017</v>
      </c>
      <c r="C631" t="str">
        <f t="shared" si="9"/>
        <v>DXV2017</v>
      </c>
      <c r="D631">
        <v>2.1675132776640319E-13</v>
      </c>
      <c r="E631">
        <v>4.814948079535384E-2</v>
      </c>
      <c r="F631">
        <v>0.52150600754363152</v>
      </c>
      <c r="G631">
        <v>25.828937569819701</v>
      </c>
      <c r="H631">
        <v>2.4145715967570398</v>
      </c>
      <c r="I631">
        <v>0.2574337300202158</v>
      </c>
      <c r="J631">
        <v>-8.929779470683874E-2</v>
      </c>
      <c r="K631">
        <v>-7.3510768025840986E-2</v>
      </c>
      <c r="L631">
        <v>0.1312986263867911</v>
      </c>
      <c r="M631">
        <v>24</v>
      </c>
      <c r="N631">
        <v>0</v>
      </c>
      <c r="O631">
        <v>0</v>
      </c>
      <c r="P631">
        <v>0.65799999999999992</v>
      </c>
      <c r="Q631">
        <v>2.9999999999999997E-4</v>
      </c>
      <c r="R631">
        <v>0</v>
      </c>
      <c r="S631">
        <v>0.65799999999999992</v>
      </c>
      <c r="T631">
        <v>0.65799999999999992</v>
      </c>
      <c r="U631">
        <v>5</v>
      </c>
      <c r="V631">
        <v>0</v>
      </c>
      <c r="W631">
        <v>0</v>
      </c>
      <c r="X631">
        <v>0</v>
      </c>
      <c r="Y631">
        <v>0.48630000000000001</v>
      </c>
      <c r="Z631">
        <v>1</v>
      </c>
    </row>
    <row r="632" spans="1:26" x14ac:dyDescent="0.2">
      <c r="A632" t="s">
        <v>55</v>
      </c>
      <c r="B632">
        <v>2018</v>
      </c>
      <c r="C632" t="str">
        <f t="shared" si="9"/>
        <v>DXV2018</v>
      </c>
      <c r="D632">
        <v>1.128323719145029E-14</v>
      </c>
      <c r="E632">
        <v>2.4979337521667659E-3</v>
      </c>
      <c r="F632">
        <v>0.49339643521181592</v>
      </c>
      <c r="G632">
        <v>25.805437996008379</v>
      </c>
      <c r="H632">
        <v>3.369857005948643</v>
      </c>
      <c r="I632">
        <v>0.2721998742092222</v>
      </c>
      <c r="J632">
        <v>-2.3225609041053089E-2</v>
      </c>
      <c r="K632">
        <v>-5.2818518396230252E-2</v>
      </c>
      <c r="L632">
        <v>0.11666061338879311</v>
      </c>
      <c r="M632">
        <v>25</v>
      </c>
      <c r="N632">
        <v>0</v>
      </c>
      <c r="O632">
        <v>0</v>
      </c>
      <c r="P632">
        <v>0.65799999999999992</v>
      </c>
      <c r="Q632">
        <v>0</v>
      </c>
      <c r="R632">
        <v>0</v>
      </c>
      <c r="S632">
        <v>0.65799999999999992</v>
      </c>
      <c r="T632">
        <v>0.65799999999999992</v>
      </c>
      <c r="U632">
        <v>5</v>
      </c>
      <c r="V632">
        <v>0</v>
      </c>
      <c r="W632">
        <v>0</v>
      </c>
      <c r="X632">
        <v>0</v>
      </c>
      <c r="Y632">
        <v>0.495</v>
      </c>
      <c r="Z632">
        <v>1</v>
      </c>
    </row>
    <row r="633" spans="1:26" x14ac:dyDescent="0.2">
      <c r="A633" t="s">
        <v>55</v>
      </c>
      <c r="B633">
        <v>2019</v>
      </c>
      <c r="C633" t="str">
        <f t="shared" si="9"/>
        <v>DXV2019</v>
      </c>
      <c r="D633">
        <v>-3.5812936870719259E-13</v>
      </c>
      <c r="E633">
        <v>-6.2424229251899048E-2</v>
      </c>
      <c r="F633">
        <v>0.43692384249149813</v>
      </c>
      <c r="G633">
        <v>25.655618094208769</v>
      </c>
      <c r="H633">
        <v>3.2212345604152408</v>
      </c>
      <c r="I633">
        <v>0.20424364350431931</v>
      </c>
      <c r="J633">
        <v>-0.1391369976578051</v>
      </c>
      <c r="K633">
        <v>3.6708227217202551E-2</v>
      </c>
      <c r="L633">
        <v>0.11394301844448899</v>
      </c>
      <c r="M633">
        <v>26</v>
      </c>
      <c r="N633">
        <v>0</v>
      </c>
      <c r="O633">
        <v>1</v>
      </c>
      <c r="P633">
        <v>0.65810000000000002</v>
      </c>
      <c r="Q633">
        <v>0</v>
      </c>
      <c r="R633">
        <v>0</v>
      </c>
      <c r="S633">
        <v>0.65810000000000002</v>
      </c>
      <c r="T633">
        <v>0.65810000000000002</v>
      </c>
      <c r="U633">
        <v>5</v>
      </c>
      <c r="V633">
        <v>0</v>
      </c>
      <c r="W633">
        <v>0</v>
      </c>
      <c r="X633">
        <v>0</v>
      </c>
      <c r="Y633">
        <v>0.505</v>
      </c>
      <c r="Z633">
        <v>1</v>
      </c>
    </row>
    <row r="634" spans="1:26" x14ac:dyDescent="0.2">
      <c r="A634" t="s">
        <v>55</v>
      </c>
      <c r="B634">
        <v>2020</v>
      </c>
      <c r="C634" t="str">
        <f t="shared" si="9"/>
        <v>DXV2020</v>
      </c>
      <c r="D634">
        <v>6.1330553048440694E-15</v>
      </c>
      <c r="E634">
        <v>9.6942499971724072E-4</v>
      </c>
      <c r="F634">
        <v>0.44272456191691117</v>
      </c>
      <c r="G634">
        <v>25.605779283700361</v>
      </c>
      <c r="H634">
        <v>4.3084906635585121</v>
      </c>
      <c r="I634">
        <v>0.16514449832576289</v>
      </c>
      <c r="J634">
        <v>-4.8617234953855948E-2</v>
      </c>
      <c r="K634">
        <v>-6.3914476190733427E-2</v>
      </c>
      <c r="L634">
        <v>9.5228676247526442E-2</v>
      </c>
      <c r="M634">
        <v>27</v>
      </c>
      <c r="N634">
        <v>0</v>
      </c>
      <c r="O634">
        <v>1</v>
      </c>
      <c r="P634">
        <v>0.65810000000000002</v>
      </c>
      <c r="Q634">
        <v>0</v>
      </c>
      <c r="R634">
        <v>0</v>
      </c>
      <c r="S634">
        <v>0.65810000000000002</v>
      </c>
      <c r="T634">
        <v>0.65810000000000002</v>
      </c>
      <c r="U634">
        <v>5</v>
      </c>
      <c r="V634">
        <v>0</v>
      </c>
      <c r="W634">
        <v>0</v>
      </c>
      <c r="X634">
        <v>0</v>
      </c>
      <c r="Y634">
        <v>0.51500000000000001</v>
      </c>
      <c r="Z634">
        <v>1</v>
      </c>
    </row>
    <row r="635" spans="1:26" x14ac:dyDescent="0.2">
      <c r="A635" t="s">
        <v>55</v>
      </c>
      <c r="B635">
        <v>2021</v>
      </c>
      <c r="C635" t="str">
        <f t="shared" si="9"/>
        <v>DXV2021</v>
      </c>
      <c r="D635">
        <v>2.3415081817862939E-14</v>
      </c>
      <c r="E635">
        <v>3.5539632858921041E-3</v>
      </c>
      <c r="F635">
        <v>0.78847012223982638</v>
      </c>
      <c r="G635">
        <v>25.5872735673445</v>
      </c>
      <c r="H635">
        <v>5.4681721788452844</v>
      </c>
      <c r="I635">
        <v>0.1465178160067066</v>
      </c>
      <c r="J635">
        <v>-1.8335536967648999E-2</v>
      </c>
      <c r="K635">
        <v>-4.8778785173225418E-2</v>
      </c>
      <c r="L635">
        <v>8.3243040075023145E-2</v>
      </c>
      <c r="M635">
        <v>28</v>
      </c>
      <c r="N635">
        <v>0</v>
      </c>
      <c r="O635">
        <v>0</v>
      </c>
      <c r="P635">
        <v>0.65810000000000002</v>
      </c>
      <c r="Q635">
        <v>0</v>
      </c>
      <c r="R635">
        <v>0</v>
      </c>
      <c r="S635">
        <v>0.65810000000000002</v>
      </c>
      <c r="T635">
        <v>0.65810000000000002</v>
      </c>
      <c r="U635">
        <v>5</v>
      </c>
      <c r="V635">
        <v>0</v>
      </c>
      <c r="W635">
        <v>0</v>
      </c>
      <c r="X635">
        <v>0</v>
      </c>
      <c r="Y635">
        <v>0.51129999999999998</v>
      </c>
      <c r="Z635">
        <v>1</v>
      </c>
    </row>
    <row r="636" spans="1:26" x14ac:dyDescent="0.2">
      <c r="A636" t="s">
        <v>55</v>
      </c>
      <c r="B636">
        <v>2022</v>
      </c>
      <c r="C636" t="str">
        <f t="shared" si="9"/>
        <v>DXV2022</v>
      </c>
      <c r="D636">
        <v>1.036667903332549E-14</v>
      </c>
      <c r="E636">
        <v>1.761620403530654E-3</v>
      </c>
      <c r="F636">
        <v>0.48204524913110303</v>
      </c>
      <c r="G636">
        <v>25.644632295998171</v>
      </c>
      <c r="H636">
        <v>6.2514115816364804</v>
      </c>
      <c r="I636">
        <v>0.19267273961217291</v>
      </c>
      <c r="J636">
        <v>5.9035648694431231E-2</v>
      </c>
      <c r="K636">
        <v>-1.2943892428142371E-2</v>
      </c>
      <c r="L636">
        <v>6.9883107568117386E-2</v>
      </c>
      <c r="M636">
        <v>29</v>
      </c>
      <c r="N636">
        <v>0</v>
      </c>
      <c r="O636">
        <v>0</v>
      </c>
      <c r="P636">
        <v>0.65810000000000002</v>
      </c>
      <c r="Q636">
        <v>0</v>
      </c>
      <c r="R636">
        <v>0</v>
      </c>
      <c r="S636">
        <v>0.65810000000000002</v>
      </c>
      <c r="T636">
        <v>0.65810000000000002</v>
      </c>
      <c r="U636">
        <v>5</v>
      </c>
      <c r="V636">
        <v>0</v>
      </c>
      <c r="W636">
        <v>0.2</v>
      </c>
      <c r="X636">
        <v>0</v>
      </c>
      <c r="Y636">
        <v>0.4889</v>
      </c>
      <c r="Z636">
        <v>1</v>
      </c>
    </row>
    <row r="637" spans="1:26" x14ac:dyDescent="0.2">
      <c r="A637" t="s">
        <v>55</v>
      </c>
      <c r="B637">
        <v>2023</v>
      </c>
      <c r="C637" t="str">
        <f t="shared" si="9"/>
        <v>DXV2023</v>
      </c>
      <c r="D637">
        <v>-2196766621.988431</v>
      </c>
      <c r="E637">
        <v>1.761620403530654E-3</v>
      </c>
      <c r="F637">
        <v>0.48204524913110303</v>
      </c>
      <c r="G637">
        <v>25.598536930037181</v>
      </c>
      <c r="H637">
        <v>4.8234559318866079</v>
      </c>
      <c r="I637">
        <v>0.19267273961217291</v>
      </c>
      <c r="J637">
        <v>-4.5049111961036899E-2</v>
      </c>
      <c r="K637">
        <v>2.0878850979830641E-2</v>
      </c>
      <c r="L637">
        <v>6.6347869008611851E-2</v>
      </c>
      <c r="M637">
        <v>30</v>
      </c>
      <c r="N637">
        <v>0</v>
      </c>
      <c r="O637">
        <v>0</v>
      </c>
      <c r="P637">
        <v>0.65810000000000002</v>
      </c>
      <c r="Q637">
        <v>0</v>
      </c>
      <c r="R637">
        <v>0</v>
      </c>
      <c r="S637">
        <v>0.65810000000000002</v>
      </c>
      <c r="T637">
        <v>0.65810000000000002</v>
      </c>
      <c r="U637">
        <v>5</v>
      </c>
      <c r="V637">
        <v>0</v>
      </c>
      <c r="W637">
        <v>0.2</v>
      </c>
      <c r="X637">
        <v>0</v>
      </c>
      <c r="Y637">
        <v>0.4889</v>
      </c>
      <c r="Z637">
        <v>1</v>
      </c>
    </row>
    <row r="638" spans="1:26" x14ac:dyDescent="0.2">
      <c r="A638" t="s">
        <v>56</v>
      </c>
      <c r="B638">
        <v>2012</v>
      </c>
      <c r="C638" t="str">
        <f t="shared" si="9"/>
        <v>EVE2012</v>
      </c>
      <c r="D638">
        <v>9.2196716033768433E-14</v>
      </c>
      <c r="E638">
        <v>0.1034188640635888</v>
      </c>
      <c r="F638">
        <v>0.90980000595939026</v>
      </c>
      <c r="G638">
        <v>27.52488530661158</v>
      </c>
      <c r="H638">
        <v>4.5473347961605564</v>
      </c>
      <c r="I638">
        <v>0.19711637054612491</v>
      </c>
      <c r="J638">
        <v>5.8396415683572338E-2</v>
      </c>
      <c r="K638">
        <v>0.22026234764979929</v>
      </c>
      <c r="L638">
        <v>0.30489235695346573</v>
      </c>
      <c r="M638">
        <v>9</v>
      </c>
      <c r="N638">
        <v>1</v>
      </c>
      <c r="O638">
        <v>0</v>
      </c>
      <c r="P638">
        <v>0.49540000000000012</v>
      </c>
      <c r="Q638">
        <v>0.18240000000000001</v>
      </c>
      <c r="R638">
        <v>0.2828</v>
      </c>
      <c r="S638">
        <v>0</v>
      </c>
      <c r="T638">
        <v>0.33560000000000001</v>
      </c>
      <c r="U638">
        <v>8</v>
      </c>
      <c r="V638">
        <v>1</v>
      </c>
      <c r="W638">
        <v>0.125</v>
      </c>
      <c r="X638">
        <v>0</v>
      </c>
      <c r="Y638">
        <v>0.46629999999999999</v>
      </c>
      <c r="Z638">
        <v>1</v>
      </c>
    </row>
    <row r="639" spans="1:26" x14ac:dyDescent="0.2">
      <c r="A639" t="s">
        <v>56</v>
      </c>
      <c r="B639">
        <v>2013</v>
      </c>
      <c r="C639" t="str">
        <f t="shared" si="9"/>
        <v>EVE2013</v>
      </c>
      <c r="D639">
        <v>1.079849117508271E-13</v>
      </c>
      <c r="E639">
        <v>0.1093014838964113</v>
      </c>
      <c r="F639">
        <v>1.0221952857988921</v>
      </c>
      <c r="G639">
        <v>27.511097860987139</v>
      </c>
      <c r="H639">
        <v>3.6693344943682091</v>
      </c>
      <c r="I639">
        <v>0.1228495597573657</v>
      </c>
      <c r="J639">
        <v>-1.369283411216893E-2</v>
      </c>
      <c r="K639">
        <v>8.0662692512658507E-2</v>
      </c>
      <c r="L639">
        <v>0.29085045325922571</v>
      </c>
      <c r="M639">
        <v>10</v>
      </c>
      <c r="N639">
        <v>1</v>
      </c>
      <c r="O639">
        <v>0</v>
      </c>
      <c r="P639">
        <v>0.45250000000000001</v>
      </c>
      <c r="Q639">
        <v>0.17330000000000001</v>
      </c>
      <c r="R639">
        <v>0.2828</v>
      </c>
      <c r="S639">
        <v>0</v>
      </c>
      <c r="T639">
        <v>0.29270000000000002</v>
      </c>
      <c r="U639">
        <v>7</v>
      </c>
      <c r="V639">
        <v>1</v>
      </c>
      <c r="W639">
        <v>0.14285714285714279</v>
      </c>
      <c r="X639">
        <v>0</v>
      </c>
      <c r="Y639">
        <v>0.46750000000000003</v>
      </c>
      <c r="Z639">
        <v>1</v>
      </c>
    </row>
    <row r="640" spans="1:26" x14ac:dyDescent="0.2">
      <c r="A640" t="s">
        <v>56</v>
      </c>
      <c r="B640">
        <v>2014</v>
      </c>
      <c r="C640" t="str">
        <f t="shared" si="9"/>
        <v>EVE2014</v>
      </c>
      <c r="D640">
        <v>8.6900397405866322E-14</v>
      </c>
      <c r="E640">
        <v>0.1024706202298848</v>
      </c>
      <c r="F640">
        <v>0.89755682093555578</v>
      </c>
      <c r="G640">
        <v>27.616906820682441</v>
      </c>
      <c r="H640">
        <v>6.275452395241337</v>
      </c>
      <c r="I640">
        <v>0.1638337444825729</v>
      </c>
      <c r="J640">
        <v>0.1116094940039225</v>
      </c>
      <c r="K640">
        <v>4.9818126326067927E-2</v>
      </c>
      <c r="L640">
        <v>0.25034350292340618</v>
      </c>
      <c r="M640">
        <v>11</v>
      </c>
      <c r="N640">
        <v>1</v>
      </c>
      <c r="O640">
        <v>0</v>
      </c>
      <c r="P640">
        <v>0.52879999999999994</v>
      </c>
      <c r="Q640">
        <v>0.17349999999999999</v>
      </c>
      <c r="R640">
        <v>0.3</v>
      </c>
      <c r="S640">
        <v>0</v>
      </c>
      <c r="T640">
        <v>0.36899999999999999</v>
      </c>
      <c r="U640">
        <v>7</v>
      </c>
      <c r="V640">
        <v>1</v>
      </c>
      <c r="W640">
        <v>0.14285714285714279</v>
      </c>
      <c r="X640">
        <v>0</v>
      </c>
      <c r="Y640">
        <v>0.46329999999999999</v>
      </c>
      <c r="Z640">
        <v>1</v>
      </c>
    </row>
    <row r="641" spans="1:26" x14ac:dyDescent="0.2">
      <c r="A641" t="s">
        <v>56</v>
      </c>
      <c r="B641">
        <v>2015</v>
      </c>
      <c r="C641" t="str">
        <f t="shared" si="9"/>
        <v>EVE2015</v>
      </c>
      <c r="D641">
        <v>9.2483728137809796E-14</v>
      </c>
      <c r="E641">
        <v>0.1251849220486429</v>
      </c>
      <c r="F641">
        <v>0.85171041167277539</v>
      </c>
      <c r="G641">
        <v>27.733595859810851</v>
      </c>
      <c r="H641">
        <v>5.0557717357448828</v>
      </c>
      <c r="I641">
        <v>0.1814203375907239</v>
      </c>
      <c r="J641">
        <v>0.12376992687657749</v>
      </c>
      <c r="K641">
        <v>7.052525997543925E-2</v>
      </c>
      <c r="L641">
        <v>0.2384718099903389</v>
      </c>
      <c r="M641">
        <v>12</v>
      </c>
      <c r="N641">
        <v>1</v>
      </c>
      <c r="O641">
        <v>0</v>
      </c>
      <c r="P641">
        <v>0.40400000000000008</v>
      </c>
      <c r="Q641">
        <v>0.17349999999999999</v>
      </c>
      <c r="R641">
        <v>0.3</v>
      </c>
      <c r="S641">
        <v>0</v>
      </c>
      <c r="T641">
        <v>0.2442</v>
      </c>
      <c r="U641">
        <v>7</v>
      </c>
      <c r="V641">
        <v>1</v>
      </c>
      <c r="W641">
        <v>0.14285714285714279</v>
      </c>
      <c r="X641">
        <v>0</v>
      </c>
      <c r="Y641">
        <v>0.4733</v>
      </c>
      <c r="Z641">
        <v>1</v>
      </c>
    </row>
    <row r="642" spans="1:26" x14ac:dyDescent="0.2">
      <c r="A642" t="s">
        <v>56</v>
      </c>
      <c r="B642">
        <v>2016</v>
      </c>
      <c r="C642" t="str">
        <f t="shared" si="9"/>
        <v>EVE2016</v>
      </c>
      <c r="D642">
        <v>7.210487513712209E-14</v>
      </c>
      <c r="E642">
        <v>9.3382860734686088E-2</v>
      </c>
      <c r="F642">
        <v>1.0410520505272189</v>
      </c>
      <c r="G642">
        <v>27.73972067582406</v>
      </c>
      <c r="H642">
        <v>5.0299979199076459</v>
      </c>
      <c r="I642">
        <v>0.1391944191428213</v>
      </c>
      <c r="J642">
        <v>6.1436110512658182E-3</v>
      </c>
      <c r="K642">
        <v>6.6618061251974489E-2</v>
      </c>
      <c r="L642">
        <v>0.24655331713225351</v>
      </c>
      <c r="M642">
        <v>13</v>
      </c>
      <c r="N642">
        <v>1</v>
      </c>
      <c r="O642">
        <v>0</v>
      </c>
      <c r="P642">
        <v>0.1598</v>
      </c>
      <c r="Q642">
        <v>0.18410000000000001</v>
      </c>
      <c r="R642">
        <v>0.1598</v>
      </c>
      <c r="S642">
        <v>0</v>
      </c>
      <c r="T642">
        <v>0</v>
      </c>
      <c r="U642">
        <v>6</v>
      </c>
      <c r="V642">
        <v>1</v>
      </c>
      <c r="W642">
        <v>0.1666666666666666</v>
      </c>
      <c r="X642">
        <v>0</v>
      </c>
      <c r="Y642">
        <v>0.48559999999999998</v>
      </c>
      <c r="Z642">
        <v>1</v>
      </c>
    </row>
    <row r="643" spans="1:26" x14ac:dyDescent="0.2">
      <c r="A643" t="s">
        <v>56</v>
      </c>
      <c r="B643">
        <v>2017</v>
      </c>
      <c r="C643" t="str">
        <f t="shared" ref="C643:C706" si="10">A643&amp;B643</f>
        <v>EVE2017</v>
      </c>
      <c r="D643">
        <v>3.1251691277386849E-14</v>
      </c>
      <c r="E643">
        <v>5.5556860877395808E-2</v>
      </c>
      <c r="F643">
        <v>0.94302253738275055</v>
      </c>
      <c r="G643">
        <v>27.87510342804223</v>
      </c>
      <c r="H643">
        <v>7.4267153006532167</v>
      </c>
      <c r="I643">
        <v>0.28197522782679108</v>
      </c>
      <c r="J643">
        <v>0.14497494219189619</v>
      </c>
      <c r="K643">
        <v>8.5496825180980604E-2</v>
      </c>
      <c r="L643">
        <v>0.2087380255754418</v>
      </c>
      <c r="M643">
        <v>14</v>
      </c>
      <c r="N643">
        <v>1</v>
      </c>
      <c r="O643">
        <v>0</v>
      </c>
      <c r="P643">
        <v>0.17</v>
      </c>
      <c r="Q643">
        <v>0.17080000000000001</v>
      </c>
      <c r="R643">
        <v>0.17</v>
      </c>
      <c r="S643">
        <v>0</v>
      </c>
      <c r="T643">
        <v>0</v>
      </c>
      <c r="U643">
        <v>6</v>
      </c>
      <c r="V643">
        <v>1</v>
      </c>
      <c r="W643">
        <v>0.1666666666666666</v>
      </c>
      <c r="X643">
        <v>0</v>
      </c>
      <c r="Y643">
        <v>0.505</v>
      </c>
      <c r="Z643">
        <v>1</v>
      </c>
    </row>
    <row r="644" spans="1:26" x14ac:dyDescent="0.2">
      <c r="A644" t="s">
        <v>56</v>
      </c>
      <c r="B644">
        <v>2018</v>
      </c>
      <c r="C644" t="str">
        <f t="shared" si="10"/>
        <v>EVE2018</v>
      </c>
      <c r="D644">
        <v>3.4323157302967438E-14</v>
      </c>
      <c r="E644">
        <v>8.3843386857437155E-2</v>
      </c>
      <c r="F644">
        <v>0.78448346458239693</v>
      </c>
      <c r="G644">
        <v>28.02987303722702</v>
      </c>
      <c r="H644">
        <v>5.8752596769032479</v>
      </c>
      <c r="I644">
        <v>0.38998908512684982</v>
      </c>
      <c r="J644">
        <v>0.1673889744227943</v>
      </c>
      <c r="K644">
        <v>6.980482423304496E-2</v>
      </c>
      <c r="L644">
        <v>0.1783721243902876</v>
      </c>
      <c r="M644">
        <v>15</v>
      </c>
      <c r="N644">
        <v>1</v>
      </c>
      <c r="O644">
        <v>0</v>
      </c>
      <c r="P644">
        <v>0.3221</v>
      </c>
      <c r="Q644">
        <v>0.19819999999999999</v>
      </c>
      <c r="R644">
        <v>0.3221</v>
      </c>
      <c r="S644">
        <v>0</v>
      </c>
      <c r="T644">
        <v>0.13789999999999999</v>
      </c>
      <c r="U644">
        <v>7</v>
      </c>
      <c r="V644">
        <v>1</v>
      </c>
      <c r="W644">
        <v>0.14285714285714279</v>
      </c>
      <c r="X644">
        <v>0</v>
      </c>
      <c r="Y644">
        <v>0.51249999999999996</v>
      </c>
      <c r="Z644">
        <v>1</v>
      </c>
    </row>
    <row r="645" spans="1:26" x14ac:dyDescent="0.2">
      <c r="A645" t="s">
        <v>56</v>
      </c>
      <c r="B645">
        <v>2019</v>
      </c>
      <c r="C645" t="str">
        <f t="shared" si="10"/>
        <v>EVE2019</v>
      </c>
      <c r="D645">
        <v>3.0405526064726029E-14</v>
      </c>
      <c r="E645">
        <v>7.659686097527113E-2</v>
      </c>
      <c r="F645">
        <v>0.65563185981943395</v>
      </c>
      <c r="G645">
        <v>28.061265469797249</v>
      </c>
      <c r="H645">
        <v>5.45714608006507</v>
      </c>
      <c r="I645">
        <v>0.38962842765210598</v>
      </c>
      <c r="J645">
        <v>3.1890371830459729E-2</v>
      </c>
      <c r="K645">
        <v>5.4981384038979182E-2</v>
      </c>
      <c r="L645">
        <v>0.1551313063003221</v>
      </c>
      <c r="M645">
        <v>16</v>
      </c>
      <c r="N645">
        <v>1</v>
      </c>
      <c r="O645">
        <v>1</v>
      </c>
      <c r="P645">
        <v>0.312</v>
      </c>
      <c r="Q645">
        <v>0.19819999999999999</v>
      </c>
      <c r="R645">
        <v>0.312</v>
      </c>
      <c r="S645">
        <v>0</v>
      </c>
      <c r="T645">
        <v>0.14499999999999999</v>
      </c>
      <c r="U645">
        <v>7</v>
      </c>
      <c r="V645">
        <v>1</v>
      </c>
      <c r="W645">
        <v>0.2857142857142857</v>
      </c>
      <c r="X645">
        <v>0</v>
      </c>
      <c r="Y645">
        <v>0.49</v>
      </c>
      <c r="Z645">
        <v>1</v>
      </c>
    </row>
    <row r="646" spans="1:26" x14ac:dyDescent="0.2">
      <c r="A646" t="s">
        <v>56</v>
      </c>
      <c r="B646">
        <v>2020</v>
      </c>
      <c r="C646" t="str">
        <f t="shared" si="10"/>
        <v>EVE2020</v>
      </c>
      <c r="D646">
        <v>2.2973160588996281E-14</v>
      </c>
      <c r="E646">
        <v>4.4536396907366181E-2</v>
      </c>
      <c r="F646">
        <v>0.66200889353382053</v>
      </c>
      <c r="G646">
        <v>27.933369915743629</v>
      </c>
      <c r="H646">
        <v>5.0984471581108322</v>
      </c>
      <c r="I646">
        <v>0.30206643474086847</v>
      </c>
      <c r="J646">
        <v>-0.12005471893718631</v>
      </c>
      <c r="K646">
        <v>0.14827618078216051</v>
      </c>
      <c r="L646">
        <v>0.14907618272100329</v>
      </c>
      <c r="M646">
        <v>17</v>
      </c>
      <c r="N646">
        <v>1</v>
      </c>
      <c r="O646">
        <v>1</v>
      </c>
      <c r="P646">
        <v>0.4267999999999999</v>
      </c>
      <c r="Q646">
        <v>0.19819999999999999</v>
      </c>
      <c r="R646">
        <v>0.37669999999999992</v>
      </c>
      <c r="S646">
        <v>0</v>
      </c>
      <c r="T646">
        <v>0.2097</v>
      </c>
      <c r="U646">
        <v>7</v>
      </c>
      <c r="V646">
        <v>0</v>
      </c>
      <c r="W646">
        <v>0.2857142857142857</v>
      </c>
      <c r="X646">
        <v>0</v>
      </c>
      <c r="Y646">
        <v>0.49180000000000001</v>
      </c>
      <c r="Z646">
        <v>1</v>
      </c>
    </row>
    <row r="647" spans="1:26" x14ac:dyDescent="0.2">
      <c r="A647" t="s">
        <v>56</v>
      </c>
      <c r="B647">
        <v>2021</v>
      </c>
      <c r="C647" t="str">
        <f t="shared" si="10"/>
        <v>EVE2021</v>
      </c>
      <c r="D647">
        <v>3.7100266126355742E-14</v>
      </c>
      <c r="E647">
        <v>6.1948575066285913E-2</v>
      </c>
      <c r="F647">
        <v>0.77396351569956823</v>
      </c>
      <c r="G647">
        <v>27.869048150848482</v>
      </c>
      <c r="H647">
        <v>7.0987300640302866</v>
      </c>
      <c r="I647">
        <v>0.24016458528110279</v>
      </c>
      <c r="J647">
        <v>-6.2296768997733738E-2</v>
      </c>
      <c r="K647">
        <v>-1.6071125258711769E-2</v>
      </c>
      <c r="L647">
        <v>0.19085066263793729</v>
      </c>
      <c r="M647">
        <v>18</v>
      </c>
      <c r="N647">
        <v>1</v>
      </c>
      <c r="O647">
        <v>0</v>
      </c>
      <c r="P647">
        <v>0.47099999999999997</v>
      </c>
      <c r="Q647">
        <v>0.19819999999999999</v>
      </c>
      <c r="R647">
        <v>0.41899999999999998</v>
      </c>
      <c r="S647">
        <v>0</v>
      </c>
      <c r="T647">
        <v>0.23899999999999999</v>
      </c>
      <c r="U647">
        <v>6</v>
      </c>
      <c r="V647">
        <v>0</v>
      </c>
      <c r="W647">
        <v>0.1666666666666666</v>
      </c>
      <c r="X647">
        <v>0</v>
      </c>
      <c r="Y647">
        <v>0.505</v>
      </c>
      <c r="Z647">
        <v>1</v>
      </c>
    </row>
    <row r="648" spans="1:26" x14ac:dyDescent="0.2">
      <c r="A648" t="s">
        <v>56</v>
      </c>
      <c r="B648">
        <v>2022</v>
      </c>
      <c r="C648" t="str">
        <f t="shared" si="10"/>
        <v>EVE2022</v>
      </c>
      <c r="D648">
        <v>4.3275726012078217E-14</v>
      </c>
      <c r="E648">
        <v>8.9342031350911885E-2</v>
      </c>
      <c r="F648">
        <v>0.70650662040485779</v>
      </c>
      <c r="G648">
        <v>28.00719154519912</v>
      </c>
      <c r="H648">
        <v>3.5510414309159861</v>
      </c>
      <c r="I648">
        <v>0.29440209688543889</v>
      </c>
      <c r="J648">
        <v>0.14814017528562529</v>
      </c>
      <c r="K648">
        <v>6.8793636935308933E-2</v>
      </c>
      <c r="L648">
        <v>0.15688549800335039</v>
      </c>
      <c r="M648">
        <v>19</v>
      </c>
      <c r="N648">
        <v>1</v>
      </c>
      <c r="O648">
        <v>0</v>
      </c>
      <c r="P648">
        <v>0.49370000000000003</v>
      </c>
      <c r="Q648">
        <v>0.19689999999999999</v>
      </c>
      <c r="R648">
        <v>0.44169999999999998</v>
      </c>
      <c r="S648">
        <v>0</v>
      </c>
      <c r="T648">
        <v>0.26140000000000002</v>
      </c>
      <c r="U648">
        <v>5</v>
      </c>
      <c r="V648">
        <v>0</v>
      </c>
      <c r="W648">
        <v>0</v>
      </c>
      <c r="X648">
        <v>0</v>
      </c>
      <c r="Y648">
        <v>0.5333</v>
      </c>
      <c r="Z648">
        <v>1</v>
      </c>
    </row>
    <row r="649" spans="1:26" x14ac:dyDescent="0.2">
      <c r="A649" t="s">
        <v>56</v>
      </c>
      <c r="B649">
        <v>2023</v>
      </c>
      <c r="C649" t="str">
        <f t="shared" si="10"/>
        <v>EVE2023</v>
      </c>
      <c r="D649">
        <v>-269333703864.8139</v>
      </c>
      <c r="E649">
        <v>1.670482172929879E-2</v>
      </c>
      <c r="F649">
        <v>0.64601498162918314</v>
      </c>
      <c r="G649">
        <v>27.935465219266909</v>
      </c>
      <c r="H649">
        <v>3.3817362038398628</v>
      </c>
      <c r="I649">
        <v>0.17694858190696</v>
      </c>
      <c r="J649">
        <v>-6.9214407162932812E-2</v>
      </c>
      <c r="K649">
        <v>0.13153358897319009</v>
      </c>
      <c r="L649">
        <v>0.25976699645020812</v>
      </c>
      <c r="M649">
        <v>20</v>
      </c>
      <c r="N649">
        <v>0</v>
      </c>
      <c r="O649">
        <v>0</v>
      </c>
      <c r="P649">
        <v>0.49370000000000003</v>
      </c>
      <c r="Q649">
        <v>0.19689999999999999</v>
      </c>
      <c r="R649">
        <v>0.44169999999999998</v>
      </c>
      <c r="S649">
        <v>0</v>
      </c>
      <c r="T649">
        <v>0.26140000000000002</v>
      </c>
      <c r="U649">
        <v>5</v>
      </c>
      <c r="V649">
        <v>0</v>
      </c>
      <c r="W649">
        <v>0</v>
      </c>
      <c r="X649">
        <v>0</v>
      </c>
      <c r="Y649">
        <v>0.5333</v>
      </c>
      <c r="Z649">
        <v>1</v>
      </c>
    </row>
    <row r="650" spans="1:26" x14ac:dyDescent="0.2">
      <c r="A650" t="s">
        <v>57</v>
      </c>
      <c r="B650">
        <v>2013</v>
      </c>
      <c r="C650" t="str">
        <f t="shared" si="10"/>
        <v>FCM2013</v>
      </c>
      <c r="D650">
        <v>1.087809920117366E-13</v>
      </c>
      <c r="E650">
        <v>0.11699393937319549</v>
      </c>
      <c r="F650">
        <v>0.93863531081542284</v>
      </c>
      <c r="G650">
        <v>27.07512656843976</v>
      </c>
      <c r="H650" t="e">
        <v>#N/A</v>
      </c>
      <c r="I650">
        <v>0.46670474952500451</v>
      </c>
      <c r="J650">
        <v>0</v>
      </c>
      <c r="K650">
        <v>-0.14115128767936669</v>
      </c>
      <c r="L650">
        <v>0.36842298418376063</v>
      </c>
      <c r="M650">
        <v>6</v>
      </c>
      <c r="N650">
        <v>0</v>
      </c>
      <c r="O650">
        <v>0</v>
      </c>
      <c r="P650">
        <v>0.50370000000000004</v>
      </c>
      <c r="Q650">
        <v>1.5E-3</v>
      </c>
      <c r="R650">
        <v>0</v>
      </c>
      <c r="S650">
        <v>0.1399</v>
      </c>
      <c r="T650">
        <v>0.50370000000000004</v>
      </c>
      <c r="U650">
        <v>5</v>
      </c>
      <c r="V650">
        <v>0</v>
      </c>
      <c r="W650">
        <v>0</v>
      </c>
      <c r="X650">
        <v>0</v>
      </c>
      <c r="Y650">
        <v>0.43359999999999999</v>
      </c>
      <c r="Z650">
        <v>0.8</v>
      </c>
    </row>
    <row r="651" spans="1:26" x14ac:dyDescent="0.2">
      <c r="A651" t="s">
        <v>57</v>
      </c>
      <c r="B651">
        <v>2014</v>
      </c>
      <c r="C651" t="str">
        <f t="shared" si="10"/>
        <v>FCM2014</v>
      </c>
      <c r="D651">
        <v>2.9105072016595178E-14</v>
      </c>
      <c r="E651">
        <v>6.1117588734797987E-2</v>
      </c>
      <c r="F651">
        <v>0.90091487973525564</v>
      </c>
      <c r="G651">
        <v>27.591243275508369</v>
      </c>
      <c r="H651">
        <v>1.900217149197204</v>
      </c>
      <c r="I651">
        <v>0.47001087822850018</v>
      </c>
      <c r="J651">
        <v>0.67550850967396658</v>
      </c>
      <c r="K651">
        <v>-0.147049811270555</v>
      </c>
      <c r="L651">
        <v>0.30112115995963351</v>
      </c>
      <c r="M651">
        <v>7</v>
      </c>
      <c r="N651">
        <v>0</v>
      </c>
      <c r="O651">
        <v>0</v>
      </c>
      <c r="P651">
        <v>0.36</v>
      </c>
      <c r="Q651">
        <v>2.0999999999999999E-3</v>
      </c>
      <c r="R651">
        <v>0</v>
      </c>
      <c r="S651">
        <v>0</v>
      </c>
      <c r="T651">
        <v>0.36</v>
      </c>
      <c r="U651">
        <v>5</v>
      </c>
      <c r="V651">
        <v>0</v>
      </c>
      <c r="W651">
        <v>0</v>
      </c>
      <c r="X651">
        <v>0</v>
      </c>
      <c r="Y651">
        <v>0.43440000000000001</v>
      </c>
      <c r="Z651">
        <v>0.8</v>
      </c>
    </row>
    <row r="652" spans="1:26" x14ac:dyDescent="0.2">
      <c r="A652" t="s">
        <v>57</v>
      </c>
      <c r="B652">
        <v>2015</v>
      </c>
      <c r="C652" t="str">
        <f t="shared" si="10"/>
        <v>FCM2015</v>
      </c>
      <c r="D652">
        <v>2.6990946910975681E-14</v>
      </c>
      <c r="E652">
        <v>4.197251207161478E-2</v>
      </c>
      <c r="F652">
        <v>0.68211547730131272</v>
      </c>
      <c r="G652">
        <v>27.565671026606051</v>
      </c>
      <c r="H652">
        <v>1.6780104918208709</v>
      </c>
      <c r="I652">
        <v>0.39761801521150192</v>
      </c>
      <c r="J652">
        <v>-2.5248048336911189E-2</v>
      </c>
      <c r="K652">
        <v>0.11742636195887531</v>
      </c>
      <c r="L652">
        <v>0.39347629585169341</v>
      </c>
      <c r="M652">
        <v>8</v>
      </c>
      <c r="N652">
        <v>0</v>
      </c>
      <c r="O652">
        <v>0</v>
      </c>
      <c r="P652">
        <v>0.36</v>
      </c>
      <c r="Q652">
        <v>2.2000000000000001E-3</v>
      </c>
      <c r="R652">
        <v>0</v>
      </c>
      <c r="S652">
        <v>0</v>
      </c>
      <c r="T652">
        <v>0.36</v>
      </c>
      <c r="U652">
        <v>5</v>
      </c>
      <c r="V652">
        <v>0</v>
      </c>
      <c r="W652">
        <v>0</v>
      </c>
      <c r="X652">
        <v>0</v>
      </c>
      <c r="Y652">
        <v>0.41920000000000002</v>
      </c>
      <c r="Z652">
        <v>0.8</v>
      </c>
    </row>
    <row r="653" spans="1:26" x14ac:dyDescent="0.2">
      <c r="A653" t="s">
        <v>57</v>
      </c>
      <c r="B653">
        <v>2016</v>
      </c>
      <c r="C653" t="str">
        <f t="shared" si="10"/>
        <v>FCM2016</v>
      </c>
      <c r="D653">
        <v>4.0903579560218288E-14</v>
      </c>
      <c r="E653">
        <v>7.2618147569675717E-2</v>
      </c>
      <c r="F653">
        <v>0.65390061097026886</v>
      </c>
      <c r="G653">
        <v>27.631187655822011</v>
      </c>
      <c r="H653">
        <v>1.7145539344177221</v>
      </c>
      <c r="I653">
        <v>0.43663679707581943</v>
      </c>
      <c r="J653">
        <v>6.7710492354226215E-2</v>
      </c>
      <c r="K653">
        <v>-3.141286422928742E-3</v>
      </c>
      <c r="L653">
        <v>0.34642645295100472</v>
      </c>
      <c r="M653">
        <v>9</v>
      </c>
      <c r="N653">
        <v>0</v>
      </c>
      <c r="O653">
        <v>0</v>
      </c>
      <c r="P653">
        <v>0.36</v>
      </c>
      <c r="Q653">
        <v>1.9E-3</v>
      </c>
      <c r="R653">
        <v>0</v>
      </c>
      <c r="S653">
        <v>0</v>
      </c>
      <c r="T653">
        <v>0.36</v>
      </c>
      <c r="U653">
        <v>5</v>
      </c>
      <c r="V653">
        <v>0</v>
      </c>
      <c r="W653">
        <v>0</v>
      </c>
      <c r="X653">
        <v>0</v>
      </c>
      <c r="Y653">
        <v>0.42499999999999999</v>
      </c>
      <c r="Z653">
        <v>0.8</v>
      </c>
    </row>
    <row r="654" spans="1:26" x14ac:dyDescent="0.2">
      <c r="A654" t="s">
        <v>57</v>
      </c>
      <c r="B654">
        <v>2017</v>
      </c>
      <c r="C654" t="str">
        <f t="shared" si="10"/>
        <v>FCM2017</v>
      </c>
      <c r="D654">
        <v>2.8140843400756679E-14</v>
      </c>
      <c r="E654">
        <v>5.3303316980293808E-2</v>
      </c>
      <c r="F654">
        <v>0.69831192339480797</v>
      </c>
      <c r="G654">
        <v>27.667526166653388</v>
      </c>
      <c r="H654">
        <v>1.520518066628842</v>
      </c>
      <c r="I654">
        <v>0.45243356815642011</v>
      </c>
      <c r="J654">
        <v>3.7006825125055709E-2</v>
      </c>
      <c r="K654">
        <v>8.5554637295488112E-3</v>
      </c>
      <c r="L654">
        <v>0.30933025182761809</v>
      </c>
      <c r="M654">
        <v>10</v>
      </c>
      <c r="N654">
        <v>1</v>
      </c>
      <c r="O654">
        <v>0</v>
      </c>
      <c r="P654">
        <v>0.36</v>
      </c>
      <c r="Q654">
        <v>1.6000000000000001E-3</v>
      </c>
      <c r="R654">
        <v>0</v>
      </c>
      <c r="S654">
        <v>0</v>
      </c>
      <c r="T654">
        <v>0.36</v>
      </c>
      <c r="U654">
        <v>5</v>
      </c>
      <c r="V654">
        <v>0</v>
      </c>
      <c r="W654">
        <v>0</v>
      </c>
      <c r="X654">
        <v>0</v>
      </c>
      <c r="Y654">
        <v>0.44819999999999999</v>
      </c>
      <c r="Z654">
        <v>0.8</v>
      </c>
    </row>
    <row r="655" spans="1:26" x14ac:dyDescent="0.2">
      <c r="A655" t="s">
        <v>57</v>
      </c>
      <c r="B655">
        <v>2018</v>
      </c>
      <c r="C655" t="str">
        <f t="shared" si="10"/>
        <v>FCM2018</v>
      </c>
      <c r="D655">
        <v>4.1997013933866142E-14</v>
      </c>
      <c r="E655">
        <v>6.6991174644313103E-2</v>
      </c>
      <c r="F655">
        <v>0.70942478782556484</v>
      </c>
      <c r="G655">
        <v>27.563779558296929</v>
      </c>
      <c r="H655">
        <v>1.5137558144613379</v>
      </c>
      <c r="I655">
        <v>0.41386428911502199</v>
      </c>
      <c r="J655">
        <v>-9.8546310684409666E-2</v>
      </c>
      <c r="K655">
        <v>6.3222375954290255E-2</v>
      </c>
      <c r="L655">
        <v>0.22682126076877171</v>
      </c>
      <c r="M655">
        <v>11</v>
      </c>
      <c r="N655">
        <v>1</v>
      </c>
      <c r="O655">
        <v>0</v>
      </c>
      <c r="P655">
        <v>0.61950000000000005</v>
      </c>
      <c r="Q655">
        <v>2.2000000000000001E-3</v>
      </c>
      <c r="R655">
        <v>0</v>
      </c>
      <c r="S655">
        <v>0</v>
      </c>
      <c r="T655">
        <v>0.61950000000000005</v>
      </c>
      <c r="U655">
        <v>5</v>
      </c>
      <c r="V655">
        <v>0</v>
      </c>
      <c r="W655">
        <v>0</v>
      </c>
      <c r="X655">
        <v>0</v>
      </c>
      <c r="Y655">
        <v>0.46899999999999997</v>
      </c>
      <c r="Z655">
        <v>0.8</v>
      </c>
    </row>
    <row r="656" spans="1:26" x14ac:dyDescent="0.2">
      <c r="A656" t="s">
        <v>57</v>
      </c>
      <c r="B656">
        <v>2019</v>
      </c>
      <c r="C656" t="str">
        <f t="shared" si="10"/>
        <v>FCM2019</v>
      </c>
      <c r="D656">
        <v>5.7811101335406547E-14</v>
      </c>
      <c r="E656">
        <v>8.3304323197963354E-2</v>
      </c>
      <c r="F656">
        <v>0.65600065861032286</v>
      </c>
      <c r="G656">
        <v>27.532201097966521</v>
      </c>
      <c r="H656">
        <v>1.8645085163786881</v>
      </c>
      <c r="I656">
        <v>0.37132424186984442</v>
      </c>
      <c r="J656">
        <v>-3.1085067914374709E-2</v>
      </c>
      <c r="K656">
        <v>0.18090081798086211</v>
      </c>
      <c r="L656">
        <v>0.22138240100673581</v>
      </c>
      <c r="M656">
        <v>12</v>
      </c>
      <c r="N656">
        <v>1</v>
      </c>
      <c r="O656">
        <v>1</v>
      </c>
      <c r="P656">
        <v>0.61950000000000005</v>
      </c>
      <c r="Q656">
        <v>1.6000000000000001E-3</v>
      </c>
      <c r="R656">
        <v>0</v>
      </c>
      <c r="S656">
        <v>0</v>
      </c>
      <c r="T656">
        <v>0.61950000000000005</v>
      </c>
      <c r="U656">
        <v>5</v>
      </c>
      <c r="V656">
        <v>0</v>
      </c>
      <c r="W656">
        <v>0</v>
      </c>
      <c r="X656">
        <v>0</v>
      </c>
      <c r="Y656">
        <v>0.45440000000000003</v>
      </c>
      <c r="Z656">
        <v>1</v>
      </c>
    </row>
    <row r="657" spans="1:26" x14ac:dyDescent="0.2">
      <c r="A657" t="s">
        <v>57</v>
      </c>
      <c r="B657">
        <v>2020</v>
      </c>
      <c r="C657" t="str">
        <f t="shared" si="10"/>
        <v>FCM2020</v>
      </c>
      <c r="D657">
        <v>4.2499329373024929E-14</v>
      </c>
      <c r="E657">
        <v>4.9326036759086388E-2</v>
      </c>
      <c r="F657">
        <v>0.61316252031687557</v>
      </c>
      <c r="G657">
        <v>27.42003372333447</v>
      </c>
      <c r="H657">
        <v>2.070429324957376</v>
      </c>
      <c r="I657">
        <v>0.30228960337948102</v>
      </c>
      <c r="J657">
        <v>-0.106105370305977</v>
      </c>
      <c r="K657">
        <v>7.288696804975113E-2</v>
      </c>
      <c r="L657">
        <v>0.20766308551793161</v>
      </c>
      <c r="M657">
        <v>13</v>
      </c>
      <c r="N657">
        <v>1</v>
      </c>
      <c r="O657">
        <v>1</v>
      </c>
      <c r="P657">
        <v>0.68049999999999999</v>
      </c>
      <c r="Q657">
        <v>1.2999999999999999E-3</v>
      </c>
      <c r="R657">
        <v>0</v>
      </c>
      <c r="S657">
        <v>0</v>
      </c>
      <c r="T657">
        <v>0.62</v>
      </c>
      <c r="U657">
        <v>5</v>
      </c>
      <c r="V657">
        <v>0</v>
      </c>
      <c r="W657">
        <v>0</v>
      </c>
      <c r="X657">
        <v>0</v>
      </c>
      <c r="Y657">
        <v>0.44219999999999998</v>
      </c>
      <c r="Z657">
        <v>1</v>
      </c>
    </row>
    <row r="658" spans="1:26" x14ac:dyDescent="0.2">
      <c r="A658" t="s">
        <v>57</v>
      </c>
      <c r="B658">
        <v>2021</v>
      </c>
      <c r="C658" t="str">
        <f t="shared" si="10"/>
        <v>FCM2021</v>
      </c>
      <c r="D658">
        <v>2.0584268395351691E-14</v>
      </c>
      <c r="E658">
        <v>2.3659267121321471E-2</v>
      </c>
      <c r="F658">
        <v>0.9710136160179651</v>
      </c>
      <c r="G658">
        <v>27.41477107757369</v>
      </c>
      <c r="H658">
        <v>2.5903025945995921</v>
      </c>
      <c r="I658">
        <v>0.29916150239575628</v>
      </c>
      <c r="J658">
        <v>-5.2488223005408008E-3</v>
      </c>
      <c r="K658">
        <v>6.7417660650520975E-2</v>
      </c>
      <c r="L658">
        <v>0.1792834625157145</v>
      </c>
      <c r="M658">
        <v>14</v>
      </c>
      <c r="N658">
        <v>1</v>
      </c>
      <c r="O658">
        <v>0</v>
      </c>
      <c r="P658">
        <v>0.68049999999999999</v>
      </c>
      <c r="Q658">
        <v>7.000000000000001E-4</v>
      </c>
      <c r="R658">
        <v>0</v>
      </c>
      <c r="S658">
        <v>0</v>
      </c>
      <c r="T658">
        <v>0.62</v>
      </c>
      <c r="U658">
        <v>4</v>
      </c>
      <c r="V658">
        <v>0</v>
      </c>
      <c r="W658">
        <v>0</v>
      </c>
      <c r="X658">
        <v>0</v>
      </c>
      <c r="Y658">
        <v>0.42499999999999999</v>
      </c>
      <c r="Z658">
        <v>1</v>
      </c>
    </row>
    <row r="659" spans="1:26" x14ac:dyDescent="0.2">
      <c r="A659" t="s">
        <v>57</v>
      </c>
      <c r="B659">
        <v>2022</v>
      </c>
      <c r="C659" t="str">
        <f t="shared" si="10"/>
        <v>FCM2022</v>
      </c>
      <c r="D659">
        <v>3.004647075266389E-14</v>
      </c>
      <c r="E659">
        <v>3.6527953875274133E-2</v>
      </c>
      <c r="F659">
        <v>0.50817458295567119</v>
      </c>
      <c r="G659">
        <v>27.44943662412425</v>
      </c>
      <c r="H659">
        <v>2.7108673416289828</v>
      </c>
      <c r="I659">
        <v>0.31402706858905299</v>
      </c>
      <c r="J659">
        <v>3.5273400130999111E-2</v>
      </c>
      <c r="K659">
        <v>7.0934192949447958E-2</v>
      </c>
      <c r="L659">
        <v>0.14616997264996431</v>
      </c>
      <c r="M659">
        <v>15</v>
      </c>
      <c r="N659">
        <v>1</v>
      </c>
      <c r="O659">
        <v>0</v>
      </c>
      <c r="P659">
        <v>0.51</v>
      </c>
      <c r="Q659">
        <v>7.000000000000001E-4</v>
      </c>
      <c r="R659">
        <v>0</v>
      </c>
      <c r="S659">
        <v>0</v>
      </c>
      <c r="T659">
        <v>0.51</v>
      </c>
      <c r="U659">
        <v>5</v>
      </c>
      <c r="V659">
        <v>0</v>
      </c>
      <c r="W659">
        <v>0</v>
      </c>
      <c r="X659">
        <v>0</v>
      </c>
      <c r="Y659">
        <v>0.44729999999999998</v>
      </c>
      <c r="Z659">
        <v>1</v>
      </c>
    </row>
    <row r="660" spans="1:26" x14ac:dyDescent="0.2">
      <c r="A660" t="s">
        <v>57</v>
      </c>
      <c r="B660">
        <v>2023</v>
      </c>
      <c r="C660" t="str">
        <f t="shared" si="10"/>
        <v>FCM2023</v>
      </c>
      <c r="D660">
        <v>-494696497888.00983</v>
      </c>
      <c r="E660">
        <v>2.248480933912422E-2</v>
      </c>
      <c r="F660">
        <v>0.39623796147610002</v>
      </c>
      <c r="G660">
        <v>27.41728472259588</v>
      </c>
      <c r="H660">
        <v>2.6877351693426368</v>
      </c>
      <c r="I660">
        <v>0.13797902132706549</v>
      </c>
      <c r="J660">
        <v>-3.1640524377723467E-2</v>
      </c>
      <c r="K660">
        <v>5.3375547420482427E-3</v>
      </c>
      <c r="L660">
        <v>0.1269386218970989</v>
      </c>
      <c r="M660">
        <v>16</v>
      </c>
      <c r="N660">
        <v>0</v>
      </c>
      <c r="O660">
        <v>0</v>
      </c>
      <c r="P660">
        <v>0.51</v>
      </c>
      <c r="Q660">
        <v>7.000000000000001E-4</v>
      </c>
      <c r="R660">
        <v>0</v>
      </c>
      <c r="S660">
        <v>0</v>
      </c>
      <c r="T660">
        <v>0.51</v>
      </c>
      <c r="U660">
        <v>5</v>
      </c>
      <c r="V660">
        <v>0</v>
      </c>
      <c r="W660">
        <v>0</v>
      </c>
      <c r="X660">
        <v>0</v>
      </c>
      <c r="Y660">
        <v>0.44729999999999998</v>
      </c>
      <c r="Z660">
        <v>1</v>
      </c>
    </row>
    <row r="661" spans="1:26" x14ac:dyDescent="0.2">
      <c r="A661" t="s">
        <v>58</v>
      </c>
      <c r="B661">
        <v>2013</v>
      </c>
      <c r="C661" t="str">
        <f t="shared" si="10"/>
        <v>FIT2013</v>
      </c>
      <c r="D661">
        <v>6.3665433631063423E-13</v>
      </c>
      <c r="E661">
        <v>0.1774999080294507</v>
      </c>
      <c r="F661">
        <v>1.279091418893211</v>
      </c>
      <c r="G661">
        <v>26.17110126735739</v>
      </c>
      <c r="H661" t="e">
        <v>#N/A</v>
      </c>
      <c r="I661">
        <v>0.16695121592041751</v>
      </c>
      <c r="J661">
        <v>0</v>
      </c>
      <c r="K661">
        <v>0.1756020299202265</v>
      </c>
      <c r="L661">
        <v>3.075484960938156E-2</v>
      </c>
      <c r="M661">
        <v>6</v>
      </c>
      <c r="N661">
        <v>0</v>
      </c>
      <c r="O661">
        <v>0</v>
      </c>
      <c r="P661">
        <v>0.1187</v>
      </c>
      <c r="Q661">
        <v>6.6400000000000001E-2</v>
      </c>
      <c r="R661">
        <v>0</v>
      </c>
      <c r="S661">
        <v>0</v>
      </c>
      <c r="T661">
        <v>0</v>
      </c>
      <c r="U661">
        <v>5</v>
      </c>
      <c r="V661">
        <v>0</v>
      </c>
      <c r="W661">
        <v>0.4</v>
      </c>
      <c r="X661">
        <v>1</v>
      </c>
      <c r="Y661">
        <v>0.39710000000000001</v>
      </c>
      <c r="Z661">
        <v>1</v>
      </c>
    </row>
    <row r="662" spans="1:26" x14ac:dyDescent="0.2">
      <c r="A662" t="s">
        <v>58</v>
      </c>
      <c r="B662">
        <v>2014</v>
      </c>
      <c r="C662" t="str">
        <f t="shared" si="10"/>
        <v>FIT2014</v>
      </c>
      <c r="D662">
        <v>1.4827212398246571E-13</v>
      </c>
      <c r="E662">
        <v>0.22105895661569461</v>
      </c>
      <c r="F662">
        <v>1.368183860723146</v>
      </c>
      <c r="G662">
        <v>27.62340785521171</v>
      </c>
      <c r="H662">
        <v>2.465836053991683</v>
      </c>
      <c r="I662">
        <v>0.2043571262423946</v>
      </c>
      <c r="J662">
        <v>3.2729591126808839</v>
      </c>
      <c r="K662">
        <v>0.12067975478388709</v>
      </c>
      <c r="L662">
        <v>0.1239870594417308</v>
      </c>
      <c r="M662">
        <v>7</v>
      </c>
      <c r="N662">
        <v>0</v>
      </c>
      <c r="O662">
        <v>0</v>
      </c>
      <c r="P662">
        <v>0.1472</v>
      </c>
      <c r="Q662">
        <v>4.87E-2</v>
      </c>
      <c r="R662">
        <v>9.11E-2</v>
      </c>
      <c r="S662">
        <v>0</v>
      </c>
      <c r="T662">
        <v>9.11E-2</v>
      </c>
      <c r="U662">
        <v>5</v>
      </c>
      <c r="V662">
        <v>0</v>
      </c>
      <c r="W662">
        <v>0.4</v>
      </c>
      <c r="X662">
        <v>1</v>
      </c>
      <c r="Y662">
        <v>0.40110000000000001</v>
      </c>
      <c r="Z662">
        <v>1</v>
      </c>
    </row>
    <row r="663" spans="1:26" x14ac:dyDescent="0.2">
      <c r="A663" t="s">
        <v>58</v>
      </c>
      <c r="B663">
        <v>2015</v>
      </c>
      <c r="C663" t="str">
        <f t="shared" si="10"/>
        <v>FIT2015</v>
      </c>
      <c r="D663">
        <v>1.5787185349822211E-14</v>
      </c>
      <c r="E663">
        <v>0.14712891002791809</v>
      </c>
      <c r="F663">
        <v>0.67587123856999998</v>
      </c>
      <c r="G663">
        <v>29.112747976312111</v>
      </c>
      <c r="H663">
        <v>3.47514636717227</v>
      </c>
      <c r="I663">
        <v>0.30527258624663223</v>
      </c>
      <c r="J663">
        <v>3.434168539127517</v>
      </c>
      <c r="K663">
        <v>7.5275072907212567E-2</v>
      </c>
      <c r="L663">
        <v>6.952857519051607E-2</v>
      </c>
      <c r="M663">
        <v>8</v>
      </c>
      <c r="N663">
        <v>0</v>
      </c>
      <c r="O663">
        <v>0</v>
      </c>
      <c r="P663">
        <v>0.31509999999999999</v>
      </c>
      <c r="Q663">
        <v>1.8E-3</v>
      </c>
      <c r="R663">
        <v>9.35E-2</v>
      </c>
      <c r="S663">
        <v>0</v>
      </c>
      <c r="T663">
        <v>0.31509999999999999</v>
      </c>
      <c r="U663">
        <v>6</v>
      </c>
      <c r="V663">
        <v>0</v>
      </c>
      <c r="W663">
        <v>0.33333333333333331</v>
      </c>
      <c r="X663">
        <v>1</v>
      </c>
      <c r="Y663">
        <v>0.40329999999999999</v>
      </c>
      <c r="Z663">
        <v>1</v>
      </c>
    </row>
    <row r="664" spans="1:26" x14ac:dyDescent="0.2">
      <c r="A664" t="s">
        <v>58</v>
      </c>
      <c r="B664">
        <v>2016</v>
      </c>
      <c r="C664" t="str">
        <f t="shared" si="10"/>
        <v>FIT2016</v>
      </c>
      <c r="D664">
        <v>7.6307076133560921E-15</v>
      </c>
      <c r="E664">
        <v>3.8183823538736533E-2</v>
      </c>
      <c r="F664">
        <v>0.36361988872648682</v>
      </c>
      <c r="G664">
        <v>29.098739532470109</v>
      </c>
      <c r="H664">
        <v>3.190531114817293</v>
      </c>
      <c r="I664">
        <v>0.13282368427881339</v>
      </c>
      <c r="J664">
        <v>-1.3910782153849331E-2</v>
      </c>
      <c r="K664">
        <v>8.5475767693365835E-3</v>
      </c>
      <c r="L664">
        <v>7.0076742496748806E-2</v>
      </c>
      <c r="M664">
        <v>9</v>
      </c>
      <c r="N664">
        <v>0</v>
      </c>
      <c r="O664">
        <v>0</v>
      </c>
      <c r="P664">
        <v>0.26350000000000001</v>
      </c>
      <c r="Q664">
        <v>4.0000000000000002E-4</v>
      </c>
      <c r="R664">
        <v>0</v>
      </c>
      <c r="S664">
        <v>0</v>
      </c>
      <c r="T664">
        <v>0.26350000000000001</v>
      </c>
      <c r="U664">
        <v>5</v>
      </c>
      <c r="V664">
        <v>0</v>
      </c>
      <c r="W664">
        <v>0.4</v>
      </c>
      <c r="X664">
        <v>1</v>
      </c>
      <c r="Y664">
        <v>0.4178</v>
      </c>
      <c r="Z664">
        <v>1</v>
      </c>
    </row>
    <row r="665" spans="1:26" x14ac:dyDescent="0.2">
      <c r="A665" t="s">
        <v>58</v>
      </c>
      <c r="B665">
        <v>2017</v>
      </c>
      <c r="C665" t="str">
        <f t="shared" si="10"/>
        <v>FIT2017</v>
      </c>
      <c r="D665">
        <v>4.6899677988836659E-15</v>
      </c>
      <c r="E665">
        <v>2.8160600580375551E-2</v>
      </c>
      <c r="F665">
        <v>0.62334704306874378</v>
      </c>
      <c r="G665">
        <v>29.220151988260611</v>
      </c>
      <c r="H665">
        <v>4.2315093281674043</v>
      </c>
      <c r="I665">
        <v>0.18402149773904361</v>
      </c>
      <c r="J665">
        <v>0.1290905162616649</v>
      </c>
      <c r="K665">
        <v>4.4750116767064863E-2</v>
      </c>
      <c r="L665">
        <v>0.1039787380137331</v>
      </c>
      <c r="M665">
        <v>10</v>
      </c>
      <c r="N665">
        <v>0</v>
      </c>
      <c r="O665">
        <v>0</v>
      </c>
      <c r="P665">
        <v>0.30270000000000002</v>
      </c>
      <c r="Q665">
        <v>4.0000000000000002E-4</v>
      </c>
      <c r="R665">
        <v>0</v>
      </c>
      <c r="S665">
        <v>0</v>
      </c>
      <c r="T665">
        <v>0.30270000000000002</v>
      </c>
      <c r="U665">
        <v>6</v>
      </c>
      <c r="V665">
        <v>0</v>
      </c>
      <c r="W665">
        <v>0.5</v>
      </c>
      <c r="X665">
        <v>1</v>
      </c>
      <c r="Y665">
        <v>0.42359999999999998</v>
      </c>
      <c r="Z665">
        <v>1</v>
      </c>
    </row>
    <row r="666" spans="1:26" x14ac:dyDescent="0.2">
      <c r="A666" t="s">
        <v>58</v>
      </c>
      <c r="B666">
        <v>2018</v>
      </c>
      <c r="C666" t="str">
        <f t="shared" si="10"/>
        <v>FIT2018</v>
      </c>
      <c r="D666">
        <v>-3.4480054045634849E-16</v>
      </c>
      <c r="E666">
        <v>-2.3468313475136361E-3</v>
      </c>
      <c r="F666">
        <v>0.36187586246567599</v>
      </c>
      <c r="G666">
        <v>29.279158797616098</v>
      </c>
      <c r="H666">
        <v>3.6368066089664519</v>
      </c>
      <c r="I666">
        <v>0.23640485607111539</v>
      </c>
      <c r="J666">
        <v>6.078246396045861E-2</v>
      </c>
      <c r="K666">
        <v>-6.2445931070348156E-3</v>
      </c>
      <c r="L666">
        <v>0.10624428843079919</v>
      </c>
      <c r="M666">
        <v>11</v>
      </c>
      <c r="N666">
        <v>0</v>
      </c>
      <c r="O666">
        <v>0</v>
      </c>
      <c r="P666">
        <v>0.63159999999999994</v>
      </c>
      <c r="Q666">
        <v>8.199999999999999E-3</v>
      </c>
      <c r="R666">
        <v>0</v>
      </c>
      <c r="S666">
        <v>0</v>
      </c>
      <c r="T666">
        <v>0.63159999999999994</v>
      </c>
      <c r="U666">
        <v>7</v>
      </c>
      <c r="V666">
        <v>0</v>
      </c>
      <c r="W666">
        <v>0.14285714285714279</v>
      </c>
      <c r="X666">
        <v>1</v>
      </c>
      <c r="Y666">
        <v>0.44440000000000002</v>
      </c>
      <c r="Z666">
        <v>1</v>
      </c>
    </row>
    <row r="667" spans="1:26" x14ac:dyDescent="0.2">
      <c r="A667" t="s">
        <v>58</v>
      </c>
      <c r="B667">
        <v>2019</v>
      </c>
      <c r="C667" t="str">
        <f t="shared" si="10"/>
        <v>FIT2019</v>
      </c>
      <c r="D667">
        <v>3.2968994680159368E-15</v>
      </c>
      <c r="E667">
        <v>2.2753609871480281E-2</v>
      </c>
      <c r="F667">
        <v>0.72110207670689797</v>
      </c>
      <c r="G667">
        <v>29.295838984190159</v>
      </c>
      <c r="H667">
        <v>4.2915219825037161</v>
      </c>
      <c r="I667">
        <v>0.23426832822189439</v>
      </c>
      <c r="J667">
        <v>1.6820077606613189E-2</v>
      </c>
      <c r="K667">
        <v>4.5623269259107639E-2</v>
      </c>
      <c r="L667">
        <v>8.3678360164902266E-2</v>
      </c>
      <c r="M667">
        <v>12</v>
      </c>
      <c r="N667">
        <v>0</v>
      </c>
      <c r="O667">
        <v>1</v>
      </c>
      <c r="P667">
        <v>0.51</v>
      </c>
      <c r="Q667">
        <v>4.0000000000000002E-4</v>
      </c>
      <c r="R667">
        <v>0</v>
      </c>
      <c r="S667">
        <v>0</v>
      </c>
      <c r="T667">
        <v>0.51</v>
      </c>
      <c r="U667">
        <v>7</v>
      </c>
      <c r="V667">
        <v>0</v>
      </c>
      <c r="W667">
        <v>0.14285714285714279</v>
      </c>
      <c r="X667">
        <v>1</v>
      </c>
      <c r="Y667">
        <v>0.442</v>
      </c>
      <c r="Z667">
        <v>1</v>
      </c>
    </row>
    <row r="668" spans="1:26" x14ac:dyDescent="0.2">
      <c r="A668" t="s">
        <v>58</v>
      </c>
      <c r="B668">
        <v>2020</v>
      </c>
      <c r="C668" t="str">
        <f t="shared" si="10"/>
        <v>FIT2020</v>
      </c>
      <c r="D668">
        <v>2.9853217258073091E-15</v>
      </c>
      <c r="E668">
        <v>2.059799155036841E-2</v>
      </c>
      <c r="F668">
        <v>0.97417264628820655</v>
      </c>
      <c r="G668">
        <v>29.295700236845619</v>
      </c>
      <c r="H668">
        <v>3.8597831471567572</v>
      </c>
      <c r="I668">
        <v>0.2341790862944591</v>
      </c>
      <c r="J668">
        <v>-1.3873771957584319E-4</v>
      </c>
      <c r="K668">
        <v>3.802254343894327E-2</v>
      </c>
      <c r="L668">
        <v>8.6619593922899418E-2</v>
      </c>
      <c r="M668">
        <v>13</v>
      </c>
      <c r="N668">
        <v>0</v>
      </c>
      <c r="O668">
        <v>1</v>
      </c>
      <c r="P668">
        <v>0.57050000000000001</v>
      </c>
      <c r="Q668">
        <v>3.8600000000000002E-2</v>
      </c>
      <c r="R668">
        <v>0</v>
      </c>
      <c r="S668">
        <v>0</v>
      </c>
      <c r="T668">
        <v>0.57050000000000001</v>
      </c>
      <c r="U668">
        <v>7</v>
      </c>
      <c r="V668">
        <v>0</v>
      </c>
      <c r="W668">
        <v>0.14285714285714279</v>
      </c>
      <c r="X668">
        <v>1</v>
      </c>
      <c r="Y668">
        <v>0.44669999999999999</v>
      </c>
      <c r="Z668">
        <v>1</v>
      </c>
    </row>
    <row r="669" spans="1:26" x14ac:dyDescent="0.2">
      <c r="A669" t="s">
        <v>58</v>
      </c>
      <c r="B669">
        <v>2021</v>
      </c>
      <c r="C669" t="str">
        <f t="shared" si="10"/>
        <v>FIT2021</v>
      </c>
      <c r="D669">
        <v>6.4640095844834136E-15</v>
      </c>
      <c r="E669">
        <v>4.9252239671183279E-2</v>
      </c>
      <c r="F669">
        <v>0.93686643671252068</v>
      </c>
      <c r="G669">
        <v>29.42012392367263</v>
      </c>
      <c r="H669">
        <v>4.5276741798316893</v>
      </c>
      <c r="I669">
        <v>0.2146314888767506</v>
      </c>
      <c r="J669">
        <v>0.13249559283042139</v>
      </c>
      <c r="K669">
        <v>2.0097116239864599E-2</v>
      </c>
      <c r="L669">
        <v>0.1035013339261568</v>
      </c>
      <c r="M669">
        <v>14</v>
      </c>
      <c r="N669">
        <v>0</v>
      </c>
      <c r="O669">
        <v>0</v>
      </c>
      <c r="P669">
        <v>0.36280000000000001</v>
      </c>
      <c r="Q669">
        <v>4.0000000000000002E-4</v>
      </c>
      <c r="R669">
        <v>0</v>
      </c>
      <c r="S669">
        <v>0</v>
      </c>
      <c r="T669">
        <v>0.36280000000000001</v>
      </c>
      <c r="U669">
        <v>7</v>
      </c>
      <c r="V669">
        <v>0</v>
      </c>
      <c r="W669">
        <v>0.14285714285714279</v>
      </c>
      <c r="X669">
        <v>1</v>
      </c>
      <c r="Y669">
        <v>0.41899999999999998</v>
      </c>
      <c r="Z669">
        <v>1</v>
      </c>
    </row>
    <row r="670" spans="1:26" x14ac:dyDescent="0.2">
      <c r="A670" t="s">
        <v>58</v>
      </c>
      <c r="B670">
        <v>2022</v>
      </c>
      <c r="C670" t="str">
        <f t="shared" si="10"/>
        <v>FIT2022</v>
      </c>
      <c r="D670">
        <v>1.462269977382282E-15</v>
      </c>
      <c r="E670">
        <v>1.2209668538211619E-2</v>
      </c>
      <c r="F670">
        <v>0.33438198372872502</v>
      </c>
      <c r="G670">
        <v>29.576604390982521</v>
      </c>
      <c r="H670">
        <v>3.1880674572359879</v>
      </c>
      <c r="I670">
        <v>0.16193101310181801</v>
      </c>
      <c r="J670">
        <v>0.16938792080409029</v>
      </c>
      <c r="K670">
        <v>-0.22972725428594509</v>
      </c>
      <c r="L670">
        <v>0.1095034214389862</v>
      </c>
      <c r="M670">
        <v>15</v>
      </c>
      <c r="N670">
        <v>0</v>
      </c>
      <c r="O670">
        <v>0</v>
      </c>
      <c r="P670">
        <v>0.30409999999999998</v>
      </c>
      <c r="Q670">
        <v>1E-4</v>
      </c>
      <c r="R670">
        <v>0</v>
      </c>
      <c r="S670">
        <v>0</v>
      </c>
      <c r="T670">
        <v>0.30409999999999998</v>
      </c>
      <c r="U670">
        <v>7</v>
      </c>
      <c r="V670">
        <v>0</v>
      </c>
      <c r="W670">
        <v>0.2857142857142857</v>
      </c>
      <c r="X670">
        <v>1</v>
      </c>
      <c r="Y670">
        <v>0.4471</v>
      </c>
      <c r="Z670">
        <v>1</v>
      </c>
    </row>
    <row r="671" spans="1:26" x14ac:dyDescent="0.2">
      <c r="A671" t="s">
        <v>58</v>
      </c>
      <c r="B671">
        <v>2023</v>
      </c>
      <c r="C671" t="str">
        <f t="shared" si="10"/>
        <v>FIT2023</v>
      </c>
      <c r="D671">
        <v>-750432298877.28394</v>
      </c>
      <c r="E671">
        <v>-1.269988732703075E-2</v>
      </c>
      <c r="F671">
        <v>0.40608845825335482</v>
      </c>
      <c r="G671">
        <v>29.675036694085861</v>
      </c>
      <c r="H671">
        <v>4.9189443191693609</v>
      </c>
      <c r="I671">
        <v>0.20842106957723541</v>
      </c>
      <c r="J671">
        <v>0.1034397024223683</v>
      </c>
      <c r="K671">
        <v>2.6532202832830649E-2</v>
      </c>
      <c r="L671">
        <v>0.12409577531020741</v>
      </c>
      <c r="M671">
        <v>16</v>
      </c>
      <c r="N671">
        <v>0</v>
      </c>
      <c r="O671">
        <v>0</v>
      </c>
      <c r="P671">
        <v>0.30409999999999998</v>
      </c>
      <c r="Q671">
        <v>1E-4</v>
      </c>
      <c r="R671">
        <v>0</v>
      </c>
      <c r="S671">
        <v>0</v>
      </c>
      <c r="T671">
        <v>0.30409999999999998</v>
      </c>
      <c r="U671">
        <v>7</v>
      </c>
      <c r="V671">
        <v>0</v>
      </c>
      <c r="W671">
        <v>0.2857142857142857</v>
      </c>
      <c r="X671">
        <v>1</v>
      </c>
      <c r="Y671">
        <v>0.4471</v>
      </c>
      <c r="Z671">
        <v>1</v>
      </c>
    </row>
    <row r="672" spans="1:26" x14ac:dyDescent="0.2">
      <c r="A672" t="s">
        <v>59</v>
      </c>
      <c r="B672">
        <v>2012</v>
      </c>
      <c r="C672" t="str">
        <f t="shared" si="10"/>
        <v>FMC2012</v>
      </c>
      <c r="D672">
        <v>2.8941678395378949E-14</v>
      </c>
      <c r="E672">
        <v>3.8963089612983101E-2</v>
      </c>
      <c r="F672">
        <v>0.81960259829805193</v>
      </c>
      <c r="G672">
        <v>26.85222894260346</v>
      </c>
      <c r="H672">
        <v>1.0755800388090551</v>
      </c>
      <c r="I672">
        <v>0.65908572829186673</v>
      </c>
      <c r="J672">
        <v>-0.41011426501828452</v>
      </c>
      <c r="K672">
        <v>0.52339895568422901</v>
      </c>
      <c r="L672">
        <v>0.23240309324639971</v>
      </c>
      <c r="M672">
        <v>17</v>
      </c>
      <c r="N672">
        <v>0</v>
      </c>
      <c r="O672">
        <v>0</v>
      </c>
      <c r="P672">
        <v>0.17249999999999999</v>
      </c>
      <c r="Q672">
        <v>2.4299999999999999E-2</v>
      </c>
      <c r="R672">
        <v>0</v>
      </c>
      <c r="S672">
        <v>0.17249999999999999</v>
      </c>
      <c r="T672">
        <v>0.17249999999999999</v>
      </c>
      <c r="U672">
        <v>5</v>
      </c>
      <c r="V672">
        <v>1</v>
      </c>
      <c r="W672">
        <v>0</v>
      </c>
      <c r="X672">
        <v>1</v>
      </c>
      <c r="Y672">
        <v>0.4778</v>
      </c>
      <c r="Z672">
        <v>1</v>
      </c>
    </row>
    <row r="673" spans="1:26" x14ac:dyDescent="0.2">
      <c r="A673" t="s">
        <v>59</v>
      </c>
      <c r="B673">
        <v>2013</v>
      </c>
      <c r="C673" t="str">
        <f t="shared" si="10"/>
        <v>FMC2013</v>
      </c>
      <c r="D673">
        <v>5.949939521441266E-14</v>
      </c>
      <c r="E673">
        <v>0.13901913650729389</v>
      </c>
      <c r="F673">
        <v>0.91156560029857625</v>
      </c>
      <c r="G673">
        <v>27.332305945437671</v>
      </c>
      <c r="H673">
        <v>1.091694902391025</v>
      </c>
      <c r="I673">
        <v>0.68252640162254863</v>
      </c>
      <c r="J673">
        <v>0.61619884929348956</v>
      </c>
      <c r="K673">
        <v>-4.6238130408965378E-2</v>
      </c>
      <c r="L673">
        <v>0.14499417415814281</v>
      </c>
      <c r="M673">
        <v>18</v>
      </c>
      <c r="N673">
        <v>1</v>
      </c>
      <c r="O673">
        <v>0</v>
      </c>
      <c r="P673">
        <v>0.50690000000000002</v>
      </c>
      <c r="Q673">
        <v>1.6E-2</v>
      </c>
      <c r="R673">
        <v>0</v>
      </c>
      <c r="S673">
        <v>0.106</v>
      </c>
      <c r="T673">
        <v>0.50690000000000002</v>
      </c>
      <c r="U673">
        <v>6</v>
      </c>
      <c r="V673">
        <v>1</v>
      </c>
      <c r="W673">
        <v>0</v>
      </c>
      <c r="X673">
        <v>1</v>
      </c>
      <c r="Y673">
        <v>0.44800000000000001</v>
      </c>
      <c r="Z673">
        <v>1</v>
      </c>
    </row>
    <row r="674" spans="1:26" x14ac:dyDescent="0.2">
      <c r="A674" t="s">
        <v>59</v>
      </c>
      <c r="B674">
        <v>2014</v>
      </c>
      <c r="C674" t="str">
        <f t="shared" si="10"/>
        <v>FMC2014</v>
      </c>
      <c r="D674">
        <v>4.4347593546055419E-14</v>
      </c>
      <c r="E674">
        <v>0.1612922452781142</v>
      </c>
      <c r="F674">
        <v>0.9219306557720951</v>
      </c>
      <c r="G674">
        <v>27.804891700128021</v>
      </c>
      <c r="H674">
        <v>1.1976424070557861</v>
      </c>
      <c r="I674">
        <v>0.67283442040332464</v>
      </c>
      <c r="J674">
        <v>0.60413673920272748</v>
      </c>
      <c r="K674">
        <v>-0.17256742948939771</v>
      </c>
      <c r="L674">
        <v>0.1344462975384112</v>
      </c>
      <c r="M674">
        <v>19</v>
      </c>
      <c r="N674">
        <v>1</v>
      </c>
      <c r="O674">
        <v>0</v>
      </c>
      <c r="P674">
        <v>0.499</v>
      </c>
      <c r="Q674">
        <v>3.1099999999999999E-2</v>
      </c>
      <c r="R674">
        <v>0</v>
      </c>
      <c r="S674">
        <v>0.106</v>
      </c>
      <c r="T674">
        <v>0.499</v>
      </c>
      <c r="U674">
        <v>6</v>
      </c>
      <c r="V674">
        <v>1</v>
      </c>
      <c r="W674">
        <v>0</v>
      </c>
      <c r="X674">
        <v>1</v>
      </c>
      <c r="Y674">
        <v>0.45800000000000002</v>
      </c>
      <c r="Z674">
        <v>1</v>
      </c>
    </row>
    <row r="675" spans="1:26" x14ac:dyDescent="0.2">
      <c r="A675" t="s">
        <v>59</v>
      </c>
      <c r="B675">
        <v>2015</v>
      </c>
      <c r="C675" t="str">
        <f t="shared" si="10"/>
        <v>FMC2015</v>
      </c>
      <c r="D675">
        <v>5.3904243346178149E-14</v>
      </c>
      <c r="E675">
        <v>0.282186045946339</v>
      </c>
      <c r="F675">
        <v>1.127212096290559</v>
      </c>
      <c r="G675">
        <v>27.926640957587509</v>
      </c>
      <c r="H675">
        <v>1.2595836573065029</v>
      </c>
      <c r="I675">
        <v>0.74327185308630683</v>
      </c>
      <c r="J675">
        <v>0</v>
      </c>
      <c r="K675">
        <v>0.1422838540840439</v>
      </c>
      <c r="L675">
        <v>0.16031857034500829</v>
      </c>
      <c r="M675">
        <v>20</v>
      </c>
      <c r="N675">
        <v>0</v>
      </c>
      <c r="O675">
        <v>0</v>
      </c>
      <c r="P675">
        <v>0.36180000000000001</v>
      </c>
      <c r="Q675">
        <v>2.7799999999999998E-2</v>
      </c>
      <c r="R675">
        <v>0</v>
      </c>
      <c r="S675">
        <v>0</v>
      </c>
      <c r="T675">
        <v>0.36180000000000001</v>
      </c>
      <c r="U675">
        <v>5</v>
      </c>
      <c r="V675">
        <v>1</v>
      </c>
      <c r="W675">
        <v>0</v>
      </c>
      <c r="X675">
        <v>1</v>
      </c>
      <c r="Y675">
        <v>0.46800000000000003</v>
      </c>
      <c r="Z675">
        <v>1</v>
      </c>
    </row>
    <row r="676" spans="1:26" x14ac:dyDescent="0.2">
      <c r="A676" t="s">
        <v>59</v>
      </c>
      <c r="B676">
        <v>2016</v>
      </c>
      <c r="C676" t="str">
        <f t="shared" si="10"/>
        <v>FMC2016</v>
      </c>
      <c r="D676">
        <v>0</v>
      </c>
      <c r="E676">
        <v>0</v>
      </c>
      <c r="F676">
        <v>1.0489312295846429</v>
      </c>
      <c r="G676">
        <v>28.061670312213661</v>
      </c>
      <c r="H676" t="e">
        <v>#N/A</v>
      </c>
      <c r="I676">
        <v>0.67448116154130344</v>
      </c>
      <c r="J676">
        <v>0</v>
      </c>
      <c r="K676">
        <v>-1.9856105607100931E-2</v>
      </c>
      <c r="L676">
        <v>0.33658436213186338</v>
      </c>
      <c r="M676">
        <v>21</v>
      </c>
      <c r="N676">
        <v>0</v>
      </c>
      <c r="O676">
        <v>0</v>
      </c>
      <c r="P676">
        <v>0.54280000000000006</v>
      </c>
      <c r="Q676">
        <v>2.4799999999999999E-2</v>
      </c>
      <c r="R676">
        <v>0</v>
      </c>
      <c r="S676">
        <v>0</v>
      </c>
      <c r="T676">
        <v>0.54280000000000006</v>
      </c>
      <c r="U676">
        <v>5</v>
      </c>
      <c r="V676">
        <v>1</v>
      </c>
      <c r="W676">
        <v>0</v>
      </c>
      <c r="X676">
        <v>1</v>
      </c>
      <c r="Y676">
        <v>0.47799999999999998</v>
      </c>
      <c r="Z676">
        <v>1</v>
      </c>
    </row>
    <row r="677" spans="1:26" x14ac:dyDescent="0.2">
      <c r="A677" t="s">
        <v>59</v>
      </c>
      <c r="B677">
        <v>2017</v>
      </c>
      <c r="C677" t="str">
        <f t="shared" si="10"/>
        <v>FMC2017</v>
      </c>
      <c r="D677">
        <v>0</v>
      </c>
      <c r="E677">
        <v>0</v>
      </c>
      <c r="F677">
        <v>1.1957831821742211</v>
      </c>
      <c r="G677">
        <v>28.165037155036849</v>
      </c>
      <c r="H677" t="e">
        <v>#N/A</v>
      </c>
      <c r="I677">
        <v>0.67449337286004984</v>
      </c>
      <c r="J677">
        <v>0</v>
      </c>
      <c r="K677">
        <v>-6.9911385866042522E-2</v>
      </c>
      <c r="L677">
        <v>0.3638652787149359</v>
      </c>
      <c r="M677">
        <v>22</v>
      </c>
      <c r="N677">
        <v>1</v>
      </c>
      <c r="O677">
        <v>0</v>
      </c>
      <c r="P677">
        <v>0.54280000000000006</v>
      </c>
      <c r="Q677">
        <v>2.4500000000000001E-2</v>
      </c>
      <c r="R677">
        <v>0</v>
      </c>
      <c r="S677">
        <v>0</v>
      </c>
      <c r="T677">
        <v>0.54280000000000006</v>
      </c>
      <c r="U677">
        <v>5</v>
      </c>
      <c r="V677">
        <v>1</v>
      </c>
      <c r="W677">
        <v>0</v>
      </c>
      <c r="X677">
        <v>1</v>
      </c>
      <c r="Y677">
        <v>0.48799999999999999</v>
      </c>
      <c r="Z677">
        <v>1</v>
      </c>
    </row>
    <row r="678" spans="1:26" x14ac:dyDescent="0.2">
      <c r="A678" t="s">
        <v>59</v>
      </c>
      <c r="B678">
        <v>2018</v>
      </c>
      <c r="C678" t="str">
        <f t="shared" si="10"/>
        <v>FMC2018</v>
      </c>
      <c r="D678">
        <v>8.0731522575256637E-14</v>
      </c>
      <c r="E678">
        <v>0.26199112002802333</v>
      </c>
      <c r="F678">
        <v>1.320262838409201</v>
      </c>
      <c r="G678">
        <v>28.033310525835461</v>
      </c>
      <c r="H678" t="e">
        <v>#N/A</v>
      </c>
      <c r="I678">
        <v>0.53924650036162569</v>
      </c>
      <c r="J678">
        <v>0.11256656641495889</v>
      </c>
      <c r="K678">
        <v>0.2474884733075858</v>
      </c>
      <c r="L678">
        <v>0.19156765347943711</v>
      </c>
      <c r="M678">
        <v>23</v>
      </c>
      <c r="N678">
        <v>1</v>
      </c>
      <c r="O678">
        <v>0</v>
      </c>
      <c r="P678">
        <v>0.53269999999999995</v>
      </c>
      <c r="Q678">
        <v>3.6799999999999999E-2</v>
      </c>
      <c r="R678">
        <v>0</v>
      </c>
      <c r="S678">
        <v>0</v>
      </c>
      <c r="T678">
        <v>0.53269999999999995</v>
      </c>
      <c r="U678">
        <v>7</v>
      </c>
      <c r="V678">
        <v>0</v>
      </c>
      <c r="W678">
        <v>0.14285714285714279</v>
      </c>
      <c r="X678">
        <v>1</v>
      </c>
      <c r="Y678">
        <v>0.50419999999999998</v>
      </c>
      <c r="Z678">
        <v>1</v>
      </c>
    </row>
    <row r="679" spans="1:26" x14ac:dyDescent="0.2">
      <c r="A679" t="s">
        <v>59</v>
      </c>
      <c r="B679">
        <v>2019</v>
      </c>
      <c r="C679" t="str">
        <f t="shared" si="10"/>
        <v>FMC2019</v>
      </c>
      <c r="D679">
        <v>9.9343182441803346E-14</v>
      </c>
      <c r="E679">
        <v>0.24476589411918279</v>
      </c>
      <c r="F679">
        <v>1.2373086131942159</v>
      </c>
      <c r="G679">
        <v>28.050283188889431</v>
      </c>
      <c r="H679">
        <v>1.4863683867646931</v>
      </c>
      <c r="I679">
        <v>0.38273682205637621</v>
      </c>
      <c r="J679">
        <v>1.7117517058512281E-2</v>
      </c>
      <c r="K679">
        <v>0.36907279717600378</v>
      </c>
      <c r="L679">
        <v>0.24346801546974331</v>
      </c>
      <c r="M679">
        <v>24</v>
      </c>
      <c r="N679">
        <v>1</v>
      </c>
      <c r="O679">
        <v>1</v>
      </c>
      <c r="P679">
        <v>0.52289999999999992</v>
      </c>
      <c r="Q679">
        <v>3.9800000000000002E-2</v>
      </c>
      <c r="R679">
        <v>0</v>
      </c>
      <c r="S679">
        <v>0</v>
      </c>
      <c r="T679">
        <v>0.52289999999999992</v>
      </c>
      <c r="U679">
        <v>5</v>
      </c>
      <c r="V679">
        <v>0</v>
      </c>
      <c r="W679">
        <v>0.2</v>
      </c>
      <c r="X679">
        <v>1</v>
      </c>
      <c r="Y679">
        <v>0.54</v>
      </c>
      <c r="Z679">
        <v>1</v>
      </c>
    </row>
    <row r="680" spans="1:26" x14ac:dyDescent="0.2">
      <c r="A680" t="s">
        <v>59</v>
      </c>
      <c r="B680">
        <v>2020</v>
      </c>
      <c r="C680" t="str">
        <f t="shared" si="10"/>
        <v>FMC2020</v>
      </c>
      <c r="D680">
        <v>7.7171190191246201E-14</v>
      </c>
      <c r="E680">
        <v>0.20900295439667979</v>
      </c>
      <c r="F680">
        <v>1.3971176518923429</v>
      </c>
      <c r="G680">
        <v>28.168193530053092</v>
      </c>
      <c r="H680">
        <v>1.920405843313487</v>
      </c>
      <c r="I680">
        <v>0.36817939013712581</v>
      </c>
      <c r="J680">
        <v>0.1251432278123423</v>
      </c>
      <c r="K680">
        <v>3.025956513901279E-2</v>
      </c>
      <c r="L680">
        <v>0.18355060149162949</v>
      </c>
      <c r="M680">
        <v>25</v>
      </c>
      <c r="N680">
        <v>1</v>
      </c>
      <c r="O680">
        <v>1</v>
      </c>
      <c r="P680">
        <v>0.5474</v>
      </c>
      <c r="Q680">
        <v>3.3099999999999997E-2</v>
      </c>
      <c r="R680">
        <v>0</v>
      </c>
      <c r="S680">
        <v>0</v>
      </c>
      <c r="T680">
        <v>0.5474</v>
      </c>
      <c r="U680">
        <v>6</v>
      </c>
      <c r="V680">
        <v>0</v>
      </c>
      <c r="W680">
        <v>0.1666666666666666</v>
      </c>
      <c r="X680">
        <v>1</v>
      </c>
      <c r="Y680">
        <v>0.50819999999999999</v>
      </c>
      <c r="Z680">
        <v>1</v>
      </c>
    </row>
    <row r="681" spans="1:26" x14ac:dyDescent="0.2">
      <c r="A681" t="s">
        <v>59</v>
      </c>
      <c r="B681">
        <v>2021</v>
      </c>
      <c r="C681" t="str">
        <f t="shared" si="10"/>
        <v>FMC2021</v>
      </c>
      <c r="D681">
        <v>3.9387592832025488E-14</v>
      </c>
      <c r="E681">
        <v>0.14523267515674759</v>
      </c>
      <c r="F681">
        <v>1.5272525431109709</v>
      </c>
      <c r="G681">
        <v>28.62419249605556</v>
      </c>
      <c r="H681">
        <v>1.9704834309412931</v>
      </c>
      <c r="I681">
        <v>0.2678097310158537</v>
      </c>
      <c r="J681">
        <v>0.57774871337735667</v>
      </c>
      <c r="K681">
        <v>7.1166655802683443E-2</v>
      </c>
      <c r="L681">
        <v>0.16678422724892589</v>
      </c>
      <c r="M681">
        <v>26</v>
      </c>
      <c r="N681">
        <v>1</v>
      </c>
      <c r="O681">
        <v>0</v>
      </c>
      <c r="P681">
        <v>0.50119999999999998</v>
      </c>
      <c r="Q681">
        <v>2.01E-2</v>
      </c>
      <c r="R681">
        <v>0</v>
      </c>
      <c r="S681">
        <v>0</v>
      </c>
      <c r="T681">
        <v>0.50119999999999998</v>
      </c>
      <c r="U681">
        <v>5</v>
      </c>
      <c r="V681">
        <v>0</v>
      </c>
      <c r="W681">
        <v>0.2</v>
      </c>
      <c r="X681">
        <v>1</v>
      </c>
      <c r="Y681">
        <v>0.51819999999999999</v>
      </c>
      <c r="Z681">
        <v>1</v>
      </c>
    </row>
    <row r="682" spans="1:26" x14ac:dyDescent="0.2">
      <c r="A682" t="s">
        <v>59</v>
      </c>
      <c r="B682">
        <v>2022</v>
      </c>
      <c r="C682" t="str">
        <f t="shared" si="10"/>
        <v>FMC2022</v>
      </c>
      <c r="D682">
        <v>3.5936311911046748E-14</v>
      </c>
      <c r="E682">
        <v>0.15170536759995221</v>
      </c>
      <c r="F682">
        <v>0.99647374402831035</v>
      </c>
      <c r="G682">
        <v>28.725895415861181</v>
      </c>
      <c r="H682">
        <v>3.015194765555568</v>
      </c>
      <c r="I682">
        <v>0.292004619936516</v>
      </c>
      <c r="J682">
        <v>0.10705453889303659</v>
      </c>
      <c r="K682">
        <v>0.15182891263261231</v>
      </c>
      <c r="L682">
        <v>0.2883152983020198</v>
      </c>
      <c r="M682">
        <v>27</v>
      </c>
      <c r="N682">
        <v>1</v>
      </c>
      <c r="O682">
        <v>0</v>
      </c>
      <c r="P682">
        <v>0.75019999999999998</v>
      </c>
      <c r="Q682">
        <v>2.01E-2</v>
      </c>
      <c r="R682">
        <v>0</v>
      </c>
      <c r="S682">
        <v>0</v>
      </c>
      <c r="T682">
        <v>0.75019999999999998</v>
      </c>
      <c r="U682">
        <v>6</v>
      </c>
      <c r="V682">
        <v>0</v>
      </c>
      <c r="W682">
        <v>0.1666666666666666</v>
      </c>
      <c r="X682">
        <v>1</v>
      </c>
      <c r="Y682">
        <v>0.53</v>
      </c>
      <c r="Z682">
        <v>1</v>
      </c>
    </row>
    <row r="683" spans="1:26" x14ac:dyDescent="0.2">
      <c r="A683" t="s">
        <v>59</v>
      </c>
      <c r="B683">
        <v>2023</v>
      </c>
      <c r="C683" t="str">
        <f t="shared" si="10"/>
        <v>FMC2023</v>
      </c>
      <c r="D683">
        <v>1805634633923.949</v>
      </c>
      <c r="E683">
        <v>0.1194032054021673</v>
      </c>
      <c r="F683">
        <v>1.1222930251557039</v>
      </c>
      <c r="G683">
        <v>28.841825753146701</v>
      </c>
      <c r="H683">
        <v>2.1760931534564181</v>
      </c>
      <c r="I683">
        <v>0.2455532702744759</v>
      </c>
      <c r="J683">
        <v>0.1229176439172739</v>
      </c>
      <c r="K683">
        <v>6.557325919385007E-2</v>
      </c>
      <c r="L683">
        <v>0.28057306671373122</v>
      </c>
      <c r="M683">
        <v>28</v>
      </c>
      <c r="N683">
        <v>0</v>
      </c>
      <c r="O683">
        <v>0</v>
      </c>
      <c r="P683">
        <v>0.75019999999999998</v>
      </c>
      <c r="Q683">
        <v>2.01E-2</v>
      </c>
      <c r="R683">
        <v>0</v>
      </c>
      <c r="S683">
        <v>0</v>
      </c>
      <c r="T683">
        <v>0.75019999999999998</v>
      </c>
      <c r="U683">
        <v>6</v>
      </c>
      <c r="V683">
        <v>0</v>
      </c>
      <c r="W683">
        <v>0.1666666666666666</v>
      </c>
      <c r="X683">
        <v>1</v>
      </c>
      <c r="Y683">
        <v>0.53</v>
      </c>
      <c r="Z683">
        <v>1</v>
      </c>
    </row>
    <row r="684" spans="1:26" x14ac:dyDescent="0.2">
      <c r="A684" t="s">
        <v>60</v>
      </c>
      <c r="B684">
        <v>2012</v>
      </c>
      <c r="C684" t="str">
        <f t="shared" si="10"/>
        <v>GDT2012</v>
      </c>
      <c r="D684">
        <v>5.7948434405625095E-13</v>
      </c>
      <c r="E684">
        <v>0.23833602290112529</v>
      </c>
      <c r="F684">
        <v>0.98006957663619831</v>
      </c>
      <c r="G684">
        <v>26.272714118338349</v>
      </c>
      <c r="H684">
        <v>2.8524444976935301</v>
      </c>
      <c r="I684">
        <v>0.37490390579349819</v>
      </c>
      <c r="J684">
        <v>0.24653779751803889</v>
      </c>
      <c r="K684">
        <v>0.1424744975630326</v>
      </c>
      <c r="L684">
        <v>0.16786886358450931</v>
      </c>
      <c r="M684">
        <v>12</v>
      </c>
      <c r="N684">
        <v>1</v>
      </c>
      <c r="O684">
        <v>0</v>
      </c>
      <c r="P684">
        <v>0.4788</v>
      </c>
      <c r="Q684">
        <v>0.45219999999999999</v>
      </c>
      <c r="R684">
        <v>9.4499999999999987E-2</v>
      </c>
      <c r="S684">
        <v>0</v>
      </c>
      <c r="T684">
        <v>9.4499999999999987E-2</v>
      </c>
      <c r="U684">
        <v>6</v>
      </c>
      <c r="V684">
        <v>0</v>
      </c>
      <c r="W684">
        <v>0.1666666666666666</v>
      </c>
      <c r="X684">
        <v>0</v>
      </c>
      <c r="Y684">
        <v>0.40300000000000002</v>
      </c>
      <c r="Z684">
        <v>0.83333333333333337</v>
      </c>
    </row>
    <row r="685" spans="1:26" x14ac:dyDescent="0.2">
      <c r="A685" t="s">
        <v>60</v>
      </c>
      <c r="B685">
        <v>2013</v>
      </c>
      <c r="C685" t="str">
        <f t="shared" si="10"/>
        <v>GDT2013</v>
      </c>
      <c r="D685">
        <v>5.2267233208088482E-13</v>
      </c>
      <c r="E685">
        <v>0.20807042110273191</v>
      </c>
      <c r="F685">
        <v>1.2458044946566831</v>
      </c>
      <c r="G685">
        <v>26.29833017536064</v>
      </c>
      <c r="H685">
        <v>1.843761666611659</v>
      </c>
      <c r="I685">
        <v>0.33741920533062603</v>
      </c>
      <c r="J685">
        <v>2.594696771145211E-2</v>
      </c>
      <c r="K685">
        <v>0.18145692510609979</v>
      </c>
      <c r="L685">
        <v>0.13702339490836979</v>
      </c>
      <c r="M685">
        <v>13</v>
      </c>
      <c r="N685">
        <v>1</v>
      </c>
      <c r="O685">
        <v>0</v>
      </c>
      <c r="P685">
        <v>0.53079999999999994</v>
      </c>
      <c r="Q685">
        <v>0.32540000000000002</v>
      </c>
      <c r="R685">
        <v>9.98E-2</v>
      </c>
      <c r="S685">
        <v>0</v>
      </c>
      <c r="T685">
        <v>9.98E-2</v>
      </c>
      <c r="U685">
        <v>5</v>
      </c>
      <c r="V685">
        <v>0</v>
      </c>
      <c r="W685">
        <v>0.2</v>
      </c>
      <c r="X685">
        <v>1</v>
      </c>
      <c r="Y685">
        <v>0.42899999999999999</v>
      </c>
      <c r="Z685">
        <v>0.8</v>
      </c>
    </row>
    <row r="686" spans="1:26" x14ac:dyDescent="0.2">
      <c r="A686" t="s">
        <v>60</v>
      </c>
      <c r="B686">
        <v>2014</v>
      </c>
      <c r="C686" t="str">
        <f t="shared" si="10"/>
        <v>GDT2014</v>
      </c>
      <c r="D686">
        <v>5.3827479955435496E-13</v>
      </c>
      <c r="E686">
        <v>0.25358759666870351</v>
      </c>
      <c r="F686">
        <v>1.508082003636606</v>
      </c>
      <c r="G686">
        <v>26.458895367202139</v>
      </c>
      <c r="H686">
        <v>2.1742346614801691</v>
      </c>
      <c r="I686">
        <v>0.3426021258357535</v>
      </c>
      <c r="J686">
        <v>0.17417431723155311</v>
      </c>
      <c r="K686">
        <v>0.1704651947956391</v>
      </c>
      <c r="L686">
        <v>0.13037324599313929</v>
      </c>
      <c r="M686">
        <v>14</v>
      </c>
      <c r="N686">
        <v>1</v>
      </c>
      <c r="O686">
        <v>0</v>
      </c>
      <c r="P686">
        <v>0.3911</v>
      </c>
      <c r="Q686">
        <v>0.19520000000000001</v>
      </c>
      <c r="R686">
        <v>9.98E-2</v>
      </c>
      <c r="S686">
        <v>0</v>
      </c>
      <c r="T686">
        <v>9.98E-2</v>
      </c>
      <c r="U686">
        <v>5</v>
      </c>
      <c r="V686">
        <v>0</v>
      </c>
      <c r="W686">
        <v>0.2</v>
      </c>
      <c r="X686">
        <v>1</v>
      </c>
      <c r="Y686">
        <v>0.42799999999999999</v>
      </c>
      <c r="Z686">
        <v>0.8</v>
      </c>
    </row>
    <row r="687" spans="1:26" x14ac:dyDescent="0.2">
      <c r="A687" t="s">
        <v>60</v>
      </c>
      <c r="B687">
        <v>2015</v>
      </c>
      <c r="C687" t="str">
        <f t="shared" si="10"/>
        <v>GDT2015</v>
      </c>
      <c r="D687">
        <v>7.4148588699797453E-13</v>
      </c>
      <c r="E687">
        <v>0.28541186193360679</v>
      </c>
      <c r="F687">
        <v>1.9477536343943189</v>
      </c>
      <c r="G687">
        <v>26.38673781238175</v>
      </c>
      <c r="H687">
        <v>2.2387599876852509</v>
      </c>
      <c r="I687">
        <v>0.25140745478174509</v>
      </c>
      <c r="J687">
        <v>-6.9615702268037372E-2</v>
      </c>
      <c r="K687">
        <v>0.27263923656811512</v>
      </c>
      <c r="L687">
        <v>0.13174355101099131</v>
      </c>
      <c r="M687">
        <v>15</v>
      </c>
      <c r="N687">
        <v>0</v>
      </c>
      <c r="O687">
        <v>0</v>
      </c>
      <c r="P687">
        <v>0.47289999999999999</v>
      </c>
      <c r="Q687">
        <v>0.1865</v>
      </c>
      <c r="R687">
        <v>9.5799999999999996E-2</v>
      </c>
      <c r="S687">
        <v>0</v>
      </c>
      <c r="T687">
        <v>9.5799999999999996E-2</v>
      </c>
      <c r="U687">
        <v>5</v>
      </c>
      <c r="V687">
        <v>0</v>
      </c>
      <c r="W687">
        <v>0.2</v>
      </c>
      <c r="X687">
        <v>0</v>
      </c>
      <c r="Y687">
        <v>0.42780000000000001</v>
      </c>
      <c r="Z687">
        <v>0.8</v>
      </c>
    </row>
    <row r="688" spans="1:26" x14ac:dyDescent="0.2">
      <c r="A688" t="s">
        <v>60</v>
      </c>
      <c r="B688">
        <v>2016</v>
      </c>
      <c r="C688" t="str">
        <f t="shared" si="10"/>
        <v>GDT2016</v>
      </c>
      <c r="D688">
        <v>7.2218149454058556E-13</v>
      </c>
      <c r="E688">
        <v>0.37267956687246062</v>
      </c>
      <c r="F688">
        <v>2.4563291470059418</v>
      </c>
      <c r="G688">
        <v>26.62170610322411</v>
      </c>
      <c r="H688">
        <v>3.0726302566094801</v>
      </c>
      <c r="I688">
        <v>0.29372987991140331</v>
      </c>
      <c r="J688">
        <v>0.26486866017725053</v>
      </c>
      <c r="K688">
        <v>0.2276854488437853</v>
      </c>
      <c r="L688">
        <v>9.4150277973806207E-2</v>
      </c>
      <c r="M688">
        <v>16</v>
      </c>
      <c r="N688">
        <v>0</v>
      </c>
      <c r="O688">
        <v>0</v>
      </c>
      <c r="P688">
        <v>0.47289999999999999</v>
      </c>
      <c r="Q688">
        <v>0.16089999999999999</v>
      </c>
      <c r="R688">
        <v>9.5799999999999996E-2</v>
      </c>
      <c r="S688">
        <v>0</v>
      </c>
      <c r="T688">
        <v>9.5799999999999996E-2</v>
      </c>
      <c r="U688">
        <v>7</v>
      </c>
      <c r="V688">
        <v>0</v>
      </c>
      <c r="W688">
        <v>0.2857142857142857</v>
      </c>
      <c r="X688">
        <v>0</v>
      </c>
      <c r="Y688">
        <v>0.43</v>
      </c>
      <c r="Z688">
        <v>0.8571428571428571</v>
      </c>
    </row>
    <row r="689" spans="1:26" x14ac:dyDescent="0.2">
      <c r="A689" t="s">
        <v>60</v>
      </c>
      <c r="B689">
        <v>2017</v>
      </c>
      <c r="C689" t="str">
        <f t="shared" si="10"/>
        <v>GDT2017</v>
      </c>
      <c r="D689">
        <v>8.2441435959558723E-13</v>
      </c>
      <c r="E689">
        <v>0.39518979854376829</v>
      </c>
      <c r="F689">
        <v>2.2608826681734731</v>
      </c>
      <c r="G689">
        <v>26.582712912800961</v>
      </c>
      <c r="H689">
        <v>2.9298076896698451</v>
      </c>
      <c r="I689">
        <v>0.2687508831504492</v>
      </c>
      <c r="J689">
        <v>-3.8242741715969752E-2</v>
      </c>
      <c r="K689">
        <v>0.1579241520192716</v>
      </c>
      <c r="L689">
        <v>8.7943419291616642E-2</v>
      </c>
      <c r="M689">
        <v>17</v>
      </c>
      <c r="N689">
        <v>1</v>
      </c>
      <c r="O689">
        <v>0</v>
      </c>
      <c r="P689">
        <v>0.36180000000000001</v>
      </c>
      <c r="Q689">
        <v>0.18440000000000001</v>
      </c>
      <c r="R689">
        <v>0</v>
      </c>
      <c r="S689">
        <v>0</v>
      </c>
      <c r="T689">
        <v>0</v>
      </c>
      <c r="U689">
        <v>7</v>
      </c>
      <c r="V689">
        <v>0</v>
      </c>
      <c r="W689">
        <v>0.2857142857142857</v>
      </c>
      <c r="X689">
        <v>1</v>
      </c>
      <c r="Y689">
        <v>0.43940000000000001</v>
      </c>
      <c r="Z689">
        <v>1</v>
      </c>
    </row>
    <row r="690" spans="1:26" x14ac:dyDescent="0.2">
      <c r="A690" t="s">
        <v>60</v>
      </c>
      <c r="B690">
        <v>2018</v>
      </c>
      <c r="C690" t="str">
        <f t="shared" si="10"/>
        <v>GDT2018</v>
      </c>
      <c r="D690">
        <v>7.5856414927860402E-13</v>
      </c>
      <c r="E690">
        <v>0.34676551430690961</v>
      </c>
      <c r="F690">
        <v>2.216177629085196</v>
      </c>
      <c r="G690">
        <v>26.563569092309589</v>
      </c>
      <c r="H690">
        <v>3.3592892310295901</v>
      </c>
      <c r="I690">
        <v>0.2477401389263677</v>
      </c>
      <c r="J690">
        <v>-1.8961741308159859E-2</v>
      </c>
      <c r="K690">
        <v>0.1748436952182213</v>
      </c>
      <c r="L690">
        <v>9.3517689080413163E-2</v>
      </c>
      <c r="M690">
        <v>18</v>
      </c>
      <c r="N690">
        <v>1</v>
      </c>
      <c r="O690">
        <v>0</v>
      </c>
      <c r="P690">
        <v>0.2833</v>
      </c>
      <c r="Q690">
        <v>0.108</v>
      </c>
      <c r="R690">
        <v>0</v>
      </c>
      <c r="S690">
        <v>0</v>
      </c>
      <c r="T690">
        <v>0</v>
      </c>
      <c r="U690">
        <v>7</v>
      </c>
      <c r="V690">
        <v>0</v>
      </c>
      <c r="W690">
        <v>0.42857142857142849</v>
      </c>
      <c r="X690">
        <v>1</v>
      </c>
      <c r="Y690">
        <v>0.45</v>
      </c>
      <c r="Z690">
        <v>1</v>
      </c>
    </row>
    <row r="691" spans="1:26" x14ac:dyDescent="0.2">
      <c r="A691" t="s">
        <v>60</v>
      </c>
      <c r="B691">
        <v>2019</v>
      </c>
      <c r="C691" t="str">
        <f t="shared" si="10"/>
        <v>GDT2019</v>
      </c>
      <c r="D691">
        <v>4.9459789437265579E-13</v>
      </c>
      <c r="E691">
        <v>0.26666985534211579</v>
      </c>
      <c r="F691">
        <v>1.568235791026199</v>
      </c>
      <c r="G691">
        <v>26.682671095018609</v>
      </c>
      <c r="H691">
        <v>3.6420077637459132</v>
      </c>
      <c r="I691">
        <v>0.28151921678905928</v>
      </c>
      <c r="J691">
        <v>0.12648481693126179</v>
      </c>
      <c r="K691">
        <v>0.21045065193976389</v>
      </c>
      <c r="L691">
        <v>8.0919429318724298E-2</v>
      </c>
      <c r="M691">
        <v>19</v>
      </c>
      <c r="N691">
        <v>0</v>
      </c>
      <c r="O691">
        <v>1</v>
      </c>
      <c r="P691">
        <v>0.3478</v>
      </c>
      <c r="Q691">
        <v>0.15229999999999999</v>
      </c>
      <c r="R691">
        <v>0</v>
      </c>
      <c r="S691">
        <v>0</v>
      </c>
      <c r="T691">
        <v>0</v>
      </c>
      <c r="U691">
        <v>7</v>
      </c>
      <c r="V691">
        <v>0</v>
      </c>
      <c r="W691">
        <v>0.42857142857142849</v>
      </c>
      <c r="X691">
        <v>1</v>
      </c>
      <c r="Y691">
        <v>0.46200000000000002</v>
      </c>
      <c r="Z691">
        <v>1</v>
      </c>
    </row>
    <row r="692" spans="1:26" x14ac:dyDescent="0.2">
      <c r="A692" t="s">
        <v>60</v>
      </c>
      <c r="B692">
        <v>2020</v>
      </c>
      <c r="C692" t="str">
        <f t="shared" si="10"/>
        <v>GDT2020</v>
      </c>
      <c r="D692">
        <v>5.0271361918044467E-13</v>
      </c>
      <c r="E692">
        <v>0.29562592524175091</v>
      </c>
      <c r="F692">
        <v>2.056579971408008</v>
      </c>
      <c r="G692">
        <v>26.711880163263949</v>
      </c>
      <c r="H692">
        <v>3.224729167579429</v>
      </c>
      <c r="I692">
        <v>0.32173362131905131</v>
      </c>
      <c r="J692">
        <v>2.963983696821626E-2</v>
      </c>
      <c r="K692">
        <v>0.2191928457489731</v>
      </c>
      <c r="L692">
        <v>0.10516283656997009</v>
      </c>
      <c r="M692">
        <v>20</v>
      </c>
      <c r="N692">
        <v>0</v>
      </c>
      <c r="O692">
        <v>1</v>
      </c>
      <c r="P692">
        <v>0.3478</v>
      </c>
      <c r="Q692">
        <v>0.11409999999999999</v>
      </c>
      <c r="R692">
        <v>0</v>
      </c>
      <c r="S692">
        <v>0</v>
      </c>
      <c r="T692">
        <v>0</v>
      </c>
      <c r="U692">
        <v>7</v>
      </c>
      <c r="V692">
        <v>0</v>
      </c>
      <c r="W692">
        <v>0.42857142857142849</v>
      </c>
      <c r="X692">
        <v>1</v>
      </c>
      <c r="Y692">
        <v>0.47189999999999999</v>
      </c>
      <c r="Z692">
        <v>1</v>
      </c>
    </row>
    <row r="693" spans="1:26" x14ac:dyDescent="0.2">
      <c r="A693" t="s">
        <v>60</v>
      </c>
      <c r="B693">
        <v>2021</v>
      </c>
      <c r="C693" t="str">
        <f t="shared" si="10"/>
        <v>GDT2021</v>
      </c>
      <c r="D693">
        <v>4.1882579446203811E-13</v>
      </c>
      <c r="E693">
        <v>0.22904160738294979</v>
      </c>
      <c r="F693">
        <v>3.244035959051395</v>
      </c>
      <c r="G693">
        <v>26.66597344810177</v>
      </c>
      <c r="H693">
        <v>2.3898728024501912</v>
      </c>
      <c r="I693">
        <v>0.30336681109184988</v>
      </c>
      <c r="J693">
        <v>-4.4868942719184401E-2</v>
      </c>
      <c r="K693">
        <v>0.12878975982258739</v>
      </c>
      <c r="L693">
        <v>0.1108618496410962</v>
      </c>
      <c r="M693">
        <v>21</v>
      </c>
      <c r="N693">
        <v>0</v>
      </c>
      <c r="O693">
        <v>0</v>
      </c>
      <c r="P693">
        <v>0.32669999999999999</v>
      </c>
      <c r="Q693">
        <v>0.1244</v>
      </c>
      <c r="R693">
        <v>0</v>
      </c>
      <c r="S693">
        <v>0</v>
      </c>
      <c r="T693">
        <v>0</v>
      </c>
      <c r="U693">
        <v>7</v>
      </c>
      <c r="V693">
        <v>0</v>
      </c>
      <c r="W693">
        <v>0.42857142857142849</v>
      </c>
      <c r="X693">
        <v>1</v>
      </c>
      <c r="Y693">
        <v>0.4819</v>
      </c>
      <c r="Z693">
        <v>1</v>
      </c>
    </row>
    <row r="694" spans="1:26" x14ac:dyDescent="0.2">
      <c r="A694" t="s">
        <v>60</v>
      </c>
      <c r="B694">
        <v>2022</v>
      </c>
      <c r="C694" t="str">
        <f t="shared" si="10"/>
        <v>GDT2022</v>
      </c>
      <c r="D694">
        <v>4.2022483967494098E-13</v>
      </c>
      <c r="E694">
        <v>0.23533232949802749</v>
      </c>
      <c r="F694">
        <v>1.9563082062981429</v>
      </c>
      <c r="G694">
        <v>26.729633752963899</v>
      </c>
      <c r="H694">
        <v>2.053655476383041</v>
      </c>
      <c r="I694">
        <v>0.27500907800649582</v>
      </c>
      <c r="J694">
        <v>6.5730313859842626E-2</v>
      </c>
      <c r="K694">
        <v>3.066193026060882E-2</v>
      </c>
      <c r="L694">
        <v>0.1245986603469474</v>
      </c>
      <c r="M694">
        <v>22</v>
      </c>
      <c r="N694">
        <v>0</v>
      </c>
      <c r="O694">
        <v>0</v>
      </c>
      <c r="P694">
        <v>0.32669999999999999</v>
      </c>
      <c r="Q694">
        <v>0.1129</v>
      </c>
      <c r="R694">
        <v>0</v>
      </c>
      <c r="S694">
        <v>0</v>
      </c>
      <c r="T694">
        <v>0</v>
      </c>
      <c r="U694">
        <v>6</v>
      </c>
      <c r="V694">
        <v>0</v>
      </c>
      <c r="W694">
        <v>0.5</v>
      </c>
      <c r="X694">
        <v>1</v>
      </c>
      <c r="Y694">
        <v>0.49270000000000003</v>
      </c>
      <c r="Z694">
        <v>1</v>
      </c>
    </row>
    <row r="695" spans="1:26" x14ac:dyDescent="0.2">
      <c r="A695" t="s">
        <v>60</v>
      </c>
      <c r="B695">
        <v>2023</v>
      </c>
      <c r="C695" t="str">
        <f t="shared" si="10"/>
        <v>GDT2023</v>
      </c>
      <c r="D695">
        <v>2698293286557.6099</v>
      </c>
      <c r="E695">
        <v>0.10871260574866159</v>
      </c>
      <c r="F695">
        <v>1.346408776679535</v>
      </c>
      <c r="G695">
        <v>26.736754740222391</v>
      </c>
      <c r="H695">
        <v>2.740181379165521</v>
      </c>
      <c r="I695">
        <v>0.17458879990922879</v>
      </c>
      <c r="J695">
        <v>7.1464017779363509E-3</v>
      </c>
      <c r="K695">
        <v>9.6926515198865831E-2</v>
      </c>
      <c r="L695">
        <v>0.1808215975975801</v>
      </c>
      <c r="M695">
        <v>23</v>
      </c>
      <c r="N695">
        <v>0</v>
      </c>
      <c r="O695">
        <v>0</v>
      </c>
      <c r="P695">
        <v>0.32669999999999999</v>
      </c>
      <c r="Q695">
        <v>0.1129</v>
      </c>
      <c r="R695">
        <v>0</v>
      </c>
      <c r="S695">
        <v>0</v>
      </c>
      <c r="T695">
        <v>0</v>
      </c>
      <c r="U695">
        <v>6</v>
      </c>
      <c r="V695">
        <v>0</v>
      </c>
      <c r="W695">
        <v>0.5</v>
      </c>
      <c r="X695">
        <v>1</v>
      </c>
      <c r="Y695">
        <v>0.49270000000000003</v>
      </c>
      <c r="Z695">
        <v>1</v>
      </c>
    </row>
    <row r="696" spans="1:26" x14ac:dyDescent="0.2">
      <c r="A696" t="s">
        <v>61</v>
      </c>
      <c r="B696">
        <v>2014</v>
      </c>
      <c r="C696" t="str">
        <f t="shared" si="10"/>
        <v>GEX2014</v>
      </c>
      <c r="D696">
        <v>1.6909555201931689E-14</v>
      </c>
      <c r="E696">
        <v>0.20448673050041311</v>
      </c>
      <c r="F696">
        <v>0.9754378313642037</v>
      </c>
      <c r="G696">
        <v>29.269729598497079</v>
      </c>
      <c r="H696" t="e">
        <v>#N/A</v>
      </c>
      <c r="I696">
        <v>0.46764923943589792</v>
      </c>
      <c r="J696">
        <v>0</v>
      </c>
      <c r="K696">
        <v>0.1190809603836695</v>
      </c>
      <c r="L696">
        <v>0.19677393930359319</v>
      </c>
      <c r="M696">
        <v>4</v>
      </c>
      <c r="N696">
        <v>0</v>
      </c>
      <c r="O696">
        <v>0</v>
      </c>
      <c r="P696">
        <v>0.87170000000000003</v>
      </c>
      <c r="Q696">
        <v>1.1299999999999999E-2</v>
      </c>
      <c r="R696">
        <v>0</v>
      </c>
      <c r="S696">
        <v>0.87170000000000003</v>
      </c>
      <c r="T696">
        <v>0.87170000000000003</v>
      </c>
      <c r="U696">
        <v>5</v>
      </c>
      <c r="V696">
        <v>0</v>
      </c>
      <c r="W696">
        <v>0.2</v>
      </c>
      <c r="X696">
        <v>0</v>
      </c>
      <c r="Y696">
        <v>0.4985</v>
      </c>
      <c r="Z696">
        <v>1</v>
      </c>
    </row>
    <row r="697" spans="1:26" x14ac:dyDescent="0.2">
      <c r="A697" t="s">
        <v>61</v>
      </c>
      <c r="B697">
        <v>2015</v>
      </c>
      <c r="C697" t="str">
        <f t="shared" si="10"/>
        <v>GEX2015</v>
      </c>
      <c r="D697">
        <v>1.885697393043503E-14</v>
      </c>
      <c r="E697">
        <v>0.15233960049893361</v>
      </c>
      <c r="F697">
        <v>1.101354414302754</v>
      </c>
      <c r="G697">
        <v>29.223822259854089</v>
      </c>
      <c r="H697">
        <v>1.5108260506653759</v>
      </c>
      <c r="I697">
        <v>0.39129911120388888</v>
      </c>
      <c r="J697">
        <v>-4.4479796307318693E-2</v>
      </c>
      <c r="K697">
        <v>2.5695948503863589E-2</v>
      </c>
      <c r="L697">
        <v>0.19725742535776741</v>
      </c>
      <c r="M697">
        <v>5</v>
      </c>
      <c r="N697">
        <v>1</v>
      </c>
      <c r="O697">
        <v>0</v>
      </c>
      <c r="P697">
        <v>9.6799999999999997E-2</v>
      </c>
      <c r="Q697">
        <v>9.300000000000001E-3</v>
      </c>
      <c r="R697">
        <v>0</v>
      </c>
      <c r="S697">
        <v>0</v>
      </c>
      <c r="T697">
        <v>9.6799999999999997E-2</v>
      </c>
      <c r="U697">
        <v>6</v>
      </c>
      <c r="V697">
        <v>0</v>
      </c>
      <c r="W697">
        <v>0.1666666666666666</v>
      </c>
      <c r="X697">
        <v>0</v>
      </c>
      <c r="Y697">
        <v>0.48730000000000001</v>
      </c>
      <c r="Z697">
        <v>1</v>
      </c>
    </row>
    <row r="698" spans="1:26" x14ac:dyDescent="0.2">
      <c r="A698" t="s">
        <v>61</v>
      </c>
      <c r="B698">
        <v>2016</v>
      </c>
      <c r="C698" t="str">
        <f t="shared" si="10"/>
        <v>GEX2016</v>
      </c>
      <c r="D698">
        <v>8.4405423062732934E-15</v>
      </c>
      <c r="E698">
        <v>0.1988043848443819</v>
      </c>
      <c r="F698">
        <v>0.99105390631117485</v>
      </c>
      <c r="G698">
        <v>29.804083441423622</v>
      </c>
      <c r="H698">
        <v>1.720595009439936</v>
      </c>
      <c r="I698">
        <v>0.62701328037847703</v>
      </c>
      <c r="J698">
        <v>0.81659699534024588</v>
      </c>
      <c r="K698">
        <v>2.0235891117571219E-2</v>
      </c>
      <c r="L698">
        <v>0.1290073659341982</v>
      </c>
      <c r="M698">
        <v>6</v>
      </c>
      <c r="N698">
        <v>1</v>
      </c>
      <c r="O698">
        <v>0</v>
      </c>
      <c r="P698">
        <v>0.23089999999999999</v>
      </c>
      <c r="Q698">
        <v>0</v>
      </c>
      <c r="R698">
        <v>0</v>
      </c>
      <c r="S698">
        <v>0</v>
      </c>
      <c r="T698">
        <v>0.23089999999999999</v>
      </c>
      <c r="U698">
        <v>5</v>
      </c>
      <c r="V698">
        <v>0</v>
      </c>
      <c r="W698">
        <v>0.2</v>
      </c>
      <c r="X698">
        <v>1</v>
      </c>
      <c r="Y698">
        <v>0.45219999999999999</v>
      </c>
      <c r="Z698">
        <v>1</v>
      </c>
    </row>
    <row r="699" spans="1:26" x14ac:dyDescent="0.2">
      <c r="A699" t="s">
        <v>61</v>
      </c>
      <c r="B699">
        <v>2017</v>
      </c>
      <c r="C699" t="str">
        <f t="shared" si="10"/>
        <v>GEX2017</v>
      </c>
      <c r="D699">
        <v>4.6832057590998701E-15</v>
      </c>
      <c r="E699">
        <v>0.1436960268267839</v>
      </c>
      <c r="F699">
        <v>1.037699820600217</v>
      </c>
      <c r="G699">
        <v>30.26360577525298</v>
      </c>
      <c r="H699">
        <v>1.6865042292323</v>
      </c>
      <c r="I699">
        <v>0.54666894633122043</v>
      </c>
      <c r="J699">
        <v>0.54042266983638099</v>
      </c>
      <c r="K699">
        <v>1.281981904833673E-2</v>
      </c>
      <c r="L699">
        <v>0.2286838785086158</v>
      </c>
      <c r="M699">
        <v>7</v>
      </c>
      <c r="N699">
        <v>1</v>
      </c>
      <c r="O699">
        <v>0</v>
      </c>
      <c r="P699">
        <v>0.23180000000000001</v>
      </c>
      <c r="Q699">
        <v>2.0000000000000001E-4</v>
      </c>
      <c r="R699">
        <v>0</v>
      </c>
      <c r="S699">
        <v>0</v>
      </c>
      <c r="T699">
        <v>0.23180000000000001</v>
      </c>
      <c r="U699">
        <v>5</v>
      </c>
      <c r="V699">
        <v>0</v>
      </c>
      <c r="W699">
        <v>0.2</v>
      </c>
      <c r="X699">
        <v>0</v>
      </c>
      <c r="Y699">
        <v>0.45440000000000003</v>
      </c>
      <c r="Z699">
        <v>1</v>
      </c>
    </row>
    <row r="700" spans="1:26" x14ac:dyDescent="0.2">
      <c r="A700" t="s">
        <v>61</v>
      </c>
      <c r="B700">
        <v>2018</v>
      </c>
      <c r="C700" t="str">
        <f t="shared" si="10"/>
        <v>GEX2018</v>
      </c>
      <c r="D700">
        <v>4.3150803974017437E-15</v>
      </c>
      <c r="E700">
        <v>0.16114132863594879</v>
      </c>
      <c r="F700">
        <v>1.0603223942662789</v>
      </c>
      <c r="G700">
        <v>30.478629654467081</v>
      </c>
      <c r="H700">
        <v>1.5631575915398921</v>
      </c>
      <c r="I700">
        <v>0.53816948348134719</v>
      </c>
      <c r="J700">
        <v>0.2533069109585917</v>
      </c>
      <c r="K700">
        <v>4.2604923454090678E-2</v>
      </c>
      <c r="L700">
        <v>0.28976449032608181</v>
      </c>
      <c r="M700">
        <v>8</v>
      </c>
      <c r="N700">
        <v>1</v>
      </c>
      <c r="O700">
        <v>0</v>
      </c>
      <c r="P700">
        <v>0.1915</v>
      </c>
      <c r="Q700">
        <v>2.0000000000000001E-4</v>
      </c>
      <c r="R700">
        <v>0</v>
      </c>
      <c r="S700">
        <v>0</v>
      </c>
      <c r="T700">
        <v>0.1915</v>
      </c>
      <c r="U700">
        <v>6</v>
      </c>
      <c r="V700">
        <v>1</v>
      </c>
      <c r="W700">
        <v>0.33333333333333331</v>
      </c>
      <c r="X700">
        <v>0</v>
      </c>
      <c r="Y700">
        <v>0.46329999999999999</v>
      </c>
      <c r="Z700">
        <v>1</v>
      </c>
    </row>
    <row r="701" spans="1:26" x14ac:dyDescent="0.2">
      <c r="A701" t="s">
        <v>61</v>
      </c>
      <c r="B701">
        <v>2019</v>
      </c>
      <c r="C701" t="str">
        <f t="shared" si="10"/>
        <v>GEX2019</v>
      </c>
      <c r="D701">
        <v>1.8159966736441281E-15</v>
      </c>
      <c r="E701">
        <v>9.4612457041082176E-2</v>
      </c>
      <c r="F701">
        <v>1.03623771400205</v>
      </c>
      <c r="G701">
        <v>30.687938589583251</v>
      </c>
      <c r="H701">
        <v>1.1871347786431321</v>
      </c>
      <c r="I701">
        <v>0.59189762888120356</v>
      </c>
      <c r="J701">
        <v>0.23099871970681751</v>
      </c>
      <c r="K701">
        <v>7.2582235445024026E-2</v>
      </c>
      <c r="L701">
        <v>0.2917600659909137</v>
      </c>
      <c r="M701">
        <v>9</v>
      </c>
      <c r="N701">
        <v>1</v>
      </c>
      <c r="O701">
        <v>1</v>
      </c>
      <c r="P701">
        <v>0.1515</v>
      </c>
      <c r="Q701">
        <v>1.8E-3</v>
      </c>
      <c r="R701">
        <v>0</v>
      </c>
      <c r="S701">
        <v>0</v>
      </c>
      <c r="T701">
        <v>0.1515</v>
      </c>
      <c r="U701">
        <v>6</v>
      </c>
      <c r="V701">
        <v>1</v>
      </c>
      <c r="W701">
        <v>0.33333333333333331</v>
      </c>
      <c r="X701">
        <v>0</v>
      </c>
      <c r="Y701">
        <v>0.48430000000000001</v>
      </c>
      <c r="Z701">
        <v>1</v>
      </c>
    </row>
    <row r="702" spans="1:26" x14ac:dyDescent="0.2">
      <c r="A702" t="s">
        <v>61</v>
      </c>
      <c r="B702">
        <v>2020</v>
      </c>
      <c r="C702" t="str">
        <f t="shared" si="10"/>
        <v>GEX2020</v>
      </c>
      <c r="D702">
        <v>1.328816255581569E-15</v>
      </c>
      <c r="E702">
        <v>0.11924882610079671</v>
      </c>
      <c r="F702">
        <v>1.086885273547102</v>
      </c>
      <c r="G702">
        <v>30.932475237043789</v>
      </c>
      <c r="H702">
        <v>1.094965573752148</v>
      </c>
      <c r="I702">
        <v>0.69743817797602681</v>
      </c>
      <c r="J702">
        <v>0.2789248645656297</v>
      </c>
      <c r="K702">
        <v>2.4362359015428971E-2</v>
      </c>
      <c r="L702">
        <v>0.24057281355378399</v>
      </c>
      <c r="M702">
        <v>10</v>
      </c>
      <c r="N702">
        <v>1</v>
      </c>
      <c r="O702">
        <v>1</v>
      </c>
      <c r="P702">
        <v>0.2487</v>
      </c>
      <c r="Q702">
        <v>0.1321</v>
      </c>
      <c r="R702">
        <v>0</v>
      </c>
      <c r="S702">
        <v>0</v>
      </c>
      <c r="T702">
        <v>0.13300000000000001</v>
      </c>
      <c r="U702">
        <v>6</v>
      </c>
      <c r="V702">
        <v>0</v>
      </c>
      <c r="W702">
        <v>0</v>
      </c>
      <c r="X702">
        <v>0</v>
      </c>
      <c r="Y702">
        <v>0.4657</v>
      </c>
      <c r="Z702">
        <v>1</v>
      </c>
    </row>
    <row r="703" spans="1:26" x14ac:dyDescent="0.2">
      <c r="A703" t="s">
        <v>61</v>
      </c>
      <c r="B703">
        <v>2021</v>
      </c>
      <c r="C703" t="str">
        <f t="shared" si="10"/>
        <v>GEX2021</v>
      </c>
      <c r="D703">
        <v>4.4505841123577582E-16</v>
      </c>
      <c r="E703">
        <v>8.1294537540991182E-2</v>
      </c>
      <c r="F703">
        <v>1.2306856188977</v>
      </c>
      <c r="G703">
        <v>31.744994221531151</v>
      </c>
      <c r="H703">
        <v>1.2067831487749501</v>
      </c>
      <c r="I703">
        <v>0.66501028998504419</v>
      </c>
      <c r="J703">
        <v>1.2535775698219811</v>
      </c>
      <c r="K703">
        <v>-3.8328352478564531E-2</v>
      </c>
      <c r="L703">
        <v>0.3776293275215164</v>
      </c>
      <c r="M703">
        <v>11</v>
      </c>
      <c r="N703">
        <v>1</v>
      </c>
      <c r="O703">
        <v>0</v>
      </c>
      <c r="P703">
        <v>0.35880000000000001</v>
      </c>
      <c r="Q703">
        <v>0.2472</v>
      </c>
      <c r="R703">
        <v>0</v>
      </c>
      <c r="S703">
        <v>0</v>
      </c>
      <c r="T703">
        <v>0.13300000000000001</v>
      </c>
      <c r="U703">
        <v>7</v>
      </c>
      <c r="V703">
        <v>0</v>
      </c>
      <c r="W703">
        <v>0</v>
      </c>
      <c r="X703">
        <v>0</v>
      </c>
      <c r="Y703">
        <v>0.46110000000000001</v>
      </c>
      <c r="Z703">
        <v>1</v>
      </c>
    </row>
    <row r="704" spans="1:26" x14ac:dyDescent="0.2">
      <c r="A704" t="s">
        <v>61</v>
      </c>
      <c r="B704">
        <v>2022</v>
      </c>
      <c r="C704" t="str">
        <f t="shared" si="10"/>
        <v>GEX2022</v>
      </c>
      <c r="D704">
        <v>5.5818564642919429E-16</v>
      </c>
      <c r="E704">
        <v>7.2790443212510283E-2</v>
      </c>
      <c r="F704">
        <v>0.79984989698309772</v>
      </c>
      <c r="G704">
        <v>31.58963824788788</v>
      </c>
      <c r="H704">
        <v>1.3121519031565401</v>
      </c>
      <c r="I704">
        <v>0.59829255831601813</v>
      </c>
      <c r="J704">
        <v>-0.1438896294924189</v>
      </c>
      <c r="K704">
        <v>0.16156057482510011</v>
      </c>
      <c r="L704">
        <v>0.46512675674499199</v>
      </c>
      <c r="M704">
        <v>12</v>
      </c>
      <c r="N704">
        <v>1</v>
      </c>
      <c r="O704">
        <v>0</v>
      </c>
      <c r="P704">
        <v>0.23749999999999999</v>
      </c>
      <c r="Q704">
        <v>0.25690000000000002</v>
      </c>
      <c r="R704">
        <v>0</v>
      </c>
      <c r="S704">
        <v>0</v>
      </c>
      <c r="T704">
        <v>0</v>
      </c>
      <c r="U704">
        <v>7</v>
      </c>
      <c r="V704">
        <v>0</v>
      </c>
      <c r="W704">
        <v>0</v>
      </c>
      <c r="X704">
        <v>1</v>
      </c>
      <c r="Y704">
        <v>0.45779999999999998</v>
      </c>
      <c r="Z704">
        <v>1</v>
      </c>
    </row>
    <row r="705" spans="1:26" x14ac:dyDescent="0.2">
      <c r="A705" t="s">
        <v>61</v>
      </c>
      <c r="B705">
        <v>2023</v>
      </c>
      <c r="C705" t="str">
        <f t="shared" si="10"/>
        <v>GEX2023</v>
      </c>
      <c r="D705">
        <v>16810453953964.85</v>
      </c>
      <c r="E705">
        <v>2.4621438559976561E-2</v>
      </c>
      <c r="F705">
        <v>0.72781013171720499</v>
      </c>
      <c r="G705">
        <v>31.63975106422318</v>
      </c>
      <c r="H705">
        <v>1.146114779618103</v>
      </c>
      <c r="I705">
        <v>0.36295100563813509</v>
      </c>
      <c r="J705">
        <v>5.1389703618815563E-2</v>
      </c>
      <c r="K705">
        <v>9.105101649151448E-2</v>
      </c>
      <c r="L705">
        <v>0.4629571163783861</v>
      </c>
      <c r="M705">
        <v>13</v>
      </c>
      <c r="N705">
        <v>0</v>
      </c>
      <c r="O705">
        <v>0</v>
      </c>
      <c r="P705">
        <v>0.23749999999999999</v>
      </c>
      <c r="Q705">
        <v>0.25690000000000002</v>
      </c>
      <c r="R705">
        <v>0</v>
      </c>
      <c r="S705">
        <v>0</v>
      </c>
      <c r="T705">
        <v>0</v>
      </c>
      <c r="U705">
        <v>7</v>
      </c>
      <c r="V705">
        <v>0</v>
      </c>
      <c r="W705">
        <v>0</v>
      </c>
      <c r="X705">
        <v>1</v>
      </c>
      <c r="Y705">
        <v>0.45779999999999998</v>
      </c>
      <c r="Z705">
        <v>1</v>
      </c>
    </row>
    <row r="706" spans="1:26" x14ac:dyDescent="0.2">
      <c r="A706" t="s">
        <v>62</v>
      </c>
      <c r="B706">
        <v>2012</v>
      </c>
      <c r="C706" t="str">
        <f t="shared" si="10"/>
        <v>GIL2012</v>
      </c>
      <c r="D706">
        <v>3.7437537493361181E-14</v>
      </c>
      <c r="E706">
        <v>9.6588651453432137E-2</v>
      </c>
      <c r="F706">
        <v>1.1242770426658479</v>
      </c>
      <c r="G706">
        <v>27.513255722156291</v>
      </c>
      <c r="H706">
        <v>1.422424457418997</v>
      </c>
      <c r="I706">
        <v>0.62354070867615674</v>
      </c>
      <c r="J706">
        <v>0.16645374505000959</v>
      </c>
      <c r="K706">
        <v>-0.1214197027940153</v>
      </c>
      <c r="L706">
        <v>0.21390185136591999</v>
      </c>
      <c r="M706">
        <v>30</v>
      </c>
      <c r="N706">
        <v>0</v>
      </c>
      <c r="O706">
        <v>0</v>
      </c>
      <c r="P706">
        <v>0.47789999999999999</v>
      </c>
      <c r="Q706">
        <v>0.1696</v>
      </c>
      <c r="R706">
        <v>5.0099999999999999E-2</v>
      </c>
      <c r="S706">
        <v>0</v>
      </c>
      <c r="T706">
        <v>0.36580000000000001</v>
      </c>
      <c r="U706">
        <v>6</v>
      </c>
      <c r="V706">
        <v>1</v>
      </c>
      <c r="W706">
        <v>0.1666666666666666</v>
      </c>
      <c r="X706">
        <v>0</v>
      </c>
      <c r="Y706">
        <v>0.38909999999999989</v>
      </c>
      <c r="Z706">
        <v>1</v>
      </c>
    </row>
    <row r="707" spans="1:26" x14ac:dyDescent="0.2">
      <c r="A707" t="s">
        <v>62</v>
      </c>
      <c r="B707">
        <v>2013</v>
      </c>
      <c r="C707" t="str">
        <f t="shared" ref="C707:C770" si="11">A707&amp;B707</f>
        <v>GIL2013</v>
      </c>
      <c r="D707">
        <v>5.7380453674220967E-14</v>
      </c>
      <c r="E707">
        <v>0.15697395488069579</v>
      </c>
      <c r="F707">
        <v>1.0198775349773419</v>
      </c>
      <c r="G707">
        <v>27.596752448147789</v>
      </c>
      <c r="H707">
        <v>1.205567276458863</v>
      </c>
      <c r="I707">
        <v>0.62539200190974997</v>
      </c>
      <c r="J707">
        <v>8.7081656171237309E-2</v>
      </c>
      <c r="K707">
        <v>-5.3835063862650537E-2</v>
      </c>
      <c r="L707">
        <v>0.16756914985093541</v>
      </c>
      <c r="M707">
        <v>31</v>
      </c>
      <c r="N707">
        <v>0</v>
      </c>
      <c r="O707">
        <v>0</v>
      </c>
      <c r="P707">
        <v>0.60980000000000001</v>
      </c>
      <c r="Q707">
        <v>0.16819999999999999</v>
      </c>
      <c r="R707">
        <v>5.0099999999999999E-2</v>
      </c>
      <c r="S707">
        <v>0</v>
      </c>
      <c r="T707">
        <v>0.49609999999999999</v>
      </c>
      <c r="U707">
        <v>7</v>
      </c>
      <c r="V707">
        <v>1</v>
      </c>
      <c r="W707">
        <v>0.14285714285714279</v>
      </c>
      <c r="X707">
        <v>0</v>
      </c>
      <c r="Y707">
        <v>0.38729999999999998</v>
      </c>
      <c r="Z707">
        <v>1</v>
      </c>
    </row>
    <row r="708" spans="1:26" x14ac:dyDescent="0.2">
      <c r="A708" t="s">
        <v>62</v>
      </c>
      <c r="B708">
        <v>2014</v>
      </c>
      <c r="C708" t="str">
        <f t="shared" si="11"/>
        <v>GIL2014</v>
      </c>
      <c r="D708">
        <v>5.5391472722162619E-14</v>
      </c>
      <c r="E708">
        <v>0.12694765854185339</v>
      </c>
      <c r="F708">
        <v>1.1221451096317741</v>
      </c>
      <c r="G708">
        <v>27.560021820004781</v>
      </c>
      <c r="H708">
        <v>1.30273913203067</v>
      </c>
      <c r="I708">
        <v>0.59332817642803715</v>
      </c>
      <c r="J708">
        <v>-3.6064242454944329E-2</v>
      </c>
      <c r="K708">
        <v>0.12671193692436999</v>
      </c>
      <c r="L708">
        <v>0.15360206507410459</v>
      </c>
      <c r="M708">
        <v>32</v>
      </c>
      <c r="N708">
        <v>0</v>
      </c>
      <c r="O708">
        <v>0</v>
      </c>
      <c r="P708">
        <v>0.53390000000000004</v>
      </c>
      <c r="Q708">
        <v>0.1686</v>
      </c>
      <c r="R708">
        <v>5.0199999999999988E-2</v>
      </c>
      <c r="S708">
        <v>0</v>
      </c>
      <c r="T708">
        <v>0.42</v>
      </c>
      <c r="U708">
        <v>7</v>
      </c>
      <c r="V708">
        <v>1</v>
      </c>
      <c r="W708">
        <v>0.14285714285714279</v>
      </c>
      <c r="X708">
        <v>0</v>
      </c>
      <c r="Y708">
        <v>0.40500000000000003</v>
      </c>
      <c r="Z708">
        <v>1</v>
      </c>
    </row>
    <row r="709" spans="1:26" x14ac:dyDescent="0.2">
      <c r="A709" t="s">
        <v>62</v>
      </c>
      <c r="B709">
        <v>2015</v>
      </c>
      <c r="C709" t="str">
        <f t="shared" si="11"/>
        <v>GIL2015</v>
      </c>
      <c r="D709">
        <v>7.9654543359676538E-14</v>
      </c>
      <c r="E709">
        <v>0.17500551834541339</v>
      </c>
      <c r="F709">
        <v>1.102911200785194</v>
      </c>
      <c r="G709">
        <v>27.555691433005279</v>
      </c>
      <c r="H709">
        <v>1.370734839909046</v>
      </c>
      <c r="I709">
        <v>0.57787259945001157</v>
      </c>
      <c r="J709">
        <v>-4.3210243931618431E-3</v>
      </c>
      <c r="K709">
        <v>5.8578345863911398E-2</v>
      </c>
      <c r="L709">
        <v>0.1462137843252474</v>
      </c>
      <c r="M709">
        <v>33</v>
      </c>
      <c r="N709">
        <v>0</v>
      </c>
      <c r="O709">
        <v>0</v>
      </c>
      <c r="P709">
        <v>0.52129999999999999</v>
      </c>
      <c r="Q709">
        <v>0.1235</v>
      </c>
      <c r="R709">
        <v>0</v>
      </c>
      <c r="S709">
        <v>0</v>
      </c>
      <c r="T709">
        <v>0.25469999999999998</v>
      </c>
      <c r="U709">
        <v>7</v>
      </c>
      <c r="V709">
        <v>1</v>
      </c>
      <c r="W709">
        <v>0.14285714285714279</v>
      </c>
      <c r="X709">
        <v>0</v>
      </c>
      <c r="Y709">
        <v>0.41499999999999998</v>
      </c>
      <c r="Z709">
        <v>1</v>
      </c>
    </row>
    <row r="710" spans="1:26" x14ac:dyDescent="0.2">
      <c r="A710" t="s">
        <v>62</v>
      </c>
      <c r="B710">
        <v>2016</v>
      </c>
      <c r="C710" t="str">
        <f t="shared" si="11"/>
        <v>GIL2016</v>
      </c>
      <c r="D710">
        <v>8.0245627359126223E-14</v>
      </c>
      <c r="E710">
        <v>0.2111286884258298</v>
      </c>
      <c r="F710">
        <v>1.15915200321162</v>
      </c>
      <c r="G710">
        <v>27.717197423019091</v>
      </c>
      <c r="H710">
        <v>1.39187591755302</v>
      </c>
      <c r="I710">
        <v>0.58571422496941761</v>
      </c>
      <c r="J710">
        <v>0.17527949807772189</v>
      </c>
      <c r="K710">
        <v>5.7476800348457993E-2</v>
      </c>
      <c r="L710">
        <v>0.1233802880101843</v>
      </c>
      <c r="M710">
        <v>34</v>
      </c>
      <c r="N710">
        <v>0</v>
      </c>
      <c r="O710">
        <v>0</v>
      </c>
      <c r="P710">
        <v>0.40370000000000011</v>
      </c>
      <c r="Q710">
        <v>0.1802</v>
      </c>
      <c r="R710">
        <v>0</v>
      </c>
      <c r="S710">
        <v>0</v>
      </c>
      <c r="T710">
        <v>0.18129999999999999</v>
      </c>
      <c r="U710">
        <v>7</v>
      </c>
      <c r="V710">
        <v>1</v>
      </c>
      <c r="W710">
        <v>0.14285714285714279</v>
      </c>
      <c r="X710">
        <v>0</v>
      </c>
      <c r="Y710">
        <v>0.42199999999999999</v>
      </c>
      <c r="Z710">
        <v>1</v>
      </c>
    </row>
    <row r="711" spans="1:26" x14ac:dyDescent="0.2">
      <c r="A711" t="s">
        <v>62</v>
      </c>
      <c r="B711">
        <v>2017</v>
      </c>
      <c r="C711" t="str">
        <f t="shared" si="11"/>
        <v>GIL2017</v>
      </c>
      <c r="D711">
        <v>6.4894401993332173E-14</v>
      </c>
      <c r="E711">
        <v>0.25636920018963089</v>
      </c>
      <c r="F711">
        <v>0.95036706723923103</v>
      </c>
      <c r="G711">
        <v>28.02787800390433</v>
      </c>
      <c r="H711">
        <v>1.142312239270967</v>
      </c>
      <c r="I711">
        <v>0.62356140588384457</v>
      </c>
      <c r="J711">
        <v>0.36435335103762068</v>
      </c>
      <c r="K711">
        <v>7.3997428222899314E-3</v>
      </c>
      <c r="L711">
        <v>8.7959969719953748E-2</v>
      </c>
      <c r="M711">
        <v>35</v>
      </c>
      <c r="N711">
        <v>0</v>
      </c>
      <c r="O711">
        <v>0</v>
      </c>
      <c r="P711">
        <v>0.2843</v>
      </c>
      <c r="Q711">
        <v>0.18840000000000001</v>
      </c>
      <c r="R711">
        <v>0</v>
      </c>
      <c r="S711">
        <v>0</v>
      </c>
      <c r="T711">
        <v>6.1699999999999998E-2</v>
      </c>
      <c r="U711">
        <v>5</v>
      </c>
      <c r="V711">
        <v>1</v>
      </c>
      <c r="W711">
        <v>0</v>
      </c>
      <c r="X711">
        <v>0</v>
      </c>
      <c r="Y711">
        <v>0.4471</v>
      </c>
      <c r="Z711">
        <v>1</v>
      </c>
    </row>
    <row r="712" spans="1:26" x14ac:dyDescent="0.2">
      <c r="A712" t="s">
        <v>62</v>
      </c>
      <c r="B712">
        <v>2018</v>
      </c>
      <c r="C712" t="str">
        <f t="shared" si="11"/>
        <v>GIL2018</v>
      </c>
      <c r="D712">
        <v>4.8039688759315978E-14</v>
      </c>
      <c r="E712">
        <v>0.2301675040942166</v>
      </c>
      <c r="F712">
        <v>0.95691385788269445</v>
      </c>
      <c r="G712">
        <v>28.24239658135733</v>
      </c>
      <c r="H712">
        <v>1.217042945582125</v>
      </c>
      <c r="I712">
        <v>0.61534341843319718</v>
      </c>
      <c r="J712">
        <v>0.2392651431505908</v>
      </c>
      <c r="K712">
        <v>-2.9258811750205858E-2</v>
      </c>
      <c r="L712">
        <v>6.8818187052676505E-2</v>
      </c>
      <c r="M712">
        <v>36</v>
      </c>
      <c r="N712">
        <v>0</v>
      </c>
      <c r="O712">
        <v>0</v>
      </c>
      <c r="P712">
        <v>0.2918</v>
      </c>
      <c r="Q712">
        <v>0.18390000000000001</v>
      </c>
      <c r="R712">
        <v>0</v>
      </c>
      <c r="S712">
        <v>0</v>
      </c>
      <c r="T712">
        <v>6.1500000000000013E-2</v>
      </c>
      <c r="U712">
        <v>5</v>
      </c>
      <c r="V712">
        <v>1</v>
      </c>
      <c r="W712">
        <v>0.2</v>
      </c>
      <c r="X712">
        <v>0</v>
      </c>
      <c r="Y712">
        <v>0.41</v>
      </c>
      <c r="Z712">
        <v>1</v>
      </c>
    </row>
    <row r="713" spans="1:26" x14ac:dyDescent="0.2">
      <c r="A713" t="s">
        <v>62</v>
      </c>
      <c r="B713">
        <v>2019</v>
      </c>
      <c r="C713" t="str">
        <f t="shared" si="11"/>
        <v>GIL2019</v>
      </c>
      <c r="D713">
        <v>4.4537456729109181E-14</v>
      </c>
      <c r="E713">
        <v>0.1918979533122018</v>
      </c>
      <c r="F713">
        <v>0.77177412130713319</v>
      </c>
      <c r="G713">
        <v>28.272058546792</v>
      </c>
      <c r="H713">
        <v>1.313381498828649</v>
      </c>
      <c r="I713">
        <v>0.55939026383157464</v>
      </c>
      <c r="J713">
        <v>3.0106263570070849E-2</v>
      </c>
      <c r="K713">
        <v>0.16583281707481479</v>
      </c>
      <c r="L713">
        <v>8.3457063495498723E-2</v>
      </c>
      <c r="M713">
        <v>37</v>
      </c>
      <c r="N713">
        <v>0</v>
      </c>
      <c r="O713">
        <v>1</v>
      </c>
      <c r="P713">
        <v>0.24279999999999999</v>
      </c>
      <c r="Q713">
        <v>0.1908</v>
      </c>
      <c r="R713">
        <v>0</v>
      </c>
      <c r="S713">
        <v>0</v>
      </c>
      <c r="T713">
        <v>5.9200000000000003E-2</v>
      </c>
      <c r="U713">
        <v>5</v>
      </c>
      <c r="V713">
        <v>1</v>
      </c>
      <c r="W713">
        <v>0</v>
      </c>
      <c r="X713">
        <v>0</v>
      </c>
      <c r="Y713">
        <v>0.44169999999999998</v>
      </c>
      <c r="Z713">
        <v>1</v>
      </c>
    </row>
    <row r="714" spans="1:26" x14ac:dyDescent="0.2">
      <c r="A714" t="s">
        <v>62</v>
      </c>
      <c r="B714">
        <v>2020</v>
      </c>
      <c r="C714" t="str">
        <f t="shared" si="11"/>
        <v>GIL2020</v>
      </c>
      <c r="D714">
        <v>4.2157060686639583E-14</v>
      </c>
      <c r="E714">
        <v>0.23975205908322389</v>
      </c>
      <c r="F714">
        <v>1.0817156533566681</v>
      </c>
      <c r="G714">
        <v>28.62743900935606</v>
      </c>
      <c r="H714">
        <v>1.4574431803480741</v>
      </c>
      <c r="I714">
        <v>0.52373708034041533</v>
      </c>
      <c r="J714">
        <v>0.4267233658642049</v>
      </c>
      <c r="K714">
        <v>9.8935715157672077E-2</v>
      </c>
      <c r="L714">
        <v>6.7328577110108728E-2</v>
      </c>
      <c r="M714">
        <v>38</v>
      </c>
      <c r="N714">
        <v>0</v>
      </c>
      <c r="O714">
        <v>1</v>
      </c>
      <c r="P714">
        <v>0.2351</v>
      </c>
      <c r="Q714">
        <v>0.1749</v>
      </c>
      <c r="R714">
        <v>0</v>
      </c>
      <c r="S714">
        <v>0</v>
      </c>
      <c r="T714">
        <v>0</v>
      </c>
      <c r="U714">
        <v>5</v>
      </c>
      <c r="V714">
        <v>0</v>
      </c>
      <c r="W714">
        <v>0</v>
      </c>
      <c r="X714">
        <v>0</v>
      </c>
      <c r="Y714">
        <v>0.4486</v>
      </c>
      <c r="Z714">
        <v>1</v>
      </c>
    </row>
    <row r="715" spans="1:26" x14ac:dyDescent="0.2">
      <c r="A715" t="s">
        <v>62</v>
      </c>
      <c r="B715">
        <v>2021</v>
      </c>
      <c r="C715" t="str">
        <f t="shared" si="11"/>
        <v>GIL2021</v>
      </c>
      <c r="D715">
        <v>2.3314799947809929E-14</v>
      </c>
      <c r="E715">
        <v>0.2053061278604438</v>
      </c>
      <c r="F715">
        <v>1.306537856979803</v>
      </c>
      <c r="G715">
        <v>28.95698160325303</v>
      </c>
      <c r="H715">
        <v>1.5258279440655109</v>
      </c>
      <c r="I715">
        <v>0.5723513512884163</v>
      </c>
      <c r="J715">
        <v>0.39033203663992572</v>
      </c>
      <c r="K715">
        <v>3.622061679609731E-2</v>
      </c>
      <c r="L715">
        <v>6.4790646917858255E-2</v>
      </c>
      <c r="M715">
        <v>39</v>
      </c>
      <c r="N715">
        <v>0</v>
      </c>
      <c r="O715">
        <v>0</v>
      </c>
      <c r="P715">
        <v>0.25240000000000001</v>
      </c>
      <c r="Q715">
        <v>0.16420000000000001</v>
      </c>
      <c r="R715">
        <v>0</v>
      </c>
      <c r="S715">
        <v>0</v>
      </c>
      <c r="T715">
        <v>0</v>
      </c>
      <c r="U715">
        <v>5</v>
      </c>
      <c r="V715">
        <v>0</v>
      </c>
      <c r="W715">
        <v>0</v>
      </c>
      <c r="X715">
        <v>0</v>
      </c>
      <c r="Y715">
        <v>0.45860000000000001</v>
      </c>
      <c r="Z715">
        <v>1</v>
      </c>
    </row>
    <row r="716" spans="1:26" x14ac:dyDescent="0.2">
      <c r="A716" t="s">
        <v>62</v>
      </c>
      <c r="B716">
        <v>2022</v>
      </c>
      <c r="C716" t="str">
        <f t="shared" si="11"/>
        <v>GIL2022</v>
      </c>
      <c r="D716">
        <v>2.2719340524644241E-14</v>
      </c>
      <c r="E716">
        <v>0.14388610034875621</v>
      </c>
      <c r="F716">
        <v>0.68770897347395299</v>
      </c>
      <c r="G716">
        <v>29.014395560057711</v>
      </c>
      <c r="H716">
        <v>1.5124274321746529</v>
      </c>
      <c r="I716">
        <v>0.37024914460232011</v>
      </c>
      <c r="J716">
        <v>5.9094138890295911E-2</v>
      </c>
      <c r="K716">
        <v>-1.4011357687393649E-2</v>
      </c>
      <c r="L716">
        <v>6.1196479847007233E-2</v>
      </c>
      <c r="M716">
        <v>40</v>
      </c>
      <c r="N716">
        <v>0</v>
      </c>
      <c r="O716">
        <v>0</v>
      </c>
      <c r="P716">
        <v>0.15540000000000001</v>
      </c>
      <c r="Q716">
        <v>0.13700000000000001</v>
      </c>
      <c r="R716">
        <v>0</v>
      </c>
      <c r="S716">
        <v>0</v>
      </c>
      <c r="T716">
        <v>0</v>
      </c>
      <c r="U716">
        <v>5</v>
      </c>
      <c r="V716">
        <v>0</v>
      </c>
      <c r="W716">
        <v>0</v>
      </c>
      <c r="X716">
        <v>1</v>
      </c>
      <c r="Y716">
        <v>0.46860000000000002</v>
      </c>
      <c r="Z716">
        <v>1</v>
      </c>
    </row>
    <row r="717" spans="1:26" x14ac:dyDescent="0.2">
      <c r="A717" t="s">
        <v>62</v>
      </c>
      <c r="B717">
        <v>2023</v>
      </c>
      <c r="C717" t="str">
        <f t="shared" si="11"/>
        <v>GIL2023</v>
      </c>
      <c r="D717">
        <v>724772129577.78479</v>
      </c>
      <c r="E717">
        <v>9.4160063101974816E-3</v>
      </c>
      <c r="F717">
        <v>1.1838531126750449</v>
      </c>
      <c r="G717">
        <v>28.842116208046459</v>
      </c>
      <c r="H717">
        <v>2.626172739362894</v>
      </c>
      <c r="I717">
        <v>8.6352125881797359E-2</v>
      </c>
      <c r="J717">
        <v>-0.1582560025570208</v>
      </c>
      <c r="K717">
        <v>-8.3808588858500094E-2</v>
      </c>
      <c r="L717">
        <v>7.5161419364157309E-2</v>
      </c>
      <c r="M717">
        <v>41</v>
      </c>
      <c r="N717">
        <v>0</v>
      </c>
      <c r="O717">
        <v>0</v>
      </c>
      <c r="P717">
        <v>0.15540000000000001</v>
      </c>
      <c r="Q717">
        <v>0.13700000000000001</v>
      </c>
      <c r="R717">
        <v>0</v>
      </c>
      <c r="S717">
        <v>0</v>
      </c>
      <c r="T717">
        <v>0</v>
      </c>
      <c r="U717">
        <v>5</v>
      </c>
      <c r="V717">
        <v>0</v>
      </c>
      <c r="W717">
        <v>0</v>
      </c>
      <c r="X717">
        <v>1</v>
      </c>
      <c r="Y717">
        <v>0.46860000000000002</v>
      </c>
      <c r="Z717">
        <v>1</v>
      </c>
    </row>
    <row r="718" spans="1:26" x14ac:dyDescent="0.2">
      <c r="A718" t="s">
        <v>63</v>
      </c>
      <c r="B718">
        <v>2012</v>
      </c>
      <c r="C718" t="str">
        <f t="shared" si="11"/>
        <v>GMC2012</v>
      </c>
      <c r="D718">
        <v>2.3856538721980961E-13</v>
      </c>
      <c r="E718">
        <v>0.29238612929697011</v>
      </c>
      <c r="F718">
        <v>0.97961572642259398</v>
      </c>
      <c r="G718">
        <v>26.867111504060212</v>
      </c>
      <c r="H718">
        <v>1.2423050907448709</v>
      </c>
      <c r="I718">
        <v>0.61990781675323103</v>
      </c>
      <c r="J718">
        <v>0.17507702928782901</v>
      </c>
      <c r="K718">
        <v>4.7046434656845257E-2</v>
      </c>
      <c r="L718">
        <v>0.22739132054378</v>
      </c>
      <c r="M718">
        <v>8</v>
      </c>
      <c r="N718">
        <v>0</v>
      </c>
      <c r="O718">
        <v>0</v>
      </c>
      <c r="P718">
        <v>0.34339999999999998</v>
      </c>
      <c r="Q718">
        <v>0.1341</v>
      </c>
      <c r="R718">
        <v>0</v>
      </c>
      <c r="S718">
        <v>0.1003</v>
      </c>
      <c r="T718">
        <v>0.1003</v>
      </c>
      <c r="U718">
        <v>7</v>
      </c>
      <c r="V718">
        <v>0</v>
      </c>
      <c r="W718">
        <v>0.42857142857142849</v>
      </c>
      <c r="X718">
        <v>1</v>
      </c>
      <c r="Y718">
        <v>0.48909999999999998</v>
      </c>
      <c r="Z718">
        <v>1</v>
      </c>
    </row>
    <row r="719" spans="1:26" x14ac:dyDescent="0.2">
      <c r="A719" t="s">
        <v>63</v>
      </c>
      <c r="B719">
        <v>2013</v>
      </c>
      <c r="C719" t="str">
        <f t="shared" si="11"/>
        <v>GMC2013</v>
      </c>
      <c r="D719">
        <v>1.1394005096218369E-13</v>
      </c>
      <c r="E719">
        <v>0.23192603822720961</v>
      </c>
      <c r="F719">
        <v>1.135469685918705</v>
      </c>
      <c r="G719">
        <v>27.212132165978279</v>
      </c>
      <c r="H719">
        <v>1.1739317475629789</v>
      </c>
      <c r="I719">
        <v>0.64152837688102904</v>
      </c>
      <c r="J719">
        <v>0.4120190943890974</v>
      </c>
      <c r="K719">
        <v>7.552020572469776E-3</v>
      </c>
      <c r="L719">
        <v>0.20652205511627569</v>
      </c>
      <c r="M719">
        <v>9</v>
      </c>
      <c r="N719">
        <v>0</v>
      </c>
      <c r="O719">
        <v>0</v>
      </c>
      <c r="P719">
        <v>0.34279999999999999</v>
      </c>
      <c r="Q719">
        <v>0.11609999999999999</v>
      </c>
      <c r="R719">
        <v>0</v>
      </c>
      <c r="S719">
        <v>0.1003</v>
      </c>
      <c r="T719">
        <v>0.1003</v>
      </c>
      <c r="U719">
        <v>7</v>
      </c>
      <c r="V719">
        <v>0</v>
      </c>
      <c r="W719">
        <v>0.42857142857142849</v>
      </c>
      <c r="X719">
        <v>1</v>
      </c>
      <c r="Y719">
        <v>0.49909999999999999</v>
      </c>
      <c r="Z719">
        <v>1</v>
      </c>
    </row>
    <row r="720" spans="1:26" x14ac:dyDescent="0.2">
      <c r="A720" t="s">
        <v>63</v>
      </c>
      <c r="B720">
        <v>2014</v>
      </c>
      <c r="C720" t="str">
        <f t="shared" si="11"/>
        <v>GMC2014</v>
      </c>
      <c r="D720">
        <v>1.402166451691443E-13</v>
      </c>
      <c r="E720">
        <v>0.25015304743179179</v>
      </c>
      <c r="F720">
        <v>1.2698942707194949</v>
      </c>
      <c r="G720">
        <v>27.180144644206521</v>
      </c>
      <c r="H720">
        <v>1.122419250990401</v>
      </c>
      <c r="I720">
        <v>0.6120720111142558</v>
      </c>
      <c r="J720">
        <v>-3.1481332599211043E-2</v>
      </c>
      <c r="K720">
        <v>9.9806404851385838E-2</v>
      </c>
      <c r="L720">
        <v>0.2524510727512228</v>
      </c>
      <c r="M720">
        <v>10</v>
      </c>
      <c r="N720">
        <v>0</v>
      </c>
      <c r="O720">
        <v>0</v>
      </c>
      <c r="P720">
        <v>0.43849999999999989</v>
      </c>
      <c r="Q720">
        <v>0.31740000000000002</v>
      </c>
      <c r="R720">
        <v>0</v>
      </c>
      <c r="S720">
        <v>0.1004</v>
      </c>
      <c r="T720">
        <v>0.1004</v>
      </c>
      <c r="U720">
        <v>7</v>
      </c>
      <c r="V720">
        <v>0</v>
      </c>
      <c r="W720">
        <v>0.42857142857142849</v>
      </c>
      <c r="X720">
        <v>1</v>
      </c>
      <c r="Y720">
        <v>0.48449999999999999</v>
      </c>
      <c r="Z720">
        <v>1</v>
      </c>
    </row>
    <row r="721" spans="1:26" x14ac:dyDescent="0.2">
      <c r="A721" t="s">
        <v>63</v>
      </c>
      <c r="B721">
        <v>2015</v>
      </c>
      <c r="C721" t="str">
        <f t="shared" si="11"/>
        <v>GMC2015</v>
      </c>
      <c r="D721">
        <v>8.588834508921184E-14</v>
      </c>
      <c r="E721">
        <v>0.23105786058959699</v>
      </c>
      <c r="F721">
        <v>1.200971485984677</v>
      </c>
      <c r="G721">
        <v>27.452747586377601</v>
      </c>
      <c r="H721">
        <v>1.09375956811896</v>
      </c>
      <c r="I721">
        <v>0.68897859650761362</v>
      </c>
      <c r="J721">
        <v>0.3131093832460734</v>
      </c>
      <c r="K721">
        <v>-0.1049490561551229</v>
      </c>
      <c r="L721">
        <v>0.19885208871122839</v>
      </c>
      <c r="M721">
        <v>11</v>
      </c>
      <c r="N721">
        <v>0</v>
      </c>
      <c r="O721">
        <v>0</v>
      </c>
      <c r="P721">
        <v>0.32290000000000002</v>
      </c>
      <c r="Q721">
        <v>0.26200000000000001</v>
      </c>
      <c r="R721">
        <v>0</v>
      </c>
      <c r="S721">
        <v>0.1004</v>
      </c>
      <c r="T721">
        <v>0.1004</v>
      </c>
      <c r="U721">
        <v>7</v>
      </c>
      <c r="V721">
        <v>0</v>
      </c>
      <c r="W721">
        <v>0.42857142857142849</v>
      </c>
      <c r="X721">
        <v>1</v>
      </c>
      <c r="Y721">
        <v>0.49450000000000011</v>
      </c>
      <c r="Z721">
        <v>1</v>
      </c>
    </row>
    <row r="722" spans="1:26" x14ac:dyDescent="0.2">
      <c r="A722" t="s">
        <v>63</v>
      </c>
      <c r="B722">
        <v>2016</v>
      </c>
      <c r="C722" t="str">
        <f t="shared" si="11"/>
        <v>GMC2016</v>
      </c>
      <c r="D722">
        <v>7.8135571439335853E-14</v>
      </c>
      <c r="E722">
        <v>0.218970349799712</v>
      </c>
      <c r="F722">
        <v>1.1270533386007311</v>
      </c>
      <c r="G722">
        <v>27.507120808948699</v>
      </c>
      <c r="H722">
        <v>1.063394455717952</v>
      </c>
      <c r="I722">
        <v>0.68475060563407786</v>
      </c>
      <c r="J722">
        <v>5.6095128476893567E-2</v>
      </c>
      <c r="K722">
        <v>0.11667383382342481</v>
      </c>
      <c r="L722">
        <v>0.22864492189433849</v>
      </c>
      <c r="M722">
        <v>12</v>
      </c>
      <c r="N722">
        <v>1</v>
      </c>
      <c r="O722">
        <v>0</v>
      </c>
      <c r="P722">
        <v>0.43490000000000001</v>
      </c>
      <c r="Q722">
        <v>0.26939999999999997</v>
      </c>
      <c r="R722">
        <v>0</v>
      </c>
      <c r="S722">
        <v>0.10059999999999999</v>
      </c>
      <c r="T722">
        <v>0.10059999999999999</v>
      </c>
      <c r="U722">
        <v>7</v>
      </c>
      <c r="V722">
        <v>0</v>
      </c>
      <c r="W722">
        <v>0.42857142857142849</v>
      </c>
      <c r="X722">
        <v>1</v>
      </c>
      <c r="Y722">
        <v>0.48730000000000001</v>
      </c>
      <c r="Z722">
        <v>1</v>
      </c>
    </row>
    <row r="723" spans="1:26" x14ac:dyDescent="0.2">
      <c r="A723" t="s">
        <v>63</v>
      </c>
      <c r="B723">
        <v>2017</v>
      </c>
      <c r="C723" t="str">
        <f t="shared" si="11"/>
        <v>GMC2017</v>
      </c>
      <c r="D723">
        <v>7.1007096142040071E-14</v>
      </c>
      <c r="E723">
        <v>0.19875596994015951</v>
      </c>
      <c r="F723">
        <v>1.1193844390927301</v>
      </c>
      <c r="G723">
        <v>27.53482295381621</v>
      </c>
      <c r="H723">
        <v>1.1359887327463121</v>
      </c>
      <c r="I723">
        <v>0.67550856411786386</v>
      </c>
      <c r="J723">
        <v>2.8089417102493689E-2</v>
      </c>
      <c r="K723">
        <v>4.44870868390249E-2</v>
      </c>
      <c r="L723">
        <v>0.21678800637490939</v>
      </c>
      <c r="M723">
        <v>13</v>
      </c>
      <c r="N723">
        <v>1</v>
      </c>
      <c r="O723">
        <v>0</v>
      </c>
      <c r="P723">
        <v>0.27560000000000001</v>
      </c>
      <c r="Q723">
        <v>0.1193</v>
      </c>
      <c r="R723">
        <v>0</v>
      </c>
      <c r="S723">
        <v>0.10059999999999999</v>
      </c>
      <c r="T723">
        <v>0.10059999999999999</v>
      </c>
      <c r="U723">
        <v>7</v>
      </c>
      <c r="V723">
        <v>0</v>
      </c>
      <c r="W723">
        <v>0.42857142857142849</v>
      </c>
      <c r="X723">
        <v>1</v>
      </c>
      <c r="Y723">
        <v>0.49730000000000002</v>
      </c>
      <c r="Z723">
        <v>1</v>
      </c>
    </row>
    <row r="724" spans="1:26" x14ac:dyDescent="0.2">
      <c r="A724" t="s">
        <v>63</v>
      </c>
      <c r="B724">
        <v>2018</v>
      </c>
      <c r="C724" t="str">
        <f t="shared" si="11"/>
        <v>GMC2018</v>
      </c>
      <c r="D724">
        <v>1.178692106654447E-13</v>
      </c>
      <c r="E724">
        <v>0.31634183249412529</v>
      </c>
      <c r="F724">
        <v>1.1604131061321521</v>
      </c>
      <c r="G724">
        <v>27.641638269557468</v>
      </c>
      <c r="H724">
        <v>1.211654532601687</v>
      </c>
      <c r="I724">
        <v>0.62342219440531943</v>
      </c>
      <c r="J724">
        <v>0.1127287320204802</v>
      </c>
      <c r="K724">
        <v>9.9216297891127569E-2</v>
      </c>
      <c r="L724">
        <v>0.18546389062781279</v>
      </c>
      <c r="M724">
        <v>14</v>
      </c>
      <c r="N724">
        <v>1</v>
      </c>
      <c r="O724">
        <v>0</v>
      </c>
      <c r="P724">
        <v>0.50819999999999999</v>
      </c>
      <c r="Q724">
        <v>5.6300000000000003E-2</v>
      </c>
      <c r="R724">
        <v>0</v>
      </c>
      <c r="S724">
        <v>0.10059999999999999</v>
      </c>
      <c r="T724">
        <v>0.4556</v>
      </c>
      <c r="U724">
        <v>7</v>
      </c>
      <c r="V724">
        <v>0</v>
      </c>
      <c r="W724">
        <v>0.2857142857142857</v>
      </c>
      <c r="X724">
        <v>1</v>
      </c>
      <c r="Y724">
        <v>0.46910000000000002</v>
      </c>
      <c r="Z724">
        <v>1</v>
      </c>
    </row>
    <row r="725" spans="1:26" x14ac:dyDescent="0.2">
      <c r="A725" t="s">
        <v>63</v>
      </c>
      <c r="B725">
        <v>2019</v>
      </c>
      <c r="C725" t="str">
        <f t="shared" si="11"/>
        <v>GMC2019</v>
      </c>
      <c r="D725">
        <v>9.8647019459424111E-14</v>
      </c>
      <c r="E725">
        <v>0.2160605026321652</v>
      </c>
      <c r="F725">
        <v>0.85425214121054771</v>
      </c>
      <c r="G725">
        <v>27.659596761430819</v>
      </c>
      <c r="H725">
        <v>1.2774313021449499</v>
      </c>
      <c r="I725">
        <v>0.53019370569676549</v>
      </c>
      <c r="J725">
        <v>1.8120715229121401E-2</v>
      </c>
      <c r="K725">
        <v>0.19806717217219011</v>
      </c>
      <c r="L725">
        <v>0.1644448364973809</v>
      </c>
      <c r="M725">
        <v>15</v>
      </c>
      <c r="N725">
        <v>1</v>
      </c>
      <c r="O725">
        <v>1</v>
      </c>
      <c r="P725">
        <v>0.58130000000000004</v>
      </c>
      <c r="Q725">
        <v>5.6300000000000003E-2</v>
      </c>
      <c r="R725">
        <v>0</v>
      </c>
      <c r="S725">
        <v>0.1007</v>
      </c>
      <c r="T725">
        <v>0.52870000000000006</v>
      </c>
      <c r="U725">
        <v>7</v>
      </c>
      <c r="V725">
        <v>0</v>
      </c>
      <c r="W725">
        <v>0.2857142857142857</v>
      </c>
      <c r="X725">
        <v>1</v>
      </c>
      <c r="Y725">
        <v>0.48580000000000001</v>
      </c>
      <c r="Z725">
        <v>1</v>
      </c>
    </row>
    <row r="726" spans="1:26" x14ac:dyDescent="0.2">
      <c r="A726" t="s">
        <v>63</v>
      </c>
      <c r="B726">
        <v>2020</v>
      </c>
      <c r="C726" t="str">
        <f t="shared" si="11"/>
        <v>GMC2020</v>
      </c>
      <c r="D726">
        <v>3.1041735878589122E-14</v>
      </c>
      <c r="E726">
        <v>7.0492294242598216E-2</v>
      </c>
      <c r="F726">
        <v>0.9245500695769413</v>
      </c>
      <c r="G726">
        <v>27.832156634336229</v>
      </c>
      <c r="H726">
        <v>1.5318570015147199</v>
      </c>
      <c r="I726">
        <v>0.46153633882848011</v>
      </c>
      <c r="J726">
        <v>0.188342968031179</v>
      </c>
      <c r="K726">
        <v>0.1048008205468567</v>
      </c>
      <c r="L726">
        <v>0.1410373275365171</v>
      </c>
      <c r="M726">
        <v>16</v>
      </c>
      <c r="N726">
        <v>1</v>
      </c>
      <c r="O726">
        <v>1</v>
      </c>
      <c r="P726">
        <v>0.60070000000000001</v>
      </c>
      <c r="Q726">
        <v>3.3500000000000002E-2</v>
      </c>
      <c r="R726">
        <v>0</v>
      </c>
      <c r="S726">
        <v>0.1007</v>
      </c>
      <c r="T726">
        <v>0.52929999999999999</v>
      </c>
      <c r="U726">
        <v>7</v>
      </c>
      <c r="V726">
        <v>0</v>
      </c>
      <c r="W726">
        <v>0.2857142857142857</v>
      </c>
      <c r="X726">
        <v>1</v>
      </c>
      <c r="Y726">
        <v>0.49580000000000002</v>
      </c>
      <c r="Z726">
        <v>1</v>
      </c>
    </row>
    <row r="727" spans="1:26" x14ac:dyDescent="0.2">
      <c r="A727" t="s">
        <v>63</v>
      </c>
      <c r="B727">
        <v>2021</v>
      </c>
      <c r="C727" t="str">
        <f t="shared" si="11"/>
        <v>GMC2021</v>
      </c>
      <c r="D727">
        <v>6.3677901404006939E-14</v>
      </c>
      <c r="E727">
        <v>6.2039775147496187E-2</v>
      </c>
      <c r="F727">
        <v>1.210132590508765</v>
      </c>
      <c r="G727">
        <v>27.441532474647509</v>
      </c>
      <c r="H727">
        <v>1.846374373524009</v>
      </c>
      <c r="I727">
        <v>0.15077131393077009</v>
      </c>
      <c r="J727">
        <v>-0.32336558525497627</v>
      </c>
      <c r="K727">
        <v>0.17811150500226519</v>
      </c>
      <c r="L727">
        <v>0.2045643366846375</v>
      </c>
      <c r="M727">
        <v>17</v>
      </c>
      <c r="N727">
        <v>1</v>
      </c>
      <c r="O727">
        <v>0</v>
      </c>
      <c r="P727">
        <v>0.61439999999999995</v>
      </c>
      <c r="Q727">
        <v>1E-3</v>
      </c>
      <c r="R727">
        <v>0</v>
      </c>
      <c r="S727">
        <v>0.1009</v>
      </c>
      <c r="T727">
        <v>0.54299999999999993</v>
      </c>
      <c r="U727">
        <v>5</v>
      </c>
      <c r="V727">
        <v>0</v>
      </c>
      <c r="W727">
        <v>0</v>
      </c>
      <c r="X727">
        <v>1</v>
      </c>
      <c r="Y727">
        <v>0.48549999999999999</v>
      </c>
      <c r="Z727">
        <v>1</v>
      </c>
    </row>
    <row r="728" spans="1:26" x14ac:dyDescent="0.2">
      <c r="A728" t="s">
        <v>63</v>
      </c>
      <c r="B728">
        <v>2022</v>
      </c>
      <c r="C728" t="str">
        <f t="shared" si="11"/>
        <v>GMC2022</v>
      </c>
      <c r="D728">
        <v>-2.9549418843235022E-13</v>
      </c>
      <c r="E728">
        <v>-0.18904732421544701</v>
      </c>
      <c r="F728">
        <v>0.77244531644440551</v>
      </c>
      <c r="G728">
        <v>27.006265415056021</v>
      </c>
      <c r="H728">
        <v>5.7510846160319522</v>
      </c>
      <c r="I728">
        <v>0.16314453659341299</v>
      </c>
      <c r="J728">
        <v>-0.35290816807987291</v>
      </c>
      <c r="K728">
        <v>5.5432514410473123E-2</v>
      </c>
      <c r="L728">
        <v>0.32045455718896337</v>
      </c>
      <c r="M728">
        <v>18</v>
      </c>
      <c r="N728">
        <v>0</v>
      </c>
      <c r="O728">
        <v>0</v>
      </c>
      <c r="P728">
        <v>0.68500000000000005</v>
      </c>
      <c r="Q728">
        <v>1E-3</v>
      </c>
      <c r="R728">
        <v>0</v>
      </c>
      <c r="S728">
        <v>0.1009</v>
      </c>
      <c r="T728">
        <v>0.61360000000000003</v>
      </c>
      <c r="U728">
        <v>5</v>
      </c>
      <c r="V728">
        <v>0</v>
      </c>
      <c r="W728">
        <v>0</v>
      </c>
      <c r="X728">
        <v>1</v>
      </c>
      <c r="Y728">
        <v>0.45400000000000001</v>
      </c>
      <c r="Z728">
        <v>1</v>
      </c>
    </row>
    <row r="729" spans="1:26" x14ac:dyDescent="0.2">
      <c r="A729" t="s">
        <v>63</v>
      </c>
      <c r="B729">
        <v>2023</v>
      </c>
      <c r="C729" t="str">
        <f t="shared" si="11"/>
        <v>GMC2023</v>
      </c>
      <c r="D729">
        <v>246434030918.08789</v>
      </c>
      <c r="E729">
        <v>-0.1239501508422324</v>
      </c>
      <c r="F729">
        <v>0.62823297791898303</v>
      </c>
      <c r="G729">
        <v>26.761322373242191</v>
      </c>
      <c r="H729">
        <v>4.4890918361285808</v>
      </c>
      <c r="I729">
        <v>0</v>
      </c>
      <c r="J729">
        <v>-0.2172508790576578</v>
      </c>
      <c r="K729">
        <v>-0.1472449479174717</v>
      </c>
      <c r="L729">
        <v>0.39521528427417912</v>
      </c>
      <c r="M729">
        <v>19</v>
      </c>
      <c r="N729">
        <v>0</v>
      </c>
      <c r="O729">
        <v>0</v>
      </c>
      <c r="P729">
        <v>0.68500000000000005</v>
      </c>
      <c r="Q729">
        <v>1E-3</v>
      </c>
      <c r="R729">
        <v>0</v>
      </c>
      <c r="S729">
        <v>0.1009</v>
      </c>
      <c r="T729">
        <v>0.61360000000000003</v>
      </c>
      <c r="U729">
        <v>5</v>
      </c>
      <c r="V729">
        <v>0</v>
      </c>
      <c r="W729">
        <v>0</v>
      </c>
      <c r="X729">
        <v>1</v>
      </c>
      <c r="Y729">
        <v>0.45400000000000001</v>
      </c>
      <c r="Z729">
        <v>1</v>
      </c>
    </row>
    <row r="730" spans="1:26" x14ac:dyDescent="0.2">
      <c r="A730" t="s">
        <v>64</v>
      </c>
      <c r="B730">
        <v>2012</v>
      </c>
      <c r="C730" t="str">
        <f t="shared" si="11"/>
        <v>GMX2012</v>
      </c>
      <c r="D730">
        <v>1.0355183027869551E-12</v>
      </c>
      <c r="E730">
        <v>0.18802227685064851</v>
      </c>
      <c r="F730">
        <v>0.98253093755124754</v>
      </c>
      <c r="G730">
        <v>25.463469912016951</v>
      </c>
      <c r="H730">
        <v>1.025971968972752</v>
      </c>
      <c r="I730">
        <v>0.36963376154022398</v>
      </c>
      <c r="J730">
        <v>-5.1963596246663697E-2</v>
      </c>
      <c r="K730">
        <v>0.1704177448644435</v>
      </c>
      <c r="L730">
        <v>0.56283666846029856</v>
      </c>
      <c r="M730">
        <v>9</v>
      </c>
      <c r="N730">
        <v>0</v>
      </c>
      <c r="O730">
        <v>0</v>
      </c>
      <c r="P730">
        <v>0.23580000000000001</v>
      </c>
      <c r="Q730">
        <v>0.1404</v>
      </c>
      <c r="R730">
        <v>0</v>
      </c>
      <c r="S730">
        <v>0</v>
      </c>
      <c r="T730">
        <v>0</v>
      </c>
      <c r="U730">
        <v>5</v>
      </c>
      <c r="V730">
        <v>1</v>
      </c>
      <c r="W730">
        <v>0.2</v>
      </c>
      <c r="X730">
        <v>0</v>
      </c>
      <c r="Y730">
        <v>0.46889999999999998</v>
      </c>
      <c r="Z730">
        <v>0.8</v>
      </c>
    </row>
    <row r="731" spans="1:26" x14ac:dyDescent="0.2">
      <c r="A731" t="s">
        <v>64</v>
      </c>
      <c r="B731">
        <v>2013</v>
      </c>
      <c r="C731" t="str">
        <f t="shared" si="11"/>
        <v>GMX2013</v>
      </c>
      <c r="D731">
        <v>7.9007672326672697E-13</v>
      </c>
      <c r="E731">
        <v>0.1559496547102896</v>
      </c>
      <c r="F731">
        <v>1.0783892276531819</v>
      </c>
      <c r="G731">
        <v>25.489898038315779</v>
      </c>
      <c r="H731">
        <v>0.84712956597602584</v>
      </c>
      <c r="I731">
        <v>0.404602630086693</v>
      </c>
      <c r="J731">
        <v>2.6780446098580549E-2</v>
      </c>
      <c r="K731">
        <v>0.1118538221344709</v>
      </c>
      <c r="L731">
        <v>0.26619299278539132</v>
      </c>
      <c r="M731">
        <v>10</v>
      </c>
      <c r="N731">
        <v>0</v>
      </c>
      <c r="O731">
        <v>0</v>
      </c>
      <c r="P731">
        <v>0.23580000000000001</v>
      </c>
      <c r="Q731">
        <v>0.1404</v>
      </c>
      <c r="R731">
        <v>0</v>
      </c>
      <c r="S731">
        <v>0</v>
      </c>
      <c r="T731">
        <v>0</v>
      </c>
      <c r="U731">
        <v>5</v>
      </c>
      <c r="V731">
        <v>1</v>
      </c>
      <c r="W731">
        <v>0.2</v>
      </c>
      <c r="X731">
        <v>0</v>
      </c>
      <c r="Y731">
        <v>0.47889999999999999</v>
      </c>
      <c r="Z731">
        <v>0.8</v>
      </c>
    </row>
    <row r="732" spans="1:26" x14ac:dyDescent="0.2">
      <c r="A732" t="s">
        <v>64</v>
      </c>
      <c r="B732">
        <v>2014</v>
      </c>
      <c r="C732" t="str">
        <f t="shared" si="11"/>
        <v>GMX2014</v>
      </c>
      <c r="D732">
        <v>1.1612472235837761E-12</v>
      </c>
      <c r="E732">
        <v>0.15876316252198319</v>
      </c>
      <c r="F732">
        <v>0.91437949035108734</v>
      </c>
      <c r="G732">
        <v>25.314658272520791</v>
      </c>
      <c r="H732">
        <v>1.113815152956247</v>
      </c>
      <c r="I732">
        <v>0.27857473722310822</v>
      </c>
      <c r="J732">
        <v>-0.1607442281834629</v>
      </c>
      <c r="K732">
        <v>0.3194675179993578</v>
      </c>
      <c r="L732">
        <v>0.35119434108698822</v>
      </c>
      <c r="M732">
        <v>11</v>
      </c>
      <c r="N732">
        <v>0</v>
      </c>
      <c r="O732">
        <v>0</v>
      </c>
      <c r="P732">
        <v>0.23580000000000001</v>
      </c>
      <c r="Q732">
        <v>0.125</v>
      </c>
      <c r="R732">
        <v>0</v>
      </c>
      <c r="S732">
        <v>0</v>
      </c>
      <c r="T732">
        <v>0</v>
      </c>
      <c r="U732">
        <v>5</v>
      </c>
      <c r="V732">
        <v>1</v>
      </c>
      <c r="W732">
        <v>0</v>
      </c>
      <c r="X732">
        <v>0</v>
      </c>
      <c r="Y732">
        <v>0.45629999999999998</v>
      </c>
      <c r="Z732">
        <v>1</v>
      </c>
    </row>
    <row r="733" spans="1:26" x14ac:dyDescent="0.2">
      <c r="A733" t="s">
        <v>64</v>
      </c>
      <c r="B733">
        <v>2015</v>
      </c>
      <c r="C733" t="str">
        <f t="shared" si="11"/>
        <v>GMX2015</v>
      </c>
      <c r="D733">
        <v>1.3587196689352619E-12</v>
      </c>
      <c r="E733">
        <v>0.22513034966819201</v>
      </c>
      <c r="F733">
        <v>1.13432426643081</v>
      </c>
      <c r="G733">
        <v>25.442523938720949</v>
      </c>
      <c r="H733">
        <v>1.174126970745341</v>
      </c>
      <c r="I733">
        <v>0.32353774543880048</v>
      </c>
      <c r="J733">
        <v>0.13640033546790239</v>
      </c>
      <c r="K733">
        <v>0.14422018895264371</v>
      </c>
      <c r="L733">
        <v>0.2847576870763025</v>
      </c>
      <c r="M733">
        <v>12</v>
      </c>
      <c r="N733">
        <v>0</v>
      </c>
      <c r="O733">
        <v>0</v>
      </c>
      <c r="P733">
        <v>0.23580000000000001</v>
      </c>
      <c r="Q733">
        <v>0.129</v>
      </c>
      <c r="R733">
        <v>0</v>
      </c>
      <c r="S733">
        <v>0</v>
      </c>
      <c r="T733">
        <v>0</v>
      </c>
      <c r="U733">
        <v>5</v>
      </c>
      <c r="V733">
        <v>1</v>
      </c>
      <c r="W733">
        <v>0</v>
      </c>
      <c r="X733">
        <v>0</v>
      </c>
      <c r="Y733">
        <v>0.46629999999999999</v>
      </c>
      <c r="Z733">
        <v>1</v>
      </c>
    </row>
    <row r="734" spans="1:26" x14ac:dyDescent="0.2">
      <c r="A734" t="s">
        <v>64</v>
      </c>
      <c r="B734">
        <v>2016</v>
      </c>
      <c r="C734" t="str">
        <f t="shared" si="11"/>
        <v>GMX2016</v>
      </c>
      <c r="D734">
        <v>1.730655942447768E-12</v>
      </c>
      <c r="E734">
        <v>0.26169090231935738</v>
      </c>
      <c r="F734">
        <v>1.5263154350676129</v>
      </c>
      <c r="G734">
        <v>25.415117731552819</v>
      </c>
      <c r="H734">
        <v>1.44085820113466</v>
      </c>
      <c r="I734">
        <v>0.2787804326862614</v>
      </c>
      <c r="J734">
        <v>-2.703406449564405E-2</v>
      </c>
      <c r="K734">
        <v>0.6924882623740054</v>
      </c>
      <c r="L734">
        <v>0.30819084400482277</v>
      </c>
      <c r="M734">
        <v>13</v>
      </c>
      <c r="N734">
        <v>0</v>
      </c>
      <c r="O734">
        <v>0</v>
      </c>
      <c r="P734">
        <v>0.23580000000000001</v>
      </c>
      <c r="Q734">
        <v>0.1198</v>
      </c>
      <c r="R734">
        <v>0</v>
      </c>
      <c r="S734">
        <v>0</v>
      </c>
      <c r="T734">
        <v>0</v>
      </c>
      <c r="U734">
        <v>5</v>
      </c>
      <c r="V734">
        <v>1</v>
      </c>
      <c r="W734">
        <v>0</v>
      </c>
      <c r="X734">
        <v>0</v>
      </c>
      <c r="Y734">
        <v>0.46560000000000001</v>
      </c>
      <c r="Z734">
        <v>1</v>
      </c>
    </row>
    <row r="735" spans="1:26" x14ac:dyDescent="0.2">
      <c r="A735" t="s">
        <v>64</v>
      </c>
      <c r="B735">
        <v>2017</v>
      </c>
      <c r="C735" t="str">
        <f t="shared" si="11"/>
        <v>GMX2017</v>
      </c>
      <c r="D735">
        <v>1.6696369028980979E-12</v>
      </c>
      <c r="E735">
        <v>0.26157809590957543</v>
      </c>
      <c r="F735">
        <v>1.5742609095712949</v>
      </c>
      <c r="G735">
        <v>25.437764859599941</v>
      </c>
      <c r="H735">
        <v>1.6082278553545899</v>
      </c>
      <c r="I735">
        <v>0.28796462357684638</v>
      </c>
      <c r="J735">
        <v>2.2905521185466519E-2</v>
      </c>
      <c r="K735">
        <v>0.20158297239510109</v>
      </c>
      <c r="L735">
        <v>0.31821188127592293</v>
      </c>
      <c r="M735">
        <v>14</v>
      </c>
      <c r="N735">
        <v>0</v>
      </c>
      <c r="O735">
        <v>0</v>
      </c>
      <c r="P735">
        <v>7.7199999999999991E-2</v>
      </c>
      <c r="Q735">
        <v>0.1198</v>
      </c>
      <c r="R735">
        <v>0</v>
      </c>
      <c r="S735">
        <v>0</v>
      </c>
      <c r="T735">
        <v>0</v>
      </c>
      <c r="U735">
        <v>5</v>
      </c>
      <c r="V735">
        <v>1</v>
      </c>
      <c r="W735">
        <v>0</v>
      </c>
      <c r="X735">
        <v>0</v>
      </c>
      <c r="Y735">
        <v>0.47560000000000002</v>
      </c>
      <c r="Z735">
        <v>1</v>
      </c>
    </row>
    <row r="736" spans="1:26" x14ac:dyDescent="0.2">
      <c r="A736" t="s">
        <v>64</v>
      </c>
      <c r="B736">
        <v>2018</v>
      </c>
      <c r="C736" t="str">
        <f t="shared" si="11"/>
        <v>GMX2018</v>
      </c>
      <c r="D736">
        <v>1.192788323435214E-12</v>
      </c>
      <c r="E736">
        <v>0.25624116411296999</v>
      </c>
      <c r="F736">
        <v>1.339595771768189</v>
      </c>
      <c r="G736">
        <v>25.611264360125681</v>
      </c>
      <c r="H736">
        <v>1.6989728049799531</v>
      </c>
      <c r="I736">
        <v>0.38234598832217442</v>
      </c>
      <c r="J736">
        <v>0.1894600926647543</v>
      </c>
      <c r="K736">
        <v>6.8642582435267205E-2</v>
      </c>
      <c r="L736">
        <v>0.3541545133322449</v>
      </c>
      <c r="M736">
        <v>15</v>
      </c>
      <c r="N736">
        <v>0</v>
      </c>
      <c r="O736">
        <v>0</v>
      </c>
      <c r="P736">
        <v>7.7199999999999991E-2</v>
      </c>
      <c r="Q736">
        <v>0.1198</v>
      </c>
      <c r="R736">
        <v>0</v>
      </c>
      <c r="S736">
        <v>0</v>
      </c>
      <c r="T736">
        <v>0</v>
      </c>
      <c r="U736">
        <v>5</v>
      </c>
      <c r="V736">
        <v>1</v>
      </c>
      <c r="W736">
        <v>0</v>
      </c>
      <c r="X736">
        <v>0</v>
      </c>
      <c r="Y736">
        <v>0.48559999999999998</v>
      </c>
      <c r="Z736">
        <v>1</v>
      </c>
    </row>
    <row r="737" spans="1:26" x14ac:dyDescent="0.2">
      <c r="A737" t="s">
        <v>64</v>
      </c>
      <c r="B737">
        <v>2019</v>
      </c>
      <c r="C737" t="str">
        <f t="shared" si="11"/>
        <v>GMX2019</v>
      </c>
      <c r="D737">
        <v>1.4140571949656549E-12</v>
      </c>
      <c r="E737">
        <v>0.28385832183946619</v>
      </c>
      <c r="F737">
        <v>1.3387800101023399</v>
      </c>
      <c r="G737">
        <v>25.60491781355282</v>
      </c>
      <c r="H737">
        <v>1.2836040679980589</v>
      </c>
      <c r="I737">
        <v>0.34318984169523647</v>
      </c>
      <c r="J737">
        <v>-6.3264497837011158E-3</v>
      </c>
      <c r="K737">
        <v>0.29955612457879821</v>
      </c>
      <c r="L737">
        <v>0.39341692733515438</v>
      </c>
      <c r="M737">
        <v>16</v>
      </c>
      <c r="N737">
        <v>0</v>
      </c>
      <c r="O737">
        <v>1</v>
      </c>
      <c r="P737">
        <v>7.7199999999999991E-2</v>
      </c>
      <c r="Q737">
        <v>9.6999999999999989E-2</v>
      </c>
      <c r="R737">
        <v>0</v>
      </c>
      <c r="S737">
        <v>0</v>
      </c>
      <c r="T737">
        <v>0</v>
      </c>
      <c r="U737">
        <v>5</v>
      </c>
      <c r="V737">
        <v>0</v>
      </c>
      <c r="W737">
        <v>0</v>
      </c>
      <c r="X737">
        <v>0</v>
      </c>
      <c r="Y737">
        <v>0.50380000000000003</v>
      </c>
      <c r="Z737">
        <v>1</v>
      </c>
    </row>
    <row r="738" spans="1:26" x14ac:dyDescent="0.2">
      <c r="A738" t="s">
        <v>64</v>
      </c>
      <c r="B738">
        <v>2020</v>
      </c>
      <c r="C738" t="str">
        <f t="shared" si="11"/>
        <v>GMX2020</v>
      </c>
      <c r="D738">
        <v>1.328720778908051E-12</v>
      </c>
      <c r="E738">
        <v>0.28896713805723268</v>
      </c>
      <c r="F738">
        <v>1.2598490564139559</v>
      </c>
      <c r="G738">
        <v>25.68410412789494</v>
      </c>
      <c r="H738">
        <v>1.129935794604888</v>
      </c>
      <c r="I738">
        <v>0.34377924018165129</v>
      </c>
      <c r="J738">
        <v>8.2405971041082715E-2</v>
      </c>
      <c r="K738">
        <v>0.2287605339030292</v>
      </c>
      <c r="L738">
        <v>0.35520619254174191</v>
      </c>
      <c r="M738">
        <v>17</v>
      </c>
      <c r="N738">
        <v>0</v>
      </c>
      <c r="O738">
        <v>1</v>
      </c>
      <c r="P738">
        <v>7.7199999999999991E-2</v>
      </c>
      <c r="Q738">
        <v>9.6999999999999989E-2</v>
      </c>
      <c r="R738">
        <v>0</v>
      </c>
      <c r="S738">
        <v>0</v>
      </c>
      <c r="T738">
        <v>0</v>
      </c>
      <c r="U738">
        <v>5</v>
      </c>
      <c r="V738">
        <v>0</v>
      </c>
      <c r="W738">
        <v>0</v>
      </c>
      <c r="X738">
        <v>0</v>
      </c>
      <c r="Y738">
        <v>0.51380000000000003</v>
      </c>
      <c r="Z738">
        <v>1</v>
      </c>
    </row>
    <row r="739" spans="1:26" x14ac:dyDescent="0.2">
      <c r="A739" t="s">
        <v>64</v>
      </c>
      <c r="B739">
        <v>2021</v>
      </c>
      <c r="C739" t="str">
        <f t="shared" si="11"/>
        <v>GMX2021</v>
      </c>
      <c r="D739">
        <v>9.5040598287327197E-13</v>
      </c>
      <c r="E739">
        <v>0.22059542832716961</v>
      </c>
      <c r="F739">
        <v>1.456472350193933</v>
      </c>
      <c r="G739">
        <v>25.779918441839921</v>
      </c>
      <c r="H739">
        <v>1.2299359860414469</v>
      </c>
      <c r="I739">
        <v>0.32331121785960498</v>
      </c>
      <c r="J739">
        <v>0.1005546873614005</v>
      </c>
      <c r="K739">
        <v>0.16919901000693041</v>
      </c>
      <c r="L739">
        <v>0.62701130537031879</v>
      </c>
      <c r="M739">
        <v>18</v>
      </c>
      <c r="N739">
        <v>0</v>
      </c>
      <c r="O739">
        <v>0</v>
      </c>
      <c r="P739">
        <v>6.8000000000000005E-2</v>
      </c>
      <c r="Q739">
        <v>5.9400000000000001E-2</v>
      </c>
      <c r="R739">
        <v>0</v>
      </c>
      <c r="S739">
        <v>0</v>
      </c>
      <c r="T739">
        <v>0</v>
      </c>
      <c r="U739">
        <v>5</v>
      </c>
      <c r="V739">
        <v>0</v>
      </c>
      <c r="W739">
        <v>0</v>
      </c>
      <c r="X739">
        <v>0</v>
      </c>
      <c r="Y739">
        <v>0.50880000000000003</v>
      </c>
      <c r="Z739">
        <v>1</v>
      </c>
    </row>
    <row r="740" spans="1:26" x14ac:dyDescent="0.2">
      <c r="A740" t="s">
        <v>64</v>
      </c>
      <c r="B740">
        <v>2022</v>
      </c>
      <c r="C740" t="str">
        <f t="shared" si="11"/>
        <v>GMX2022</v>
      </c>
      <c r="D740">
        <v>1.2284290415386579E-12</v>
      </c>
      <c r="E740">
        <v>0.37915885642330238</v>
      </c>
      <c r="F740">
        <v>1.2531235544762349</v>
      </c>
      <c r="G740">
        <v>25.961593809487159</v>
      </c>
      <c r="H740">
        <v>0.99445993883560024</v>
      </c>
      <c r="I740">
        <v>0.38975278894924947</v>
      </c>
      <c r="J740">
        <v>0.19922482350623111</v>
      </c>
      <c r="K740">
        <v>0.2399244408404147</v>
      </c>
      <c r="L740">
        <v>0.49860496164758122</v>
      </c>
      <c r="M740">
        <v>19</v>
      </c>
      <c r="N740">
        <v>0</v>
      </c>
      <c r="O740">
        <v>0</v>
      </c>
      <c r="P740">
        <v>6.8000000000000005E-2</v>
      </c>
      <c r="Q740">
        <v>5.9400000000000001E-2</v>
      </c>
      <c r="R740">
        <v>0</v>
      </c>
      <c r="S740">
        <v>0</v>
      </c>
      <c r="T740">
        <v>0</v>
      </c>
      <c r="U740">
        <v>5</v>
      </c>
      <c r="V740">
        <v>0</v>
      </c>
      <c r="W740">
        <v>0</v>
      </c>
      <c r="X740">
        <v>0</v>
      </c>
      <c r="Y740">
        <v>0.51880000000000004</v>
      </c>
      <c r="Z740">
        <v>1</v>
      </c>
    </row>
    <row r="741" spans="1:26" x14ac:dyDescent="0.2">
      <c r="A741" t="s">
        <v>64</v>
      </c>
      <c r="B741">
        <v>2023</v>
      </c>
      <c r="C741" t="str">
        <f t="shared" si="11"/>
        <v>GMX2023</v>
      </c>
      <c r="D741">
        <v>-216398394471.4313</v>
      </c>
      <c r="E741">
        <v>0.15264051956326449</v>
      </c>
      <c r="F741">
        <v>1.084728369229371</v>
      </c>
      <c r="G741">
        <v>25.845932867615609</v>
      </c>
      <c r="H741">
        <v>1.0136122531078131</v>
      </c>
      <c r="I741">
        <v>7.7106704692824268E-2</v>
      </c>
      <c r="J741">
        <v>-0.10922280264939931</v>
      </c>
      <c r="K741">
        <v>-5.3489192201681447E-2</v>
      </c>
      <c r="L741">
        <v>0.57929301417783507</v>
      </c>
      <c r="M741">
        <v>20</v>
      </c>
      <c r="N741">
        <v>0</v>
      </c>
      <c r="O741">
        <v>0</v>
      </c>
      <c r="P741">
        <v>6.8000000000000005E-2</v>
      </c>
      <c r="Q741">
        <v>5.9400000000000001E-2</v>
      </c>
      <c r="R741">
        <v>0</v>
      </c>
      <c r="S741">
        <v>0</v>
      </c>
      <c r="T741">
        <v>0</v>
      </c>
      <c r="U741">
        <v>5</v>
      </c>
      <c r="V741">
        <v>0</v>
      </c>
      <c r="W741">
        <v>0</v>
      </c>
      <c r="X741">
        <v>0</v>
      </c>
      <c r="Y741">
        <v>0.51880000000000004</v>
      </c>
      <c r="Z741">
        <v>1</v>
      </c>
    </row>
    <row r="742" spans="1:26" x14ac:dyDescent="0.2">
      <c r="A742" t="s">
        <v>65</v>
      </c>
      <c r="B742">
        <v>2012</v>
      </c>
      <c r="C742" t="str">
        <f t="shared" si="11"/>
        <v>GTA2012</v>
      </c>
      <c r="D742">
        <v>2.7128026518964408E-13</v>
      </c>
      <c r="E742">
        <v>7.8384441588460529E-2</v>
      </c>
      <c r="F742">
        <v>0.59111467281137386</v>
      </c>
      <c r="G742">
        <v>26.088292348421191</v>
      </c>
      <c r="H742">
        <v>2.343225944761556</v>
      </c>
      <c r="I742">
        <v>0.26007152338405531</v>
      </c>
      <c r="J742">
        <v>-1.4241948674508009E-2</v>
      </c>
      <c r="K742">
        <v>9.6955865246171238E-2</v>
      </c>
      <c r="L742">
        <v>0.27639514526679382</v>
      </c>
      <c r="M742">
        <v>11</v>
      </c>
      <c r="N742">
        <v>0</v>
      </c>
      <c r="O742">
        <v>0</v>
      </c>
      <c r="P742">
        <v>0.48280000000000001</v>
      </c>
      <c r="Q742">
        <v>3.5999999999999999E-3</v>
      </c>
      <c r="R742">
        <v>0</v>
      </c>
      <c r="S742">
        <v>0.2321</v>
      </c>
      <c r="T742">
        <v>0.48280000000000001</v>
      </c>
      <c r="U742">
        <v>5</v>
      </c>
      <c r="V742">
        <v>0</v>
      </c>
      <c r="W742">
        <v>0.2</v>
      </c>
      <c r="X742">
        <v>1</v>
      </c>
      <c r="Y742">
        <v>0.48089999999999999</v>
      </c>
      <c r="Z742">
        <v>1</v>
      </c>
    </row>
    <row r="743" spans="1:26" x14ac:dyDescent="0.2">
      <c r="A743" t="s">
        <v>65</v>
      </c>
      <c r="B743">
        <v>2013</v>
      </c>
      <c r="C743" t="str">
        <f t="shared" si="11"/>
        <v>GTA2013</v>
      </c>
      <c r="D743">
        <v>1.435997859793854E-13</v>
      </c>
      <c r="E743">
        <v>7.3831063083699355E-2</v>
      </c>
      <c r="F743">
        <v>0.82663672652791642</v>
      </c>
      <c r="G743">
        <v>26.377779034779039</v>
      </c>
      <c r="H743">
        <v>2.6040571274617839</v>
      </c>
      <c r="I743">
        <v>0.44455821172245369</v>
      </c>
      <c r="J743">
        <v>0.33574165760223651</v>
      </c>
      <c r="K743">
        <v>7.9264525388547086E-2</v>
      </c>
      <c r="L743">
        <v>0.1965923810883041</v>
      </c>
      <c r="M743">
        <v>12</v>
      </c>
      <c r="N743">
        <v>0</v>
      </c>
      <c r="O743">
        <v>0</v>
      </c>
      <c r="P743">
        <v>0.48280000000000001</v>
      </c>
      <c r="Q743">
        <v>3.8999999999999998E-3</v>
      </c>
      <c r="R743">
        <v>0</v>
      </c>
      <c r="S743">
        <v>0.2321</v>
      </c>
      <c r="T743">
        <v>0.48280000000000001</v>
      </c>
      <c r="U743">
        <v>7</v>
      </c>
      <c r="V743">
        <v>0</v>
      </c>
      <c r="W743">
        <v>0.2857142857142857</v>
      </c>
      <c r="X743">
        <v>1</v>
      </c>
      <c r="Y743">
        <v>0.45129999999999998</v>
      </c>
      <c r="Z743">
        <v>1</v>
      </c>
    </row>
    <row r="744" spans="1:26" x14ac:dyDescent="0.2">
      <c r="A744" t="s">
        <v>65</v>
      </c>
      <c r="B744">
        <v>2014</v>
      </c>
      <c r="C744" t="str">
        <f t="shared" si="11"/>
        <v>GTA2014</v>
      </c>
      <c r="D744">
        <v>2.5903907115953249E-13</v>
      </c>
      <c r="E744">
        <v>8.1286170418979023E-2</v>
      </c>
      <c r="F744">
        <v>0.99704112821201174</v>
      </c>
      <c r="G744">
        <v>26.134943825371831</v>
      </c>
      <c r="H744">
        <v>1.725152552511301</v>
      </c>
      <c r="I744">
        <v>0.28614418932753172</v>
      </c>
      <c r="J744">
        <v>-0.2155992350113809</v>
      </c>
      <c r="K744">
        <v>0.1590039872384896</v>
      </c>
      <c r="L744">
        <v>0.20307375884561671</v>
      </c>
      <c r="M744">
        <v>13</v>
      </c>
      <c r="N744">
        <v>0</v>
      </c>
      <c r="O744">
        <v>0</v>
      </c>
      <c r="P744">
        <v>0.64780000000000004</v>
      </c>
      <c r="Q744">
        <v>6.7000000000000002E-3</v>
      </c>
      <c r="R744">
        <v>0</v>
      </c>
      <c r="S744">
        <v>0.59699999999999998</v>
      </c>
      <c r="T744">
        <v>0.59699999999999998</v>
      </c>
      <c r="U744">
        <v>7</v>
      </c>
      <c r="V744">
        <v>0</v>
      </c>
      <c r="W744">
        <v>0.2857142857142857</v>
      </c>
      <c r="X744">
        <v>1</v>
      </c>
      <c r="Y744">
        <v>0.46129999999999999</v>
      </c>
      <c r="Z744">
        <v>1</v>
      </c>
    </row>
    <row r="745" spans="1:26" x14ac:dyDescent="0.2">
      <c r="A745" t="s">
        <v>65</v>
      </c>
      <c r="B745">
        <v>2015</v>
      </c>
      <c r="C745" t="str">
        <f t="shared" si="11"/>
        <v>GTA2015</v>
      </c>
      <c r="D745">
        <v>1.4736939432441571E-13</v>
      </c>
      <c r="E745">
        <v>8.5902294891050487E-2</v>
      </c>
      <c r="F745">
        <v>1.0015736550907131</v>
      </c>
      <c r="G745">
        <v>26.450185621430741</v>
      </c>
      <c r="H745">
        <v>2.5604532059183809</v>
      </c>
      <c r="I745">
        <v>0.47328923686172542</v>
      </c>
      <c r="J745">
        <v>0.37059067431764042</v>
      </c>
      <c r="K745">
        <v>4.1085050455796662E-2</v>
      </c>
      <c r="L745">
        <v>0.15451926057938969</v>
      </c>
      <c r="M745">
        <v>14</v>
      </c>
      <c r="N745">
        <v>0</v>
      </c>
      <c r="O745">
        <v>0</v>
      </c>
      <c r="P745">
        <v>0.64780000000000004</v>
      </c>
      <c r="Q745">
        <v>3.8E-3</v>
      </c>
      <c r="R745">
        <v>0</v>
      </c>
      <c r="S745">
        <v>0.59699999999999998</v>
      </c>
      <c r="T745">
        <v>0.59699999999999998</v>
      </c>
      <c r="U745">
        <v>7</v>
      </c>
      <c r="V745">
        <v>0</v>
      </c>
      <c r="W745">
        <v>0.2857142857142857</v>
      </c>
      <c r="X745">
        <v>1</v>
      </c>
      <c r="Y745">
        <v>0.45</v>
      </c>
      <c r="Z745">
        <v>1</v>
      </c>
    </row>
    <row r="746" spans="1:26" x14ac:dyDescent="0.2">
      <c r="A746" t="s">
        <v>65</v>
      </c>
      <c r="B746">
        <v>2016</v>
      </c>
      <c r="C746" t="str">
        <f t="shared" si="11"/>
        <v>GTA2016</v>
      </c>
      <c r="D746">
        <v>6.7842261996310846E-14</v>
      </c>
      <c r="E746">
        <v>8.9301902923473078E-2</v>
      </c>
      <c r="F746">
        <v>0.9285231412667635</v>
      </c>
      <c r="G746">
        <v>26.860974440797641</v>
      </c>
      <c r="H746">
        <v>1.686269696177958</v>
      </c>
      <c r="I746">
        <v>0.64826743057393865</v>
      </c>
      <c r="J746">
        <v>0.50800686108556148</v>
      </c>
      <c r="K746">
        <v>0.14134319350166161</v>
      </c>
      <c r="L746">
        <v>9.4430251982928579E-2</v>
      </c>
      <c r="M746">
        <v>15</v>
      </c>
      <c r="N746">
        <v>0</v>
      </c>
      <c r="O746">
        <v>0</v>
      </c>
      <c r="P746">
        <v>0.64780000000000004</v>
      </c>
      <c r="Q746">
        <v>9.300000000000001E-3</v>
      </c>
      <c r="R746">
        <v>0</v>
      </c>
      <c r="S746">
        <v>0.59699999999999998</v>
      </c>
      <c r="T746">
        <v>0.59699999999999998</v>
      </c>
      <c r="U746">
        <v>6</v>
      </c>
      <c r="V746">
        <v>0</v>
      </c>
      <c r="W746">
        <v>0.1666666666666666</v>
      </c>
      <c r="X746">
        <v>1</v>
      </c>
      <c r="Y746">
        <v>0.4556</v>
      </c>
      <c r="Z746">
        <v>1</v>
      </c>
    </row>
    <row r="747" spans="1:26" x14ac:dyDescent="0.2">
      <c r="A747" t="s">
        <v>65</v>
      </c>
      <c r="B747">
        <v>2017</v>
      </c>
      <c r="C747" t="str">
        <f t="shared" si="11"/>
        <v>GTA2017</v>
      </c>
      <c r="D747">
        <v>7.8098164857964747E-14</v>
      </c>
      <c r="E747">
        <v>9.8091481386998497E-2</v>
      </c>
      <c r="F747">
        <v>0.96127910274670203</v>
      </c>
      <c r="G747">
        <v>26.8443301820442</v>
      </c>
      <c r="H747">
        <v>1.183840391251644</v>
      </c>
      <c r="I747">
        <v>0.6374616080394051</v>
      </c>
      <c r="J747">
        <v>-1.6506508388481889E-2</v>
      </c>
      <c r="K747">
        <v>8.9059772830193777E-3</v>
      </c>
      <c r="L747">
        <v>9.0662440898833366E-2</v>
      </c>
      <c r="M747">
        <v>16</v>
      </c>
      <c r="N747">
        <v>0</v>
      </c>
      <c r="O747">
        <v>0</v>
      </c>
      <c r="P747">
        <v>0.70770000000000011</v>
      </c>
      <c r="Q747">
        <v>9.300000000000001E-3</v>
      </c>
      <c r="R747">
        <v>5.8500000000000003E-2</v>
      </c>
      <c r="S747">
        <v>0.59699999999999998</v>
      </c>
      <c r="T747">
        <v>0.65550000000000008</v>
      </c>
      <c r="U747">
        <v>7</v>
      </c>
      <c r="V747">
        <v>0</v>
      </c>
      <c r="W747">
        <v>0.2857142857142857</v>
      </c>
      <c r="X747">
        <v>1</v>
      </c>
      <c r="Y747">
        <v>0.45300000000000001</v>
      </c>
      <c r="Z747">
        <v>1</v>
      </c>
    </row>
    <row r="748" spans="1:26" x14ac:dyDescent="0.2">
      <c r="A748" t="s">
        <v>65</v>
      </c>
      <c r="B748">
        <v>2018</v>
      </c>
      <c r="C748" t="str">
        <f t="shared" si="11"/>
        <v>GTA2018</v>
      </c>
      <c r="D748">
        <v>3.9795070376132353E-14</v>
      </c>
      <c r="E748">
        <v>0.1042374075716636</v>
      </c>
      <c r="F748">
        <v>0.9586373735272723</v>
      </c>
      <c r="G748">
        <v>27.217417451610149</v>
      </c>
      <c r="H748">
        <v>1.398861405123295</v>
      </c>
      <c r="I748">
        <v>0.74754737769277324</v>
      </c>
      <c r="J748">
        <v>0.45221106813252332</v>
      </c>
      <c r="K748">
        <v>2.4912981540039129E-2</v>
      </c>
      <c r="L748">
        <v>6.0564485852694992E-2</v>
      </c>
      <c r="M748">
        <v>17</v>
      </c>
      <c r="N748">
        <v>0</v>
      </c>
      <c r="O748">
        <v>0</v>
      </c>
      <c r="P748">
        <v>0.73909999999999998</v>
      </c>
      <c r="Q748">
        <v>1.1599999999999999E-2</v>
      </c>
      <c r="R748">
        <v>9.0800000000000006E-2</v>
      </c>
      <c r="S748">
        <v>0.48949999999999999</v>
      </c>
      <c r="T748">
        <v>0.68779999999999997</v>
      </c>
      <c r="U748">
        <v>7</v>
      </c>
      <c r="V748">
        <v>0</v>
      </c>
      <c r="W748">
        <v>0.42857142857142849</v>
      </c>
      <c r="X748">
        <v>1</v>
      </c>
      <c r="Y748">
        <v>0.45500000000000002</v>
      </c>
      <c r="Z748">
        <v>1</v>
      </c>
    </row>
    <row r="749" spans="1:26" x14ac:dyDescent="0.2">
      <c r="A749" t="s">
        <v>65</v>
      </c>
      <c r="B749">
        <v>2019</v>
      </c>
      <c r="C749" t="str">
        <f t="shared" si="11"/>
        <v>GTA2019</v>
      </c>
      <c r="D749">
        <v>6.0273502619225751E-14</v>
      </c>
      <c r="E749">
        <v>0.1085509917602209</v>
      </c>
      <c r="F749">
        <v>0.91089124366222329</v>
      </c>
      <c r="G749">
        <v>27.034852701119711</v>
      </c>
      <c r="H749">
        <v>1.241087251045192</v>
      </c>
      <c r="I749">
        <v>0.69409964467527818</v>
      </c>
      <c r="J749">
        <v>-0.16686930343941631</v>
      </c>
      <c r="K749">
        <v>3.2667511894603617E-2</v>
      </c>
      <c r="L749">
        <v>6.5655494183167074E-2</v>
      </c>
      <c r="M749">
        <v>18</v>
      </c>
      <c r="N749">
        <v>0</v>
      </c>
      <c r="O749">
        <v>1</v>
      </c>
      <c r="P749">
        <v>0.74980000000000002</v>
      </c>
      <c r="Q749">
        <v>1.0500000000000001E-2</v>
      </c>
      <c r="R749">
        <v>0</v>
      </c>
      <c r="S749">
        <v>0.48949999999999999</v>
      </c>
      <c r="T749">
        <v>0.59699999999999998</v>
      </c>
      <c r="U749">
        <v>7</v>
      </c>
      <c r="V749">
        <v>0</v>
      </c>
      <c r="W749">
        <v>0.42857142857142849</v>
      </c>
      <c r="X749">
        <v>1</v>
      </c>
      <c r="Y749">
        <v>0.46500000000000002</v>
      </c>
      <c r="Z749">
        <v>1</v>
      </c>
    </row>
    <row r="750" spans="1:26" x14ac:dyDescent="0.2">
      <c r="A750" t="s">
        <v>65</v>
      </c>
      <c r="B750">
        <v>2020</v>
      </c>
      <c r="C750" t="str">
        <f t="shared" si="11"/>
        <v>GTA2020</v>
      </c>
      <c r="D750">
        <v>7.0899077180555028E-14</v>
      </c>
      <c r="E750">
        <v>0.10826118905297299</v>
      </c>
      <c r="F750">
        <v>0.92803982040625688</v>
      </c>
      <c r="G750">
        <v>26.95460058060241</v>
      </c>
      <c r="H750">
        <v>1.327833586150992</v>
      </c>
      <c r="I750">
        <v>0.66703231717300615</v>
      </c>
      <c r="J750">
        <v>-7.7116360847773402E-2</v>
      </c>
      <c r="K750">
        <v>9.1879610795311789E-2</v>
      </c>
      <c r="L750">
        <v>6.84642233030167E-2</v>
      </c>
      <c r="M750">
        <v>19</v>
      </c>
      <c r="N750">
        <v>0</v>
      </c>
      <c r="O750">
        <v>1</v>
      </c>
      <c r="P750">
        <v>0.74980000000000002</v>
      </c>
      <c r="Q750">
        <v>9.1000000000000004E-3</v>
      </c>
      <c r="R750">
        <v>0</v>
      </c>
      <c r="S750">
        <v>0.59699999999999998</v>
      </c>
      <c r="T750">
        <v>0.59699999999999998</v>
      </c>
      <c r="U750">
        <v>5</v>
      </c>
      <c r="V750">
        <v>0</v>
      </c>
      <c r="W750">
        <v>0.6</v>
      </c>
      <c r="X750">
        <v>1</v>
      </c>
      <c r="Y750">
        <v>0.441</v>
      </c>
      <c r="Z750">
        <v>1</v>
      </c>
    </row>
    <row r="751" spans="1:26" x14ac:dyDescent="0.2">
      <c r="A751" t="s">
        <v>65</v>
      </c>
      <c r="B751">
        <v>2021</v>
      </c>
      <c r="C751" t="str">
        <f t="shared" si="11"/>
        <v>GTA2021</v>
      </c>
      <c r="D751">
        <v>7.1636406042576491E-14</v>
      </c>
      <c r="E751">
        <v>9.3642048659289309E-2</v>
      </c>
      <c r="F751">
        <v>1.0099231161006219</v>
      </c>
      <c r="G751">
        <v>26.871224865880581</v>
      </c>
      <c r="H751">
        <v>1.3758748737774169</v>
      </c>
      <c r="I751">
        <v>0.64216108839932251</v>
      </c>
      <c r="J751">
        <v>-7.9994577304179137E-2</v>
      </c>
      <c r="K751">
        <v>-2.393843243459436E-2</v>
      </c>
      <c r="L751">
        <v>7.0247303453941368E-2</v>
      </c>
      <c r="M751">
        <v>20</v>
      </c>
      <c r="N751">
        <v>0</v>
      </c>
      <c r="O751">
        <v>0</v>
      </c>
      <c r="P751">
        <v>0.71939999999999993</v>
      </c>
      <c r="Q751">
        <v>0</v>
      </c>
      <c r="R751">
        <v>0</v>
      </c>
      <c r="S751">
        <v>0.63149999999999995</v>
      </c>
      <c r="T751">
        <v>0.63149999999999995</v>
      </c>
      <c r="U751">
        <v>5</v>
      </c>
      <c r="V751">
        <v>0</v>
      </c>
      <c r="W751">
        <v>0.6</v>
      </c>
      <c r="X751">
        <v>1</v>
      </c>
      <c r="Y751">
        <v>0.44890000000000002</v>
      </c>
      <c r="Z751">
        <v>1</v>
      </c>
    </row>
    <row r="752" spans="1:26" x14ac:dyDescent="0.2">
      <c r="A752" t="s">
        <v>65</v>
      </c>
      <c r="B752">
        <v>2022</v>
      </c>
      <c r="C752" t="str">
        <f t="shared" si="11"/>
        <v>GTA2022</v>
      </c>
      <c r="D752">
        <v>7.2552414267601206E-14</v>
      </c>
      <c r="E752">
        <v>6.3076751972068648E-2</v>
      </c>
      <c r="F752">
        <v>0.88360357706467918</v>
      </c>
      <c r="G752">
        <v>26.653188620821069</v>
      </c>
      <c r="H752">
        <v>1.4353433587771749</v>
      </c>
      <c r="I752">
        <v>0.56737133658804895</v>
      </c>
      <c r="J752">
        <v>-0.19590370337974469</v>
      </c>
      <c r="K752">
        <v>0.10436748847634041</v>
      </c>
      <c r="L752">
        <v>9.3734434826352339E-2</v>
      </c>
      <c r="M752">
        <v>21</v>
      </c>
      <c r="N752">
        <v>0</v>
      </c>
      <c r="O752">
        <v>0</v>
      </c>
      <c r="P752">
        <v>0.68469999999999998</v>
      </c>
      <c r="Q752">
        <v>3.0000000000000001E-3</v>
      </c>
      <c r="R752">
        <v>0</v>
      </c>
      <c r="S752">
        <v>0.59699999999999998</v>
      </c>
      <c r="T752">
        <v>0.59699999999999998</v>
      </c>
      <c r="U752">
        <v>5</v>
      </c>
      <c r="V752">
        <v>0</v>
      </c>
      <c r="W752">
        <v>0.4</v>
      </c>
      <c r="X752">
        <v>1</v>
      </c>
      <c r="Y752">
        <v>0.46329999999999999</v>
      </c>
      <c r="Z752">
        <v>1</v>
      </c>
    </row>
    <row r="753" spans="1:26" x14ac:dyDescent="0.2">
      <c r="A753" t="s">
        <v>65</v>
      </c>
      <c r="B753">
        <v>2023</v>
      </c>
      <c r="C753" t="str">
        <f t="shared" si="11"/>
        <v>GTA2023</v>
      </c>
      <c r="D753">
        <v>-237663584919.14209</v>
      </c>
      <c r="E753">
        <v>5.2737345055094122E-2</v>
      </c>
      <c r="F753">
        <v>0.8553885710458462</v>
      </c>
      <c r="G753">
        <v>26.54648429919278</v>
      </c>
      <c r="H753">
        <v>1.5804316461575409</v>
      </c>
      <c r="I753">
        <v>0.42212902416836368</v>
      </c>
      <c r="J753">
        <v>-0.1012086131207752</v>
      </c>
      <c r="K753">
        <v>-1.184578493957775E-2</v>
      </c>
      <c r="L753">
        <v>8.5773745013394687E-2</v>
      </c>
      <c r="M753">
        <v>22</v>
      </c>
      <c r="N753">
        <v>0</v>
      </c>
      <c r="O753">
        <v>0</v>
      </c>
      <c r="P753">
        <v>0.68469999999999998</v>
      </c>
      <c r="Q753">
        <v>3.0000000000000001E-3</v>
      </c>
      <c r="R753">
        <v>0</v>
      </c>
      <c r="S753">
        <v>0.59699999999999998</v>
      </c>
      <c r="T753">
        <v>0.59699999999999998</v>
      </c>
      <c r="U753">
        <v>5</v>
      </c>
      <c r="V753">
        <v>0</v>
      </c>
      <c r="W753">
        <v>0.4</v>
      </c>
      <c r="X753">
        <v>1</v>
      </c>
      <c r="Y753">
        <v>0.46329999999999999</v>
      </c>
      <c r="Z753">
        <v>1</v>
      </c>
    </row>
    <row r="754" spans="1:26" x14ac:dyDescent="0.2">
      <c r="A754" t="s">
        <v>66</v>
      </c>
      <c r="B754">
        <v>2014</v>
      </c>
      <c r="C754" t="str">
        <f t="shared" si="11"/>
        <v>GVR2014</v>
      </c>
      <c r="D754">
        <v>5.7030729931647272E-16</v>
      </c>
      <c r="E754">
        <v>6.0008211427396638E-2</v>
      </c>
      <c r="F754">
        <v>1.759072668133935</v>
      </c>
      <c r="G754">
        <v>31.78157968839588</v>
      </c>
      <c r="H754" t="e">
        <v>#N/A</v>
      </c>
      <c r="I754">
        <v>0.33432799588288192</v>
      </c>
      <c r="J754">
        <v>0</v>
      </c>
      <c r="K754">
        <v>8.3965829026817259E-3</v>
      </c>
      <c r="L754">
        <v>0.64754381315245457</v>
      </c>
      <c r="M754">
        <v>19</v>
      </c>
      <c r="N754">
        <v>0</v>
      </c>
      <c r="O754">
        <v>0</v>
      </c>
      <c r="P754">
        <v>0.9677</v>
      </c>
      <c r="Q754">
        <v>1E-4</v>
      </c>
      <c r="R754">
        <v>0</v>
      </c>
      <c r="S754">
        <v>0.9677</v>
      </c>
      <c r="T754">
        <v>0.9677</v>
      </c>
      <c r="U754">
        <v>7</v>
      </c>
      <c r="V754">
        <v>0</v>
      </c>
      <c r="W754">
        <v>0</v>
      </c>
      <c r="X754">
        <v>0</v>
      </c>
      <c r="Y754">
        <v>0.52800000000000002</v>
      </c>
      <c r="Z754">
        <v>1</v>
      </c>
    </row>
    <row r="755" spans="1:26" x14ac:dyDescent="0.2">
      <c r="A755" t="s">
        <v>66</v>
      </c>
      <c r="B755">
        <v>2015</v>
      </c>
      <c r="C755" t="str">
        <f t="shared" si="11"/>
        <v>GVR2015</v>
      </c>
      <c r="D755">
        <v>4.5364730747163047E-16</v>
      </c>
      <c r="E755">
        <v>4.6568199965850328E-2</v>
      </c>
      <c r="F755">
        <v>2.1025392288255751</v>
      </c>
      <c r="G755">
        <v>31.830741005156831</v>
      </c>
      <c r="H755">
        <v>1.6713274802116911</v>
      </c>
      <c r="I755">
        <v>0.35055248433857072</v>
      </c>
      <c r="J755">
        <v>5.0389782551021778E-2</v>
      </c>
      <c r="K755">
        <v>2.300682937594695E-2</v>
      </c>
      <c r="L755">
        <v>0.68682909094160038</v>
      </c>
      <c r="M755">
        <v>20</v>
      </c>
      <c r="N755">
        <v>0</v>
      </c>
      <c r="O755">
        <v>0</v>
      </c>
      <c r="P755">
        <v>0.9677</v>
      </c>
      <c r="Q755">
        <v>1E-4</v>
      </c>
      <c r="R755">
        <v>0</v>
      </c>
      <c r="S755">
        <v>0.9677</v>
      </c>
      <c r="T755">
        <v>0.9677</v>
      </c>
      <c r="U755">
        <v>7</v>
      </c>
      <c r="V755">
        <v>0</v>
      </c>
      <c r="W755">
        <v>0</v>
      </c>
      <c r="X755">
        <v>0</v>
      </c>
      <c r="Y755">
        <v>0.52800000000000002</v>
      </c>
      <c r="Z755">
        <v>1</v>
      </c>
    </row>
    <row r="756" spans="1:26" x14ac:dyDescent="0.2">
      <c r="A756" t="s">
        <v>66</v>
      </c>
      <c r="B756">
        <v>2016</v>
      </c>
      <c r="C756" t="str">
        <f t="shared" si="11"/>
        <v>GVR2016</v>
      </c>
      <c r="D756">
        <v>5.7396861652433357E-16</v>
      </c>
      <c r="E756">
        <v>6.1868635594608347E-2</v>
      </c>
      <c r="F756">
        <v>0.89353751612857446</v>
      </c>
      <c r="G756">
        <v>31.876691834743252</v>
      </c>
      <c r="H756">
        <v>1.4623462538032439</v>
      </c>
      <c r="I756">
        <v>0.35242664154121178</v>
      </c>
      <c r="J756">
        <v>4.7022927140847548E-2</v>
      </c>
      <c r="K756">
        <v>6.4492029909254275E-2</v>
      </c>
      <c r="L756">
        <v>0.68642750754162773</v>
      </c>
      <c r="M756">
        <v>21</v>
      </c>
      <c r="N756">
        <v>0</v>
      </c>
      <c r="O756">
        <v>0</v>
      </c>
      <c r="P756">
        <v>0.9677</v>
      </c>
      <c r="Q756">
        <v>1E-4</v>
      </c>
      <c r="R756">
        <v>0</v>
      </c>
      <c r="S756">
        <v>0.9677</v>
      </c>
      <c r="T756">
        <v>0.9677</v>
      </c>
      <c r="U756">
        <v>7</v>
      </c>
      <c r="V756">
        <v>0</v>
      </c>
      <c r="W756">
        <v>0</v>
      </c>
      <c r="X756">
        <v>0</v>
      </c>
      <c r="Y756">
        <v>0.52800000000000002</v>
      </c>
      <c r="Z756">
        <v>1</v>
      </c>
    </row>
    <row r="757" spans="1:26" x14ac:dyDescent="0.2">
      <c r="A757" t="s">
        <v>66</v>
      </c>
      <c r="B757">
        <v>2017</v>
      </c>
      <c r="C757" t="str">
        <f t="shared" si="11"/>
        <v>GVR2017</v>
      </c>
      <c r="D757">
        <v>7.0945181247627382E-16</v>
      </c>
      <c r="E757">
        <v>8.1937490267327329E-2</v>
      </c>
      <c r="F757">
        <v>0.89739922905557201</v>
      </c>
      <c r="G757">
        <v>31.941588119482208</v>
      </c>
      <c r="H757">
        <v>1.4714595669696731</v>
      </c>
      <c r="I757">
        <v>0.35509505262572832</v>
      </c>
      <c r="J757">
        <v>6.7048349446849009E-2</v>
      </c>
      <c r="K757">
        <v>4.2958392091296767E-2</v>
      </c>
      <c r="L757">
        <v>0.666842014323063</v>
      </c>
      <c r="M757">
        <v>22</v>
      </c>
      <c r="N757">
        <v>0</v>
      </c>
      <c r="O757">
        <v>0</v>
      </c>
      <c r="P757">
        <v>0.9677</v>
      </c>
      <c r="Q757">
        <v>1E-4</v>
      </c>
      <c r="R757">
        <v>0</v>
      </c>
      <c r="S757">
        <v>0.9677</v>
      </c>
      <c r="T757">
        <v>0.9677</v>
      </c>
      <c r="U757">
        <v>7</v>
      </c>
      <c r="V757">
        <v>0</v>
      </c>
      <c r="W757">
        <v>0</v>
      </c>
      <c r="X757">
        <v>0</v>
      </c>
      <c r="Y757">
        <v>0.52800000000000002</v>
      </c>
      <c r="Z757">
        <v>1</v>
      </c>
    </row>
    <row r="758" spans="1:26" x14ac:dyDescent="0.2">
      <c r="A758" t="s">
        <v>66</v>
      </c>
      <c r="B758">
        <v>2018</v>
      </c>
      <c r="C758" t="str">
        <f t="shared" si="11"/>
        <v>GVR2018</v>
      </c>
      <c r="D758">
        <v>0</v>
      </c>
      <c r="E758">
        <v>0</v>
      </c>
      <c r="F758">
        <v>0.89175400811234973</v>
      </c>
      <c r="G758">
        <v>31.978821182475791</v>
      </c>
      <c r="H758" t="e">
        <v>#N/A</v>
      </c>
      <c r="I758">
        <v>0.35882220396436698</v>
      </c>
      <c r="J758">
        <v>0</v>
      </c>
      <c r="K758">
        <v>3.352233312578156E-2</v>
      </c>
      <c r="L758">
        <v>0.48337862334276499</v>
      </c>
      <c r="M758">
        <v>23</v>
      </c>
      <c r="N758">
        <v>0</v>
      </c>
      <c r="O758">
        <v>0</v>
      </c>
      <c r="P758">
        <v>0.9677</v>
      </c>
      <c r="Q758">
        <v>1E-4</v>
      </c>
      <c r="R758">
        <v>0</v>
      </c>
      <c r="S758">
        <v>0.9677</v>
      </c>
      <c r="T758">
        <v>0.9677</v>
      </c>
      <c r="U758">
        <v>7</v>
      </c>
      <c r="V758">
        <v>0</v>
      </c>
      <c r="W758">
        <v>0</v>
      </c>
      <c r="X758">
        <v>0</v>
      </c>
      <c r="Y758">
        <v>0.52800000000000002</v>
      </c>
      <c r="Z758">
        <v>1</v>
      </c>
    </row>
    <row r="759" spans="1:26" x14ac:dyDescent="0.2">
      <c r="A759" t="s">
        <v>66</v>
      </c>
      <c r="B759">
        <v>2019</v>
      </c>
      <c r="C759" t="str">
        <f t="shared" si="11"/>
        <v>GVR2019</v>
      </c>
      <c r="D759">
        <v>6.2180115141682797E-16</v>
      </c>
      <c r="E759">
        <v>7.5763225487217076E-2</v>
      </c>
      <c r="F759">
        <v>0.89560801302951298</v>
      </c>
      <c r="G759">
        <v>31.994336786455541</v>
      </c>
      <c r="H759" t="e">
        <v>#N/A</v>
      </c>
      <c r="I759">
        <v>0.3555978441210117</v>
      </c>
      <c r="J759">
        <v>5.4164665425711973E-2</v>
      </c>
      <c r="K759">
        <v>5.7115469163783378E-2</v>
      </c>
      <c r="L759">
        <v>0.62820741734311725</v>
      </c>
      <c r="M759">
        <v>24</v>
      </c>
      <c r="N759">
        <v>0</v>
      </c>
      <c r="O759">
        <v>1</v>
      </c>
      <c r="P759">
        <v>0.9677</v>
      </c>
      <c r="Q759">
        <v>1E-4</v>
      </c>
      <c r="R759">
        <v>0</v>
      </c>
      <c r="S759">
        <v>0.9677</v>
      </c>
      <c r="T759">
        <v>0.9677</v>
      </c>
      <c r="U759">
        <v>7</v>
      </c>
      <c r="V759">
        <v>0</v>
      </c>
      <c r="W759">
        <v>0</v>
      </c>
      <c r="X759">
        <v>0</v>
      </c>
      <c r="Y759">
        <v>0.53799999999999992</v>
      </c>
      <c r="Z759">
        <v>1</v>
      </c>
    </row>
    <row r="760" spans="1:26" x14ac:dyDescent="0.2">
      <c r="A760" t="s">
        <v>66</v>
      </c>
      <c r="B760">
        <v>2020</v>
      </c>
      <c r="C760" t="str">
        <f t="shared" si="11"/>
        <v>GVR2020</v>
      </c>
      <c r="D760">
        <v>7.8769273635308113E-16</v>
      </c>
      <c r="E760">
        <v>9.8702882595897157E-2</v>
      </c>
      <c r="F760">
        <v>1.851655440140985</v>
      </c>
      <c r="G760">
        <v>32.016518957641949</v>
      </c>
      <c r="H760">
        <v>2.1657565962589271</v>
      </c>
      <c r="I760">
        <v>0.35934456121543162</v>
      </c>
      <c r="J760">
        <v>2.2430024796743501E-2</v>
      </c>
      <c r="K760">
        <v>-2.4772575783385989E-3</v>
      </c>
      <c r="L760">
        <v>0.60352944985004575</v>
      </c>
      <c r="M760">
        <v>25</v>
      </c>
      <c r="N760">
        <v>0</v>
      </c>
      <c r="O760">
        <v>1</v>
      </c>
      <c r="P760">
        <v>0.9677</v>
      </c>
      <c r="Q760">
        <v>2.0000000000000001E-4</v>
      </c>
      <c r="R760">
        <v>0</v>
      </c>
      <c r="S760">
        <v>0.9677</v>
      </c>
      <c r="T760">
        <v>0.9677</v>
      </c>
      <c r="U760">
        <v>7</v>
      </c>
      <c r="V760">
        <v>0</v>
      </c>
      <c r="W760">
        <v>0</v>
      </c>
      <c r="X760">
        <v>0</v>
      </c>
      <c r="Y760">
        <v>0.54590000000000005</v>
      </c>
      <c r="Z760">
        <v>1</v>
      </c>
    </row>
    <row r="761" spans="1:26" x14ac:dyDescent="0.2">
      <c r="A761" t="s">
        <v>66</v>
      </c>
      <c r="B761">
        <v>2021</v>
      </c>
      <c r="C761" t="str">
        <f t="shared" si="11"/>
        <v>GVR2021</v>
      </c>
      <c r="D761">
        <v>8.5533210536805681E-16</v>
      </c>
      <c r="E761">
        <v>0.10281175401123351</v>
      </c>
      <c r="F761">
        <v>2.2131991882374469</v>
      </c>
      <c r="G761">
        <v>32.000648670417611</v>
      </c>
      <c r="H761">
        <v>2.012412104314274</v>
      </c>
      <c r="I761">
        <v>0.34264928409265738</v>
      </c>
      <c r="J761">
        <v>-1.5745017778895361E-2</v>
      </c>
      <c r="K761">
        <v>5.7364869953988047E-2</v>
      </c>
      <c r="L761">
        <v>0.59695013907431627</v>
      </c>
      <c r="M761">
        <v>26</v>
      </c>
      <c r="N761">
        <v>0</v>
      </c>
      <c r="O761">
        <v>0</v>
      </c>
      <c r="P761">
        <v>0.9677</v>
      </c>
      <c r="Q761">
        <v>1E-4</v>
      </c>
      <c r="R761">
        <v>0</v>
      </c>
      <c r="S761">
        <v>0.9677</v>
      </c>
      <c r="T761">
        <v>0.9677</v>
      </c>
      <c r="U761">
        <v>7</v>
      </c>
      <c r="V761">
        <v>0</v>
      </c>
      <c r="W761">
        <v>0</v>
      </c>
      <c r="X761">
        <v>0</v>
      </c>
      <c r="Y761">
        <v>0.55590000000000006</v>
      </c>
      <c r="Z761">
        <v>1</v>
      </c>
    </row>
    <row r="762" spans="1:26" x14ac:dyDescent="0.2">
      <c r="A762" t="s">
        <v>66</v>
      </c>
      <c r="B762">
        <v>2022</v>
      </c>
      <c r="C762" t="str">
        <f t="shared" si="11"/>
        <v>GVR2022</v>
      </c>
      <c r="D762">
        <v>7.8205980263881267E-16</v>
      </c>
      <c r="E762">
        <v>8.9854203239041905E-2</v>
      </c>
      <c r="F762">
        <v>1.0221232781541101</v>
      </c>
      <c r="G762">
        <v>31.992550739295542</v>
      </c>
      <c r="H762">
        <v>2.0953036304143779</v>
      </c>
      <c r="I762">
        <v>0.31783440097276722</v>
      </c>
      <c r="J762">
        <v>-7.1673707926845909E-3</v>
      </c>
      <c r="K762">
        <v>2.308981151114416E-2</v>
      </c>
      <c r="L762">
        <v>0.58593561504481739</v>
      </c>
      <c r="M762">
        <v>27</v>
      </c>
      <c r="N762">
        <v>0</v>
      </c>
      <c r="O762">
        <v>0</v>
      </c>
      <c r="P762">
        <v>0.9677</v>
      </c>
      <c r="Q762">
        <v>2.0000000000000001E-4</v>
      </c>
      <c r="R762">
        <v>0</v>
      </c>
      <c r="S762">
        <v>0.9677</v>
      </c>
      <c r="T762">
        <v>0.9677</v>
      </c>
      <c r="U762">
        <v>8</v>
      </c>
      <c r="V762">
        <v>0</v>
      </c>
      <c r="W762">
        <v>0</v>
      </c>
      <c r="X762">
        <v>0</v>
      </c>
      <c r="Y762">
        <v>0.54280000000000006</v>
      </c>
      <c r="Z762">
        <v>1</v>
      </c>
    </row>
    <row r="763" spans="1:26" x14ac:dyDescent="0.2">
      <c r="A763" t="s">
        <v>66</v>
      </c>
      <c r="B763">
        <v>2023</v>
      </c>
      <c r="C763" t="str">
        <f t="shared" si="11"/>
        <v>GVR2023</v>
      </c>
      <c r="D763">
        <v>-685867030382823</v>
      </c>
      <c r="E763">
        <v>4.7184644348608099E-2</v>
      </c>
      <c r="F763">
        <v>1.17060535320202</v>
      </c>
      <c r="G763">
        <v>31.98852569797339</v>
      </c>
      <c r="H763">
        <v>2.2568277008671651</v>
      </c>
      <c r="I763">
        <v>8.4290650797379157E-2</v>
      </c>
      <c r="J763">
        <v>-4.9176611694053962E-3</v>
      </c>
      <c r="K763">
        <v>4.6458752015258169E-2</v>
      </c>
      <c r="L763">
        <v>0.57775898957397676</v>
      </c>
      <c r="M763">
        <v>28</v>
      </c>
      <c r="N763">
        <v>0</v>
      </c>
      <c r="O763">
        <v>0</v>
      </c>
      <c r="P763">
        <v>0.9677</v>
      </c>
      <c r="Q763">
        <v>2.0000000000000001E-4</v>
      </c>
      <c r="R763">
        <v>0</v>
      </c>
      <c r="S763">
        <v>0.9677</v>
      </c>
      <c r="T763">
        <v>0.9677</v>
      </c>
      <c r="U763">
        <v>8</v>
      </c>
      <c r="V763">
        <v>0</v>
      </c>
      <c r="W763">
        <v>0</v>
      </c>
      <c r="X763">
        <v>0</v>
      </c>
      <c r="Y763">
        <v>0.54280000000000006</v>
      </c>
      <c r="Z763">
        <v>1</v>
      </c>
    </row>
    <row r="764" spans="1:26" x14ac:dyDescent="0.2">
      <c r="A764" t="s">
        <v>67</v>
      </c>
      <c r="B764">
        <v>2012</v>
      </c>
      <c r="C764" t="str">
        <f t="shared" si="11"/>
        <v>HAD2012</v>
      </c>
      <c r="D764">
        <v>1.4177053869113241E-12</v>
      </c>
      <c r="E764">
        <v>0.2424892202085677</v>
      </c>
      <c r="F764">
        <v>1.0923618819418981</v>
      </c>
      <c r="G764">
        <v>25.70032945897141</v>
      </c>
      <c r="H764">
        <v>3.5673262059762032</v>
      </c>
      <c r="I764">
        <v>0.1519824899232666</v>
      </c>
      <c r="J764">
        <v>6.4457584524154177E-2</v>
      </c>
      <c r="K764">
        <v>0.32874175171208908</v>
      </c>
      <c r="L764">
        <v>0.22833856518049081</v>
      </c>
      <c r="M764">
        <v>9</v>
      </c>
      <c r="N764">
        <v>0</v>
      </c>
      <c r="O764">
        <v>0</v>
      </c>
      <c r="P764">
        <v>0.55000000000000004</v>
      </c>
      <c r="Q764">
        <v>9.300000000000001E-3</v>
      </c>
      <c r="R764">
        <v>0</v>
      </c>
      <c r="S764">
        <v>0.55000000000000004</v>
      </c>
      <c r="T764">
        <v>0.55000000000000004</v>
      </c>
      <c r="U764">
        <v>5</v>
      </c>
      <c r="V764">
        <v>0</v>
      </c>
      <c r="W764">
        <v>0</v>
      </c>
      <c r="X764">
        <v>0</v>
      </c>
      <c r="Y764">
        <v>0.47</v>
      </c>
      <c r="Z764">
        <v>1</v>
      </c>
    </row>
    <row r="765" spans="1:26" x14ac:dyDescent="0.2">
      <c r="A765" t="s">
        <v>67</v>
      </c>
      <c r="B765">
        <v>2013</v>
      </c>
      <c r="C765" t="str">
        <f t="shared" si="11"/>
        <v>HAD2013</v>
      </c>
      <c r="D765">
        <v>1.2166863836270029E-12</v>
      </c>
      <c r="E765">
        <v>0.21620501856517621</v>
      </c>
      <c r="F765">
        <v>1.204849508700099</v>
      </c>
      <c r="G765">
        <v>25.768832731994731</v>
      </c>
      <c r="H765">
        <v>4.9726050957456893</v>
      </c>
      <c r="I765">
        <v>0.1258725917983522</v>
      </c>
      <c r="J765">
        <v>7.0904130039430413E-2</v>
      </c>
      <c r="K765">
        <v>0.13315158040301639</v>
      </c>
      <c r="L765">
        <v>0.22000171610081201</v>
      </c>
      <c r="M765">
        <v>10</v>
      </c>
      <c r="N765">
        <v>0</v>
      </c>
      <c r="O765">
        <v>0</v>
      </c>
      <c r="P765">
        <v>0.55000000000000004</v>
      </c>
      <c r="Q765">
        <v>7.6E-3</v>
      </c>
      <c r="R765">
        <v>0</v>
      </c>
      <c r="S765">
        <v>0.55000000000000004</v>
      </c>
      <c r="T765">
        <v>0.55000000000000004</v>
      </c>
      <c r="U765">
        <v>5</v>
      </c>
      <c r="V765">
        <v>0</v>
      </c>
      <c r="W765">
        <v>0</v>
      </c>
      <c r="X765">
        <v>0</v>
      </c>
      <c r="Y765">
        <v>0.47</v>
      </c>
      <c r="Z765">
        <v>1</v>
      </c>
    </row>
    <row r="766" spans="1:26" x14ac:dyDescent="0.2">
      <c r="A766" t="s">
        <v>67</v>
      </c>
      <c r="B766">
        <v>2014</v>
      </c>
      <c r="C766" t="str">
        <f t="shared" si="11"/>
        <v>HAD2014</v>
      </c>
      <c r="D766">
        <v>8.3291064855203438E-13</v>
      </c>
      <c r="E766">
        <v>0.15534203915969039</v>
      </c>
      <c r="F766">
        <v>1.2131089634831009</v>
      </c>
      <c r="G766">
        <v>25.837890205312519</v>
      </c>
      <c r="H766">
        <v>5.9460888606368716</v>
      </c>
      <c r="I766">
        <v>0.1075938534859732</v>
      </c>
      <c r="J766">
        <v>7.1497789911691534E-2</v>
      </c>
      <c r="K766">
        <v>0.18635157606039221</v>
      </c>
      <c r="L766">
        <v>0.2314035583207924</v>
      </c>
      <c r="M766">
        <v>11</v>
      </c>
      <c r="N766">
        <v>0</v>
      </c>
      <c r="O766">
        <v>0</v>
      </c>
      <c r="P766">
        <v>0.55000000000000004</v>
      </c>
      <c r="Q766">
        <v>8.6999999999999994E-3</v>
      </c>
      <c r="R766">
        <v>0</v>
      </c>
      <c r="S766">
        <v>0.55000000000000004</v>
      </c>
      <c r="T766">
        <v>0.55000000000000004</v>
      </c>
      <c r="U766">
        <v>5</v>
      </c>
      <c r="V766">
        <v>0</v>
      </c>
      <c r="W766">
        <v>0</v>
      </c>
      <c r="X766">
        <v>1</v>
      </c>
      <c r="Y766">
        <v>0.45779999999999998</v>
      </c>
      <c r="Z766">
        <v>1</v>
      </c>
    </row>
    <row r="767" spans="1:26" x14ac:dyDescent="0.2">
      <c r="A767" t="s">
        <v>67</v>
      </c>
      <c r="B767">
        <v>2015</v>
      </c>
      <c r="C767" t="str">
        <f t="shared" si="11"/>
        <v>HAD2015</v>
      </c>
      <c r="D767">
        <v>7.0926441523834544E-13</v>
      </c>
      <c r="E767">
        <v>0.1404263142646959</v>
      </c>
      <c r="F767">
        <v>1.044398694085132</v>
      </c>
      <c r="G767">
        <v>25.87898315347994</v>
      </c>
      <c r="H767">
        <v>6.7364326851079994</v>
      </c>
      <c r="I767">
        <v>0.1240904632352965</v>
      </c>
      <c r="J767">
        <v>4.1948948290024379E-2</v>
      </c>
      <c r="K767">
        <v>0.12944054144846209</v>
      </c>
      <c r="L767">
        <v>0.1793294505284235</v>
      </c>
      <c r="M767">
        <v>12</v>
      </c>
      <c r="N767">
        <v>0</v>
      </c>
      <c r="O767">
        <v>0</v>
      </c>
      <c r="P767">
        <v>0.55000000000000004</v>
      </c>
      <c r="Q767">
        <v>2.8999999999999998E-3</v>
      </c>
      <c r="R767">
        <v>0</v>
      </c>
      <c r="S767">
        <v>0.55000000000000004</v>
      </c>
      <c r="T767">
        <v>0.55000000000000004</v>
      </c>
      <c r="U767">
        <v>5</v>
      </c>
      <c r="V767">
        <v>0</v>
      </c>
      <c r="W767">
        <v>0</v>
      </c>
      <c r="X767">
        <v>1</v>
      </c>
      <c r="Y767">
        <v>0.46800000000000003</v>
      </c>
      <c r="Z767">
        <v>1</v>
      </c>
    </row>
    <row r="768" spans="1:26" x14ac:dyDescent="0.2">
      <c r="A768" t="s">
        <v>67</v>
      </c>
      <c r="B768">
        <v>2016</v>
      </c>
      <c r="C768" t="str">
        <f t="shared" si="11"/>
        <v>HAD2016</v>
      </c>
      <c r="D768">
        <v>5.6069984628221002E-13</v>
      </c>
      <c r="E768">
        <v>0.10933443577966021</v>
      </c>
      <c r="F768">
        <v>1.059120324025125</v>
      </c>
      <c r="G768">
        <v>25.882472715833082</v>
      </c>
      <c r="H768">
        <v>5.9423671722673097</v>
      </c>
      <c r="I768">
        <v>0.10754043719384319</v>
      </c>
      <c r="J768">
        <v>1.354115753015828E-2</v>
      </c>
      <c r="K768">
        <v>0.1812535393395488</v>
      </c>
      <c r="L768">
        <v>0.24960661914708271</v>
      </c>
      <c r="M768">
        <v>13</v>
      </c>
      <c r="N768">
        <v>0</v>
      </c>
      <c r="O768">
        <v>0</v>
      </c>
      <c r="P768">
        <v>0.55000000000000004</v>
      </c>
      <c r="Q768">
        <v>7.4000000000000003E-3</v>
      </c>
      <c r="R768">
        <v>0</v>
      </c>
      <c r="S768">
        <v>0.55000000000000004</v>
      </c>
      <c r="T768">
        <v>0.55000000000000004</v>
      </c>
      <c r="U768">
        <v>5</v>
      </c>
      <c r="V768">
        <v>0</v>
      </c>
      <c r="W768">
        <v>0.2</v>
      </c>
      <c r="X768">
        <v>1</v>
      </c>
      <c r="Y768">
        <v>0.48</v>
      </c>
      <c r="Z768">
        <v>1</v>
      </c>
    </row>
    <row r="769" spans="1:26" x14ac:dyDescent="0.2">
      <c r="A769" t="s">
        <v>67</v>
      </c>
      <c r="B769">
        <v>2017</v>
      </c>
      <c r="C769" t="str">
        <f t="shared" si="11"/>
        <v>HAD2017</v>
      </c>
      <c r="D769">
        <v>4.0826912404781251E-13</v>
      </c>
      <c r="E769">
        <v>0.1795160490635882</v>
      </c>
      <c r="F769">
        <v>1.6590524339756281</v>
      </c>
      <c r="G769">
        <v>25.915033649082361</v>
      </c>
      <c r="H769">
        <v>1.157073222091785</v>
      </c>
      <c r="I769">
        <v>0.59111670497178415</v>
      </c>
      <c r="J769">
        <v>2.2857519570637971E-2</v>
      </c>
      <c r="K769">
        <v>0.137350236721276</v>
      </c>
      <c r="L769">
        <v>0.19013391159127949</v>
      </c>
      <c r="M769">
        <v>14</v>
      </c>
      <c r="N769">
        <v>0</v>
      </c>
      <c r="O769">
        <v>0</v>
      </c>
      <c r="P769">
        <v>0.61649999999999994</v>
      </c>
      <c r="Q769">
        <v>6.0000000000000001E-3</v>
      </c>
      <c r="R769">
        <v>6.6500000000000004E-2</v>
      </c>
      <c r="S769">
        <v>0.55000000000000004</v>
      </c>
      <c r="T769">
        <v>0.61649999999999994</v>
      </c>
      <c r="U769">
        <v>5</v>
      </c>
      <c r="V769">
        <v>0</v>
      </c>
      <c r="W769">
        <v>0.2</v>
      </c>
      <c r="X769">
        <v>0</v>
      </c>
      <c r="Y769">
        <v>0.42270000000000002</v>
      </c>
      <c r="Z769">
        <v>1</v>
      </c>
    </row>
    <row r="770" spans="1:26" x14ac:dyDescent="0.2">
      <c r="A770" t="s">
        <v>67</v>
      </c>
      <c r="B770">
        <v>2018</v>
      </c>
      <c r="C770" t="str">
        <f t="shared" si="11"/>
        <v>HAD2018</v>
      </c>
      <c r="D770">
        <v>4.9271281345153401E-13</v>
      </c>
      <c r="E770">
        <v>0.13742742000416711</v>
      </c>
      <c r="F770">
        <v>1.146604465856538</v>
      </c>
      <c r="G770">
        <v>25.698615917941979</v>
      </c>
      <c r="H770">
        <v>1.268486831915693</v>
      </c>
      <c r="I770">
        <v>0.48085634665819349</v>
      </c>
      <c r="J770">
        <v>-0.19460120856268379</v>
      </c>
      <c r="K770">
        <v>5.5941811828519643E-2</v>
      </c>
      <c r="L770">
        <v>0.22174210836581479</v>
      </c>
      <c r="M770">
        <v>15</v>
      </c>
      <c r="N770">
        <v>0</v>
      </c>
      <c r="O770">
        <v>0</v>
      </c>
      <c r="P770">
        <v>0.55000000000000004</v>
      </c>
      <c r="Q770">
        <v>6.0000000000000001E-3</v>
      </c>
      <c r="R770">
        <v>0</v>
      </c>
      <c r="S770">
        <v>0.55000000000000004</v>
      </c>
      <c r="T770">
        <v>0.55000000000000004</v>
      </c>
      <c r="U770">
        <v>6</v>
      </c>
      <c r="V770">
        <v>0</v>
      </c>
      <c r="W770">
        <v>0.1666666666666666</v>
      </c>
      <c r="X770">
        <v>0</v>
      </c>
      <c r="Y770">
        <v>0.4355</v>
      </c>
      <c r="Z770">
        <v>1</v>
      </c>
    </row>
    <row r="771" spans="1:26" x14ac:dyDescent="0.2">
      <c r="A771" t="s">
        <v>67</v>
      </c>
      <c r="B771">
        <v>2019</v>
      </c>
      <c r="C771" t="str">
        <f t="shared" ref="C771:C834" si="12">A771&amp;B771</f>
        <v>HAD2019</v>
      </c>
      <c r="D771">
        <v>9.5642628173826867E-13</v>
      </c>
      <c r="E771">
        <v>0.13171759735933239</v>
      </c>
      <c r="F771">
        <v>1.014759278449948</v>
      </c>
      <c r="G771">
        <v>25.346592075792291</v>
      </c>
      <c r="H771">
        <v>1.479836636825044</v>
      </c>
      <c r="I771">
        <v>0.26057730703428661</v>
      </c>
      <c r="J771">
        <v>-0.29673664553371099</v>
      </c>
      <c r="K771">
        <v>0.1616765006383401</v>
      </c>
      <c r="L771">
        <v>0.3265942486638696</v>
      </c>
      <c r="M771">
        <v>16</v>
      </c>
      <c r="N771">
        <v>0</v>
      </c>
      <c r="O771">
        <v>1</v>
      </c>
      <c r="P771">
        <v>0.55000000000000004</v>
      </c>
      <c r="Q771">
        <v>6.0000000000000001E-3</v>
      </c>
      <c r="R771">
        <v>0</v>
      </c>
      <c r="S771">
        <v>0.55000000000000004</v>
      </c>
      <c r="T771">
        <v>0.55000000000000004</v>
      </c>
      <c r="U771">
        <v>5</v>
      </c>
      <c r="V771">
        <v>0</v>
      </c>
      <c r="W771">
        <v>0</v>
      </c>
      <c r="X771">
        <v>0</v>
      </c>
      <c r="Y771">
        <v>0.39219999999999999</v>
      </c>
      <c r="Z771">
        <v>1</v>
      </c>
    </row>
    <row r="772" spans="1:26" x14ac:dyDescent="0.2">
      <c r="A772" t="s">
        <v>67</v>
      </c>
      <c r="B772">
        <v>2020</v>
      </c>
      <c r="C772" t="str">
        <f t="shared" si="12"/>
        <v>HAD2020</v>
      </c>
      <c r="D772">
        <v>9.5876199364317656E-13</v>
      </c>
      <c r="E772">
        <v>0.10748647026569411</v>
      </c>
      <c r="F772">
        <v>1.15269840064253</v>
      </c>
      <c r="G772">
        <v>25.254982442985639</v>
      </c>
      <c r="H772">
        <v>2.3681278564077282</v>
      </c>
      <c r="I772">
        <v>0.1711870580619895</v>
      </c>
      <c r="J772">
        <v>-8.7538725022316854E-2</v>
      </c>
      <c r="K772">
        <v>0.24153826054159511</v>
      </c>
      <c r="L772">
        <v>0.29895107659440051</v>
      </c>
      <c r="M772">
        <v>17</v>
      </c>
      <c r="N772">
        <v>0</v>
      </c>
      <c r="O772">
        <v>1</v>
      </c>
      <c r="P772">
        <v>0.55000000000000004</v>
      </c>
      <c r="Q772">
        <v>5.7999999999999996E-3</v>
      </c>
      <c r="R772">
        <v>0</v>
      </c>
      <c r="S772">
        <v>0.55000000000000004</v>
      </c>
      <c r="T772">
        <v>0.55000000000000004</v>
      </c>
      <c r="U772">
        <v>5</v>
      </c>
      <c r="V772">
        <v>0</v>
      </c>
      <c r="W772">
        <v>0</v>
      </c>
      <c r="X772">
        <v>0</v>
      </c>
      <c r="Y772">
        <v>0.40100000000000002</v>
      </c>
      <c r="Z772">
        <v>1</v>
      </c>
    </row>
    <row r="773" spans="1:26" x14ac:dyDescent="0.2">
      <c r="A773" t="s">
        <v>67</v>
      </c>
      <c r="B773">
        <v>2021</v>
      </c>
      <c r="C773" t="str">
        <f t="shared" si="12"/>
        <v>HAD2021</v>
      </c>
      <c r="D773">
        <v>3.9039242433504751E-13</v>
      </c>
      <c r="E773">
        <v>4.3770085626051503E-2</v>
      </c>
      <c r="F773">
        <v>0.96899599593527819</v>
      </c>
      <c r="G773">
        <v>25.221273781153641</v>
      </c>
      <c r="H773">
        <v>3.7820624962751901</v>
      </c>
      <c r="I773">
        <v>0.19872053110961341</v>
      </c>
      <c r="J773">
        <v>-3.3146855166820588E-2</v>
      </c>
      <c r="K773">
        <v>2.6259408566105709E-2</v>
      </c>
      <c r="L773">
        <v>0.23954495368219711</v>
      </c>
      <c r="M773">
        <v>18</v>
      </c>
      <c r="N773">
        <v>0</v>
      </c>
      <c r="O773">
        <v>0</v>
      </c>
      <c r="P773">
        <v>0.55000000000000004</v>
      </c>
      <c r="Q773">
        <v>5.7999999999999996E-3</v>
      </c>
      <c r="R773">
        <v>0</v>
      </c>
      <c r="S773">
        <v>0.55000000000000004</v>
      </c>
      <c r="T773">
        <v>0.55000000000000004</v>
      </c>
      <c r="U773">
        <v>5</v>
      </c>
      <c r="V773">
        <v>0</v>
      </c>
      <c r="W773">
        <v>0</v>
      </c>
      <c r="X773">
        <v>0</v>
      </c>
      <c r="Y773">
        <v>0.41899999999999998</v>
      </c>
      <c r="Z773">
        <v>1</v>
      </c>
    </row>
    <row r="774" spans="1:26" x14ac:dyDescent="0.2">
      <c r="A774" t="s">
        <v>67</v>
      </c>
      <c r="B774">
        <v>2022</v>
      </c>
      <c r="C774" t="str">
        <f t="shared" si="12"/>
        <v>HAD2022</v>
      </c>
      <c r="D774">
        <v>1.17919856606667E-12</v>
      </c>
      <c r="E774">
        <v>0.13790383959571101</v>
      </c>
      <c r="F774">
        <v>0.8183579046401549</v>
      </c>
      <c r="G774">
        <v>25.27189312685756</v>
      </c>
      <c r="H774">
        <v>3.508933529100029</v>
      </c>
      <c r="I774">
        <v>0.19192007752953019</v>
      </c>
      <c r="J774">
        <v>5.1922398282928439E-2</v>
      </c>
      <c r="K774">
        <v>0.16668513434304361</v>
      </c>
      <c r="L774">
        <v>0.19076629484775501</v>
      </c>
      <c r="M774">
        <v>19</v>
      </c>
      <c r="N774">
        <v>0</v>
      </c>
      <c r="O774">
        <v>0</v>
      </c>
      <c r="P774">
        <v>0.55000000000000004</v>
      </c>
      <c r="Q774">
        <v>2.9999999999999997E-4</v>
      </c>
      <c r="R774">
        <v>0</v>
      </c>
      <c r="S774">
        <v>0.55000000000000004</v>
      </c>
      <c r="T774">
        <v>0.55000000000000004</v>
      </c>
      <c r="U774">
        <v>4</v>
      </c>
      <c r="V774">
        <v>0</v>
      </c>
      <c r="W774">
        <v>0.25</v>
      </c>
      <c r="X774">
        <v>0</v>
      </c>
      <c r="Y774">
        <v>0.41889999999999999</v>
      </c>
      <c r="Z774">
        <v>1</v>
      </c>
    </row>
    <row r="775" spans="1:26" x14ac:dyDescent="0.2">
      <c r="A775" t="s">
        <v>67</v>
      </c>
      <c r="B775">
        <v>2023</v>
      </c>
      <c r="C775" t="str">
        <f t="shared" si="12"/>
        <v>HAD2023</v>
      </c>
      <c r="D775">
        <v>-94560470396.269852</v>
      </c>
      <c r="E775">
        <v>0.13790383959571101</v>
      </c>
      <c r="F775">
        <v>0.8183579046401549</v>
      </c>
      <c r="G775">
        <v>25.262064551417279</v>
      </c>
      <c r="H775">
        <v>3.8406541319466321</v>
      </c>
      <c r="I775">
        <v>0.19192007752953019</v>
      </c>
      <c r="J775">
        <v>-9.7804328461670309E-3</v>
      </c>
      <c r="K775">
        <v>7.8578495576882235E-2</v>
      </c>
      <c r="L775">
        <v>0.1776497510793715</v>
      </c>
      <c r="M775">
        <v>20</v>
      </c>
      <c r="N775">
        <v>0</v>
      </c>
      <c r="O775">
        <v>0</v>
      </c>
      <c r="P775">
        <v>0.55000000000000004</v>
      </c>
      <c r="Q775">
        <v>2.9999999999999997E-4</v>
      </c>
      <c r="R775">
        <v>0</v>
      </c>
      <c r="S775">
        <v>0.55000000000000004</v>
      </c>
      <c r="T775">
        <v>0.55000000000000004</v>
      </c>
      <c r="U775">
        <v>4</v>
      </c>
      <c r="V775">
        <v>0</v>
      </c>
      <c r="W775">
        <v>0.25</v>
      </c>
      <c r="X775">
        <v>0</v>
      </c>
      <c r="Y775">
        <v>0.41889999999999999</v>
      </c>
      <c r="Z775">
        <v>1</v>
      </c>
    </row>
    <row r="776" spans="1:26" x14ac:dyDescent="0.2">
      <c r="A776" t="s">
        <v>68</v>
      </c>
      <c r="B776">
        <v>2012</v>
      </c>
      <c r="C776" t="str">
        <f t="shared" si="12"/>
        <v>HAP2012</v>
      </c>
      <c r="D776">
        <v>1.7905113285407599E-14</v>
      </c>
      <c r="E776">
        <v>1.927778400135903E-2</v>
      </c>
      <c r="F776">
        <v>0.47130469526397678</v>
      </c>
      <c r="G776">
        <v>27.353880421289311</v>
      </c>
      <c r="H776">
        <v>2.4195135122365592</v>
      </c>
      <c r="I776">
        <v>0.2908081402223906</v>
      </c>
      <c r="J776">
        <v>0.10219424907771731</v>
      </c>
      <c r="K776">
        <v>4.5423650642219947E-2</v>
      </c>
      <c r="L776">
        <v>0.32590145879918558</v>
      </c>
      <c r="M776">
        <v>13</v>
      </c>
      <c r="N776">
        <v>0</v>
      </c>
      <c r="O776">
        <v>0</v>
      </c>
      <c r="P776">
        <v>6.7000000000000004E-2</v>
      </c>
      <c r="Q776">
        <v>6.93E-2</v>
      </c>
      <c r="R776">
        <v>0</v>
      </c>
      <c r="S776">
        <v>0</v>
      </c>
      <c r="T776">
        <v>0</v>
      </c>
      <c r="U776">
        <v>7</v>
      </c>
      <c r="V776">
        <v>0</v>
      </c>
      <c r="W776">
        <v>0.14285714285714279</v>
      </c>
      <c r="X776">
        <v>1</v>
      </c>
      <c r="Y776">
        <v>0.48420000000000002</v>
      </c>
      <c r="Z776">
        <v>0.8571428571428571</v>
      </c>
    </row>
    <row r="777" spans="1:26" x14ac:dyDescent="0.2">
      <c r="A777" t="s">
        <v>68</v>
      </c>
      <c r="B777">
        <v>2013</v>
      </c>
      <c r="C777" t="str">
        <f t="shared" si="12"/>
        <v>HAP2013</v>
      </c>
      <c r="D777">
        <v>1.6074930551284829E-14</v>
      </c>
      <c r="E777">
        <v>4.2632161028825909E-2</v>
      </c>
      <c r="F777">
        <v>0.71253867109178726</v>
      </c>
      <c r="G777">
        <v>27.82604393935156</v>
      </c>
      <c r="H777">
        <v>2.141019019860702</v>
      </c>
      <c r="I777">
        <v>0.53819163602050779</v>
      </c>
      <c r="J777">
        <v>0.60536199380261713</v>
      </c>
      <c r="K777">
        <v>5.6164763341514899E-3</v>
      </c>
      <c r="L777">
        <v>0.30832676549364513</v>
      </c>
      <c r="M777">
        <v>14</v>
      </c>
      <c r="N777">
        <v>0</v>
      </c>
      <c r="O777">
        <v>0</v>
      </c>
      <c r="P777">
        <v>6.7000000000000004E-2</v>
      </c>
      <c r="Q777">
        <v>9.8000000000000004E-2</v>
      </c>
      <c r="R777">
        <v>0</v>
      </c>
      <c r="S777">
        <v>0</v>
      </c>
      <c r="T777">
        <v>0</v>
      </c>
      <c r="U777">
        <v>7</v>
      </c>
      <c r="V777">
        <v>0</v>
      </c>
      <c r="W777">
        <v>0.14285714285714279</v>
      </c>
      <c r="X777">
        <v>0</v>
      </c>
      <c r="Y777">
        <v>0.501</v>
      </c>
      <c r="Z777">
        <v>0.8571428571428571</v>
      </c>
    </row>
    <row r="778" spans="1:26" x14ac:dyDescent="0.2">
      <c r="A778" t="s">
        <v>68</v>
      </c>
      <c r="B778">
        <v>2014</v>
      </c>
      <c r="C778" t="str">
        <f t="shared" si="12"/>
        <v>HAP2014</v>
      </c>
      <c r="D778">
        <v>2.367199273512418E-14</v>
      </c>
      <c r="E778">
        <v>4.9614253091749848E-2</v>
      </c>
      <c r="F778">
        <v>0.71315789239463379</v>
      </c>
      <c r="G778">
        <v>27.718712212760629</v>
      </c>
      <c r="H778">
        <v>1.2414894568000689</v>
      </c>
      <c r="I778">
        <v>0.47494282584456038</v>
      </c>
      <c r="J778">
        <v>-0.1028367886213112</v>
      </c>
      <c r="K778">
        <v>-1.6853865452277541E-2</v>
      </c>
      <c r="L778">
        <v>0.42781324898280171</v>
      </c>
      <c r="M778">
        <v>15</v>
      </c>
      <c r="N778">
        <v>0</v>
      </c>
      <c r="O778">
        <v>0</v>
      </c>
      <c r="P778">
        <v>6.7000000000000004E-2</v>
      </c>
      <c r="Q778">
        <v>9.7100000000000006E-2</v>
      </c>
      <c r="R778">
        <v>0</v>
      </c>
      <c r="S778">
        <v>0</v>
      </c>
      <c r="T778">
        <v>0</v>
      </c>
      <c r="U778">
        <v>7</v>
      </c>
      <c r="V778">
        <v>0</v>
      </c>
      <c r="W778">
        <v>0.14285714285714279</v>
      </c>
      <c r="X778">
        <v>0</v>
      </c>
      <c r="Y778">
        <v>0.50729999999999997</v>
      </c>
      <c r="Z778">
        <v>0.8571428571428571</v>
      </c>
    </row>
    <row r="779" spans="1:26" x14ac:dyDescent="0.2">
      <c r="A779" t="s">
        <v>68</v>
      </c>
      <c r="B779">
        <v>2015</v>
      </c>
      <c r="C779" t="str">
        <f t="shared" si="12"/>
        <v>HAP2015</v>
      </c>
      <c r="D779">
        <v>2.833839311412459E-14</v>
      </c>
      <c r="E779">
        <v>5.1524583061238971E-2</v>
      </c>
      <c r="F779">
        <v>0.65636799297677073</v>
      </c>
      <c r="G779">
        <v>27.742337947368519</v>
      </c>
      <c r="H779">
        <v>1.5083424447872771</v>
      </c>
      <c r="I779">
        <v>0.385240823601736</v>
      </c>
      <c r="J779">
        <v>2.390703320273713E-2</v>
      </c>
      <c r="K779">
        <v>9.6168119397923978E-3</v>
      </c>
      <c r="L779">
        <v>8.2160059035394972E-2</v>
      </c>
      <c r="M779">
        <v>16</v>
      </c>
      <c r="N779">
        <v>0</v>
      </c>
      <c r="O779">
        <v>0</v>
      </c>
      <c r="P779">
        <v>7.8799999999999995E-2</v>
      </c>
      <c r="Q779">
        <v>0.1033</v>
      </c>
      <c r="R779">
        <v>0</v>
      </c>
      <c r="S779">
        <v>0</v>
      </c>
      <c r="T779">
        <v>0</v>
      </c>
      <c r="U779">
        <v>7</v>
      </c>
      <c r="V779">
        <v>0</v>
      </c>
      <c r="W779">
        <v>0.14285714285714279</v>
      </c>
      <c r="X779">
        <v>0</v>
      </c>
      <c r="Y779">
        <v>0.51729999999999998</v>
      </c>
      <c r="Z779">
        <v>0.8571428571428571</v>
      </c>
    </row>
    <row r="780" spans="1:26" x14ac:dyDescent="0.2">
      <c r="A780" t="s">
        <v>68</v>
      </c>
      <c r="B780">
        <v>2016</v>
      </c>
      <c r="C780" t="str">
        <f t="shared" si="12"/>
        <v>HAP2016</v>
      </c>
      <c r="D780">
        <v>1.296614242134714E-14</v>
      </c>
      <c r="E780">
        <v>1.9916896969471281E-2</v>
      </c>
      <c r="F780">
        <v>0.51001546444272261</v>
      </c>
      <c r="G780">
        <v>27.644254438668568</v>
      </c>
      <c r="H780">
        <v>1.971020921105016</v>
      </c>
      <c r="I780">
        <v>0.34031551529880261</v>
      </c>
      <c r="J780">
        <v>-9.3426806156082787E-2</v>
      </c>
      <c r="K780">
        <v>5.2841001023626322E-2</v>
      </c>
      <c r="L780">
        <v>8.380388085846889E-2</v>
      </c>
      <c r="M780">
        <v>17</v>
      </c>
      <c r="N780">
        <v>0</v>
      </c>
      <c r="O780">
        <v>0</v>
      </c>
      <c r="P780">
        <v>0.12909999999999999</v>
      </c>
      <c r="Q780">
        <v>0.15359999999999999</v>
      </c>
      <c r="R780">
        <v>0</v>
      </c>
      <c r="S780">
        <v>0</v>
      </c>
      <c r="T780">
        <v>0</v>
      </c>
      <c r="U780">
        <v>7</v>
      </c>
      <c r="V780">
        <v>0</v>
      </c>
      <c r="W780">
        <v>0.2857142857142857</v>
      </c>
      <c r="X780">
        <v>0</v>
      </c>
      <c r="Y780">
        <v>0.51</v>
      </c>
      <c r="Z780">
        <v>0.8571428571428571</v>
      </c>
    </row>
    <row r="781" spans="1:26" x14ac:dyDescent="0.2">
      <c r="A781" t="s">
        <v>68</v>
      </c>
      <c r="B781">
        <v>2017</v>
      </c>
      <c r="C781" t="str">
        <f t="shared" si="12"/>
        <v>HAP2017</v>
      </c>
      <c r="D781">
        <v>2.120616097738069E-14</v>
      </c>
      <c r="E781">
        <v>2.0088529840737231E-2</v>
      </c>
      <c r="F781">
        <v>0.44809240668362649</v>
      </c>
      <c r="G781">
        <v>27.402360362381948</v>
      </c>
      <c r="H781">
        <v>2.3931617484735872</v>
      </c>
      <c r="I781">
        <v>0.16013826294571859</v>
      </c>
      <c r="J781">
        <v>-0.21486066197837639</v>
      </c>
      <c r="K781">
        <v>0.15799286312981839</v>
      </c>
      <c r="L781">
        <v>9.333089707104282E-2</v>
      </c>
      <c r="M781">
        <v>18</v>
      </c>
      <c r="N781">
        <v>0</v>
      </c>
      <c r="O781">
        <v>0</v>
      </c>
      <c r="P781">
        <v>0.12909999999999999</v>
      </c>
      <c r="Q781">
        <v>0.15359999999999999</v>
      </c>
      <c r="R781">
        <v>0</v>
      </c>
      <c r="S781">
        <v>0</v>
      </c>
      <c r="T781">
        <v>0</v>
      </c>
      <c r="U781">
        <v>7</v>
      </c>
      <c r="V781">
        <v>0</v>
      </c>
      <c r="W781">
        <v>0.14285714285714279</v>
      </c>
      <c r="X781">
        <v>0</v>
      </c>
      <c r="Y781">
        <v>0.51600000000000001</v>
      </c>
      <c r="Z781">
        <v>0.8571428571428571</v>
      </c>
    </row>
    <row r="782" spans="1:26" x14ac:dyDescent="0.2">
      <c r="A782" t="s">
        <v>68</v>
      </c>
      <c r="B782">
        <v>2018</v>
      </c>
      <c r="C782" t="str">
        <f t="shared" si="12"/>
        <v>HAP2018</v>
      </c>
      <c r="D782">
        <v>5.0514778877985598E-14</v>
      </c>
      <c r="E782">
        <v>4.842576539998876E-2</v>
      </c>
      <c r="F782">
        <v>0.37612689152893902</v>
      </c>
      <c r="G782">
        <v>27.433058728781759</v>
      </c>
      <c r="H782">
        <v>3.8359432747877049</v>
      </c>
      <c r="I782">
        <v>0.1442084575592685</v>
      </c>
      <c r="J782">
        <v>3.1174420119451481E-2</v>
      </c>
      <c r="K782">
        <v>4.7706668704537783E-2</v>
      </c>
      <c r="L782">
        <v>0.10031370138995491</v>
      </c>
      <c r="M782">
        <v>19</v>
      </c>
      <c r="N782">
        <v>0</v>
      </c>
      <c r="O782">
        <v>0</v>
      </c>
      <c r="P782">
        <v>0.12909999999999999</v>
      </c>
      <c r="Q782">
        <v>0.15359999999999999</v>
      </c>
      <c r="R782">
        <v>0</v>
      </c>
      <c r="S782">
        <v>0</v>
      </c>
      <c r="T782">
        <v>0</v>
      </c>
      <c r="U782">
        <v>7</v>
      </c>
      <c r="V782">
        <v>0</v>
      </c>
      <c r="W782">
        <v>0.14285714285714279</v>
      </c>
      <c r="X782">
        <v>0</v>
      </c>
      <c r="Y782">
        <v>0.52600000000000002</v>
      </c>
      <c r="Z782">
        <v>0.8571428571428571</v>
      </c>
    </row>
    <row r="783" spans="1:26" x14ac:dyDescent="0.2">
      <c r="A783" t="s">
        <v>68</v>
      </c>
      <c r="B783">
        <v>2019</v>
      </c>
      <c r="C783" t="str">
        <f t="shared" si="12"/>
        <v>HAP2019</v>
      </c>
      <c r="D783">
        <v>3.0882530833422518E-14</v>
      </c>
      <c r="E783">
        <v>2.9545728626645649E-2</v>
      </c>
      <c r="F783">
        <v>0.38640577246401581</v>
      </c>
      <c r="G783">
        <v>27.4226333595801</v>
      </c>
      <c r="H783">
        <v>3.4352428118881528</v>
      </c>
      <c r="I783">
        <v>0.1513736228769246</v>
      </c>
      <c r="J783">
        <v>-1.0371213401615949E-2</v>
      </c>
      <c r="K783">
        <v>4.6200663957637729E-2</v>
      </c>
      <c r="L783">
        <v>8.3397156036042391E-2</v>
      </c>
      <c r="M783">
        <v>20</v>
      </c>
      <c r="N783">
        <v>0</v>
      </c>
      <c r="O783">
        <v>1</v>
      </c>
      <c r="P783">
        <v>0.12909999999999999</v>
      </c>
      <c r="Q783">
        <v>0.1487</v>
      </c>
      <c r="R783">
        <v>0</v>
      </c>
      <c r="S783">
        <v>0</v>
      </c>
      <c r="T783">
        <v>0</v>
      </c>
      <c r="U783">
        <v>7</v>
      </c>
      <c r="V783">
        <v>0</v>
      </c>
      <c r="W783">
        <v>0</v>
      </c>
      <c r="X783">
        <v>0</v>
      </c>
      <c r="Y783">
        <v>0.50180000000000002</v>
      </c>
      <c r="Z783">
        <v>1</v>
      </c>
    </row>
    <row r="784" spans="1:26" x14ac:dyDescent="0.2">
      <c r="A784" t="s">
        <v>68</v>
      </c>
      <c r="B784">
        <v>2020</v>
      </c>
      <c r="C784" t="str">
        <f t="shared" si="12"/>
        <v>HAP2020</v>
      </c>
      <c r="D784">
        <v>5.2164708883316642E-14</v>
      </c>
      <c r="E784">
        <v>4.7472951468042937E-2</v>
      </c>
      <c r="F784">
        <v>0.58359159640364111</v>
      </c>
      <c r="G784">
        <v>27.417971883981849</v>
      </c>
      <c r="H784">
        <v>3.4634699487838279</v>
      </c>
      <c r="I784">
        <v>0.1120174142290636</v>
      </c>
      <c r="J784">
        <v>-4.650627783030381E-3</v>
      </c>
      <c r="K784">
        <v>3.1829630035470423E-2</v>
      </c>
      <c r="L784">
        <v>7.2497682579423794E-2</v>
      </c>
      <c r="M784">
        <v>21</v>
      </c>
      <c r="N784">
        <v>0</v>
      </c>
      <c r="O784">
        <v>1</v>
      </c>
      <c r="P784">
        <v>0.1295</v>
      </c>
      <c r="Q784">
        <v>0.24709999999999999</v>
      </c>
      <c r="R784">
        <v>0</v>
      </c>
      <c r="S784">
        <v>0</v>
      </c>
      <c r="T784">
        <v>0</v>
      </c>
      <c r="U784">
        <v>7</v>
      </c>
      <c r="V784">
        <v>0</v>
      </c>
      <c r="W784">
        <v>0</v>
      </c>
      <c r="X784">
        <v>0</v>
      </c>
      <c r="Y784">
        <v>0.52249999999999996</v>
      </c>
      <c r="Z784">
        <v>1</v>
      </c>
    </row>
    <row r="785" spans="1:26" x14ac:dyDescent="0.2">
      <c r="A785" t="s">
        <v>68</v>
      </c>
      <c r="B785">
        <v>2021</v>
      </c>
      <c r="C785" t="str">
        <f t="shared" si="12"/>
        <v>HAP2021</v>
      </c>
      <c r="D785">
        <v>6.8399195486024768E-14</v>
      </c>
      <c r="E785">
        <v>6.0769008057166993E-2</v>
      </c>
      <c r="F785">
        <v>1.1807528068848629</v>
      </c>
      <c r="G785">
        <v>27.411608665001861</v>
      </c>
      <c r="H785">
        <v>4.7680854744970471</v>
      </c>
      <c r="I785">
        <v>9.6185656013827267E-2</v>
      </c>
      <c r="J785">
        <v>-3.2975031756082851E-3</v>
      </c>
      <c r="K785">
        <v>-1.3267570727830799E-3</v>
      </c>
      <c r="L785">
        <v>5.8042317529252659E-2</v>
      </c>
      <c r="M785">
        <v>22</v>
      </c>
      <c r="N785">
        <v>0</v>
      </c>
      <c r="O785">
        <v>0</v>
      </c>
      <c r="P785">
        <v>0.12909999999999999</v>
      </c>
      <c r="Q785">
        <v>0.22359999999999999</v>
      </c>
      <c r="R785">
        <v>0</v>
      </c>
      <c r="S785">
        <v>0</v>
      </c>
      <c r="T785">
        <v>0</v>
      </c>
      <c r="U785">
        <v>7</v>
      </c>
      <c r="V785">
        <v>0</v>
      </c>
      <c r="W785">
        <v>0</v>
      </c>
      <c r="X785">
        <v>0</v>
      </c>
      <c r="Y785">
        <v>0.52670000000000006</v>
      </c>
      <c r="Z785">
        <v>1</v>
      </c>
    </row>
    <row r="786" spans="1:26" x14ac:dyDescent="0.2">
      <c r="A786" t="s">
        <v>68</v>
      </c>
      <c r="B786">
        <v>2022</v>
      </c>
      <c r="C786" t="str">
        <f t="shared" si="12"/>
        <v>HAP2022</v>
      </c>
      <c r="D786">
        <v>4.336654199497726E-15</v>
      </c>
      <c r="E786">
        <v>6.1333974605454512E-3</v>
      </c>
      <c r="F786">
        <v>0.4206594862452942</v>
      </c>
      <c r="G786">
        <v>27.91244814361081</v>
      </c>
      <c r="H786">
        <v>5.7299147389906366</v>
      </c>
      <c r="I786">
        <v>6.3137427174492416E-2</v>
      </c>
      <c r="J786">
        <v>0.64506387220160333</v>
      </c>
      <c r="K786">
        <v>-1.348258383080863E-2</v>
      </c>
      <c r="L786">
        <v>2.7737119867622659E-2</v>
      </c>
      <c r="M786">
        <v>23</v>
      </c>
      <c r="N786">
        <v>0</v>
      </c>
      <c r="O786">
        <v>0</v>
      </c>
      <c r="P786">
        <v>0.1293</v>
      </c>
      <c r="Q786">
        <v>0.25740000000000002</v>
      </c>
      <c r="R786">
        <v>0</v>
      </c>
      <c r="S786">
        <v>0</v>
      </c>
      <c r="T786">
        <v>0</v>
      </c>
      <c r="U786">
        <v>7</v>
      </c>
      <c r="V786">
        <v>0</v>
      </c>
      <c r="W786">
        <v>0</v>
      </c>
      <c r="X786">
        <v>0</v>
      </c>
      <c r="Y786">
        <v>0.53670000000000007</v>
      </c>
      <c r="Z786">
        <v>1</v>
      </c>
    </row>
    <row r="787" spans="1:26" x14ac:dyDescent="0.2">
      <c r="A787" t="s">
        <v>68</v>
      </c>
      <c r="B787">
        <v>2023</v>
      </c>
      <c r="C787" t="str">
        <f t="shared" si="12"/>
        <v>HAP2023</v>
      </c>
      <c r="D787">
        <v>-7325090499674.9033</v>
      </c>
      <c r="E787">
        <v>1.4527996585988689E-2</v>
      </c>
      <c r="F787">
        <v>0.43359390068585257</v>
      </c>
      <c r="G787">
        <v>27.87416867591682</v>
      </c>
      <c r="H787">
        <v>9.6659533578137502</v>
      </c>
      <c r="I787">
        <v>1.166306280453753E-2</v>
      </c>
      <c r="J787">
        <v>-3.755606868286987E-2</v>
      </c>
      <c r="K787">
        <v>2.136105011030031E-2</v>
      </c>
      <c r="L787">
        <v>2.4887177573760789E-2</v>
      </c>
      <c r="M787">
        <v>24</v>
      </c>
      <c r="N787">
        <v>0</v>
      </c>
      <c r="O787">
        <v>0</v>
      </c>
      <c r="P787">
        <v>0.1293</v>
      </c>
      <c r="Q787">
        <v>0.25740000000000002</v>
      </c>
      <c r="R787">
        <v>0</v>
      </c>
      <c r="S787">
        <v>0</v>
      </c>
      <c r="T787">
        <v>0</v>
      </c>
      <c r="U787">
        <v>7</v>
      </c>
      <c r="V787">
        <v>0</v>
      </c>
      <c r="W787">
        <v>0</v>
      </c>
      <c r="X787">
        <v>0</v>
      </c>
      <c r="Y787">
        <v>0.53670000000000007</v>
      </c>
      <c r="Z787">
        <v>1</v>
      </c>
    </row>
    <row r="788" spans="1:26" x14ac:dyDescent="0.2">
      <c r="A788" t="s">
        <v>69</v>
      </c>
      <c r="B788">
        <v>2012</v>
      </c>
      <c r="C788" t="str">
        <f t="shared" si="12"/>
        <v>HAT2012</v>
      </c>
      <c r="D788">
        <v>1.118858313986282E-12</v>
      </c>
      <c r="E788">
        <v>0.16822838534564619</v>
      </c>
      <c r="F788">
        <v>1.115209948367144</v>
      </c>
      <c r="G788">
        <v>25.385952389007461</v>
      </c>
      <c r="H788">
        <v>2.2036765156538789</v>
      </c>
      <c r="I788">
        <v>0.29554240271362331</v>
      </c>
      <c r="J788">
        <v>0.16177887319660059</v>
      </c>
      <c r="K788">
        <v>0.1593210217419542</v>
      </c>
      <c r="L788">
        <v>0.25841407938266248</v>
      </c>
      <c r="M788">
        <v>6</v>
      </c>
      <c r="N788">
        <v>0</v>
      </c>
      <c r="O788">
        <v>0</v>
      </c>
      <c r="P788">
        <v>0.6</v>
      </c>
      <c r="Q788">
        <v>2.2000000000000001E-3</v>
      </c>
      <c r="R788">
        <v>0</v>
      </c>
      <c r="S788">
        <v>0.6</v>
      </c>
      <c r="T788">
        <v>0.6</v>
      </c>
      <c r="U788">
        <v>5</v>
      </c>
      <c r="V788">
        <v>0</v>
      </c>
      <c r="W788">
        <v>0</v>
      </c>
      <c r="X788">
        <v>0</v>
      </c>
      <c r="Y788">
        <v>0.44440000000000002</v>
      </c>
      <c r="Z788">
        <v>1</v>
      </c>
    </row>
    <row r="789" spans="1:26" x14ac:dyDescent="0.2">
      <c r="A789" t="s">
        <v>69</v>
      </c>
      <c r="B789">
        <v>2013</v>
      </c>
      <c r="C789" t="str">
        <f t="shared" si="12"/>
        <v>HAT2013</v>
      </c>
      <c r="D789">
        <v>1.1506993960244381E-12</v>
      </c>
      <c r="E789">
        <v>0.18756021715067089</v>
      </c>
      <c r="F789">
        <v>1.227824321110474</v>
      </c>
      <c r="G789">
        <v>25.46203776145969</v>
      </c>
      <c r="H789">
        <v>1.561546290232257</v>
      </c>
      <c r="I789">
        <v>0.29879717666041727</v>
      </c>
      <c r="J789">
        <v>7.9054691770204411E-2</v>
      </c>
      <c r="K789">
        <v>0.20534565470187841</v>
      </c>
      <c r="L789">
        <v>0.21985095599375359</v>
      </c>
      <c r="M789">
        <v>7</v>
      </c>
      <c r="N789">
        <v>0</v>
      </c>
      <c r="O789">
        <v>0</v>
      </c>
      <c r="P789">
        <v>0.6</v>
      </c>
      <c r="Q789">
        <v>2.3999999999999998E-3</v>
      </c>
      <c r="R789">
        <v>0</v>
      </c>
      <c r="S789">
        <v>0.6</v>
      </c>
      <c r="T789">
        <v>0.6</v>
      </c>
      <c r="U789">
        <v>5</v>
      </c>
      <c r="V789">
        <v>0</v>
      </c>
      <c r="W789">
        <v>0.2</v>
      </c>
      <c r="X789">
        <v>0</v>
      </c>
      <c r="Y789">
        <v>0.44429999999999997</v>
      </c>
      <c r="Z789">
        <v>1</v>
      </c>
    </row>
    <row r="790" spans="1:26" x14ac:dyDescent="0.2">
      <c r="A790" t="s">
        <v>69</v>
      </c>
      <c r="B790">
        <v>2014</v>
      </c>
      <c r="C790" t="str">
        <f t="shared" si="12"/>
        <v>HAT2014</v>
      </c>
      <c r="D790">
        <v>1.190788447620069E-12</v>
      </c>
      <c r="E790">
        <v>0.2386946982113175</v>
      </c>
      <c r="F790">
        <v>1.657766940329918</v>
      </c>
      <c r="G790">
        <v>25.643955685371129</v>
      </c>
      <c r="H790">
        <v>1.8000396234320279</v>
      </c>
      <c r="I790">
        <v>0.31605640268477331</v>
      </c>
      <c r="J790">
        <v>0.19951573827952521</v>
      </c>
      <c r="K790">
        <v>0.25696859292774882</v>
      </c>
      <c r="L790">
        <v>0.17264816316614201</v>
      </c>
      <c r="M790">
        <v>8</v>
      </c>
      <c r="N790">
        <v>0</v>
      </c>
      <c r="O790">
        <v>0</v>
      </c>
      <c r="P790">
        <v>0.6</v>
      </c>
      <c r="Q790">
        <v>2.3999999999999998E-3</v>
      </c>
      <c r="R790">
        <v>0</v>
      </c>
      <c r="S790">
        <v>0.6</v>
      </c>
      <c r="T790">
        <v>0.6</v>
      </c>
      <c r="U790">
        <v>5</v>
      </c>
      <c r="V790">
        <v>0</v>
      </c>
      <c r="W790">
        <v>0.2</v>
      </c>
      <c r="X790">
        <v>0</v>
      </c>
      <c r="Y790">
        <v>0.44</v>
      </c>
      <c r="Z790">
        <v>1</v>
      </c>
    </row>
    <row r="791" spans="1:26" x14ac:dyDescent="0.2">
      <c r="A791" t="s">
        <v>69</v>
      </c>
      <c r="B791">
        <v>2015</v>
      </c>
      <c r="C791" t="str">
        <f t="shared" si="12"/>
        <v>HAT2015</v>
      </c>
      <c r="D791">
        <v>-7.9135337783518242E-15</v>
      </c>
      <c r="E791">
        <v>-6.4332739151984923E-3</v>
      </c>
      <c r="F791">
        <v>1.801913563369679</v>
      </c>
      <c r="G791">
        <v>25.88807261703062</v>
      </c>
      <c r="H791">
        <v>2.0983450652430791</v>
      </c>
      <c r="I791">
        <v>0.78472901300934328</v>
      </c>
      <c r="J791">
        <v>0.2313247822587978</v>
      </c>
      <c r="K791">
        <v>0.17213449440761869</v>
      </c>
      <c r="L791">
        <v>0.14174020445286981</v>
      </c>
      <c r="M791">
        <v>9</v>
      </c>
      <c r="N791">
        <v>0</v>
      </c>
      <c r="O791">
        <v>0</v>
      </c>
      <c r="P791">
        <v>0.6</v>
      </c>
      <c r="Q791">
        <v>1.5E-3</v>
      </c>
      <c r="R791">
        <v>0</v>
      </c>
      <c r="S791">
        <v>0.6</v>
      </c>
      <c r="T791">
        <v>0.6</v>
      </c>
      <c r="U791">
        <v>5</v>
      </c>
      <c r="V791">
        <v>0</v>
      </c>
      <c r="W791">
        <v>0</v>
      </c>
      <c r="X791">
        <v>0</v>
      </c>
      <c r="Y791">
        <v>0.42499999999999999</v>
      </c>
      <c r="Z791">
        <v>1</v>
      </c>
    </row>
    <row r="792" spans="1:26" x14ac:dyDescent="0.2">
      <c r="A792" t="s">
        <v>69</v>
      </c>
      <c r="B792">
        <v>2016</v>
      </c>
      <c r="C792" t="str">
        <f t="shared" si="12"/>
        <v>HAT2016</v>
      </c>
      <c r="D792">
        <v>5.4383519365429422E-13</v>
      </c>
      <c r="E792">
        <v>0.49229471463538171</v>
      </c>
      <c r="F792">
        <v>1.7218636005040491</v>
      </c>
      <c r="G792">
        <v>25.852046333890819</v>
      </c>
      <c r="H792">
        <v>0.84583298951970487</v>
      </c>
      <c r="I792">
        <v>0.81351530070257949</v>
      </c>
      <c r="J792">
        <v>-0.37587973506593431</v>
      </c>
      <c r="K792">
        <v>-0.48014993070459949</v>
      </c>
      <c r="L792">
        <v>0.21343759218828801</v>
      </c>
      <c r="M792">
        <v>10</v>
      </c>
      <c r="N792">
        <v>0</v>
      </c>
      <c r="O792">
        <v>0</v>
      </c>
      <c r="P792">
        <v>0.6</v>
      </c>
      <c r="Q792">
        <v>8.9999999999999998E-4</v>
      </c>
      <c r="R792">
        <v>0</v>
      </c>
      <c r="S792">
        <v>0.6</v>
      </c>
      <c r="T792">
        <v>0.6</v>
      </c>
      <c r="U792">
        <v>5</v>
      </c>
      <c r="V792">
        <v>0</v>
      </c>
      <c r="W792">
        <v>0.2</v>
      </c>
      <c r="X792">
        <v>0</v>
      </c>
      <c r="Y792">
        <v>0.435</v>
      </c>
      <c r="Z792">
        <v>1</v>
      </c>
    </row>
    <row r="793" spans="1:26" x14ac:dyDescent="0.2">
      <c r="A793" t="s">
        <v>69</v>
      </c>
      <c r="B793">
        <v>2017</v>
      </c>
      <c r="C793" t="str">
        <f t="shared" si="12"/>
        <v>HAT2017</v>
      </c>
      <c r="D793">
        <v>1.335208055123541E-12</v>
      </c>
      <c r="E793">
        <v>0.61225560923709232</v>
      </c>
      <c r="F793">
        <v>1.4867222969837799</v>
      </c>
      <c r="G793">
        <v>25.69264035090897</v>
      </c>
      <c r="H793">
        <v>0.73581494536823733</v>
      </c>
      <c r="I793">
        <v>0.68610232351912814</v>
      </c>
      <c r="J793">
        <v>0.3661631822526053</v>
      </c>
      <c r="K793">
        <v>0.34368864343335342</v>
      </c>
      <c r="L793">
        <v>0.16314182162316501</v>
      </c>
      <c r="M793">
        <v>11</v>
      </c>
      <c r="N793">
        <v>0</v>
      </c>
      <c r="O793">
        <v>0</v>
      </c>
      <c r="P793">
        <v>0.6</v>
      </c>
      <c r="Q793">
        <v>2.9999999999999997E-4</v>
      </c>
      <c r="R793">
        <v>0</v>
      </c>
      <c r="S793">
        <v>0.6</v>
      </c>
      <c r="T793">
        <v>0.6</v>
      </c>
      <c r="U793">
        <v>5</v>
      </c>
      <c r="V793">
        <v>0</v>
      </c>
      <c r="W793">
        <v>0.2</v>
      </c>
      <c r="X793">
        <v>0</v>
      </c>
      <c r="Y793">
        <v>0.42630000000000001</v>
      </c>
      <c r="Z793">
        <v>1</v>
      </c>
    </row>
    <row r="794" spans="1:26" x14ac:dyDescent="0.2">
      <c r="A794" t="s">
        <v>69</v>
      </c>
      <c r="B794">
        <v>2018</v>
      </c>
      <c r="C794" t="str">
        <f t="shared" si="12"/>
        <v>HAT2018</v>
      </c>
      <c r="D794">
        <v>1.03383956141545E-12</v>
      </c>
      <c r="E794">
        <v>0.45374832992705377</v>
      </c>
      <c r="F794">
        <v>1.319642975888434</v>
      </c>
      <c r="G794">
        <v>25.852578033700141</v>
      </c>
      <c r="H794">
        <v>0.99324756581670282</v>
      </c>
      <c r="I794">
        <v>0.61516896348186501</v>
      </c>
      <c r="J794">
        <v>0.17343774334837761</v>
      </c>
      <c r="K794">
        <v>0.1551537740212629</v>
      </c>
      <c r="L794">
        <v>0.12904748941051361</v>
      </c>
      <c r="M794">
        <v>12</v>
      </c>
      <c r="N794">
        <v>0</v>
      </c>
      <c r="O794">
        <v>0</v>
      </c>
      <c r="P794">
        <v>0.6</v>
      </c>
      <c r="Q794">
        <v>0</v>
      </c>
      <c r="R794">
        <v>0</v>
      </c>
      <c r="S794">
        <v>0.6</v>
      </c>
      <c r="T794">
        <v>0.6</v>
      </c>
      <c r="U794">
        <v>4</v>
      </c>
      <c r="V794">
        <v>0</v>
      </c>
      <c r="W794">
        <v>0</v>
      </c>
      <c r="X794">
        <v>0</v>
      </c>
      <c r="Y794">
        <v>0.43430000000000002</v>
      </c>
      <c r="Z794">
        <v>1</v>
      </c>
    </row>
    <row r="795" spans="1:26" x14ac:dyDescent="0.2">
      <c r="A795" t="s">
        <v>69</v>
      </c>
      <c r="B795">
        <v>2019</v>
      </c>
      <c r="C795" t="str">
        <f t="shared" si="12"/>
        <v>HAT2019</v>
      </c>
      <c r="D795">
        <v>7.0254237144308157E-13</v>
      </c>
      <c r="E795">
        <v>0.24784909745422731</v>
      </c>
      <c r="F795">
        <v>1.297732780758915</v>
      </c>
      <c r="G795">
        <v>25.74960266520339</v>
      </c>
      <c r="H795">
        <v>1.198009251508829</v>
      </c>
      <c r="I795">
        <v>0.56808774252962035</v>
      </c>
      <c r="J795">
        <v>-9.7850805501342841E-2</v>
      </c>
      <c r="K795">
        <v>-5.9061651530093892E-2</v>
      </c>
      <c r="L795">
        <v>0.1462424568574</v>
      </c>
      <c r="M795">
        <v>13</v>
      </c>
      <c r="N795">
        <v>0</v>
      </c>
      <c r="O795">
        <v>1</v>
      </c>
      <c r="P795">
        <v>0.6</v>
      </c>
      <c r="Q795">
        <v>2.9999999999999997E-4</v>
      </c>
      <c r="R795">
        <v>0</v>
      </c>
      <c r="S795">
        <v>0.6</v>
      </c>
      <c r="T795">
        <v>0.6</v>
      </c>
      <c r="U795">
        <v>3</v>
      </c>
      <c r="V795">
        <v>0</v>
      </c>
      <c r="W795">
        <v>0</v>
      </c>
      <c r="X795">
        <v>1</v>
      </c>
      <c r="Y795">
        <v>0.44569999999999999</v>
      </c>
      <c r="Z795">
        <v>1</v>
      </c>
    </row>
    <row r="796" spans="1:26" x14ac:dyDescent="0.2">
      <c r="A796" t="s">
        <v>69</v>
      </c>
      <c r="B796">
        <v>2020</v>
      </c>
      <c r="C796" t="str">
        <f t="shared" si="12"/>
        <v>HAT2020</v>
      </c>
      <c r="D796">
        <v>3.4238932488779291E-13</v>
      </c>
      <c r="E796">
        <v>0.1393306745882241</v>
      </c>
      <c r="F796">
        <v>1.1207972348801969</v>
      </c>
      <c r="G796">
        <v>25.802029813108149</v>
      </c>
      <c r="H796">
        <v>1.124362344501431</v>
      </c>
      <c r="I796">
        <v>0.60540402992299047</v>
      </c>
      <c r="J796">
        <v>5.3825785865403653E-2</v>
      </c>
      <c r="K796">
        <v>-7.341540343541471E-3</v>
      </c>
      <c r="L796">
        <v>0.12966456423198611</v>
      </c>
      <c r="M796">
        <v>14</v>
      </c>
      <c r="N796">
        <v>0</v>
      </c>
      <c r="O796">
        <v>1</v>
      </c>
      <c r="P796">
        <v>0.6</v>
      </c>
      <c r="Q796">
        <v>2.9999999999999997E-4</v>
      </c>
      <c r="R796">
        <v>0</v>
      </c>
      <c r="S796">
        <v>0.6</v>
      </c>
      <c r="T796">
        <v>0.6</v>
      </c>
      <c r="U796">
        <v>3</v>
      </c>
      <c r="V796">
        <v>0</v>
      </c>
      <c r="W796">
        <v>0</v>
      </c>
      <c r="X796">
        <v>1</v>
      </c>
      <c r="Y796">
        <v>0.44629999999999997</v>
      </c>
      <c r="Z796">
        <v>1</v>
      </c>
    </row>
    <row r="797" spans="1:26" x14ac:dyDescent="0.2">
      <c r="A797" t="s">
        <v>69</v>
      </c>
      <c r="B797">
        <v>2021</v>
      </c>
      <c r="C797" t="str">
        <f t="shared" si="12"/>
        <v>HAT2021</v>
      </c>
      <c r="D797">
        <v>6.5297674412472508E-14</v>
      </c>
      <c r="E797">
        <v>2.0689419706912938E-2</v>
      </c>
      <c r="F797">
        <v>1.1470122728486409</v>
      </c>
      <c r="G797">
        <v>25.573169383880771</v>
      </c>
      <c r="H797">
        <v>0.94429535294436318</v>
      </c>
      <c r="I797">
        <v>0.59687869389713544</v>
      </c>
      <c r="J797">
        <v>-0.20456045413013549</v>
      </c>
      <c r="K797">
        <v>-4.9534417081238458E-2</v>
      </c>
      <c r="L797">
        <v>0.13959588552048971</v>
      </c>
      <c r="M797">
        <v>15</v>
      </c>
      <c r="N797">
        <v>0</v>
      </c>
      <c r="O797">
        <v>0</v>
      </c>
      <c r="P797">
        <v>0.6</v>
      </c>
      <c r="Q797">
        <v>2.9999999999999997E-4</v>
      </c>
      <c r="R797">
        <v>0</v>
      </c>
      <c r="S797">
        <v>0.6</v>
      </c>
      <c r="T797">
        <v>0.6</v>
      </c>
      <c r="U797">
        <v>3</v>
      </c>
      <c r="V797">
        <v>0</v>
      </c>
      <c r="W797">
        <v>0</v>
      </c>
      <c r="X797">
        <v>1</v>
      </c>
      <c r="Y797">
        <v>0.45629999999999998</v>
      </c>
      <c r="Z797">
        <v>1</v>
      </c>
    </row>
    <row r="798" spans="1:26" x14ac:dyDescent="0.2">
      <c r="A798" t="s">
        <v>69</v>
      </c>
      <c r="B798">
        <v>2022</v>
      </c>
      <c r="C798" t="str">
        <f t="shared" si="12"/>
        <v>HAT2022</v>
      </c>
      <c r="D798">
        <v>6.0521816594304294E-13</v>
      </c>
      <c r="E798">
        <v>0.27739514550766742</v>
      </c>
      <c r="F798">
        <v>0.99561457116990171</v>
      </c>
      <c r="G798">
        <v>25.884525394348461</v>
      </c>
      <c r="H798">
        <v>1.0398530881370081</v>
      </c>
      <c r="I798">
        <v>0.6195306783875788</v>
      </c>
      <c r="J798">
        <v>0.36527518693440603</v>
      </c>
      <c r="K798">
        <v>0.28084625691777981</v>
      </c>
      <c r="L798">
        <v>9.2249396836105974E-2</v>
      </c>
      <c r="M798">
        <v>16</v>
      </c>
      <c r="N798">
        <v>0</v>
      </c>
      <c r="O798">
        <v>0</v>
      </c>
      <c r="P798">
        <v>0.65290000000000004</v>
      </c>
      <c r="Q798">
        <v>2.9999999999999997E-4</v>
      </c>
      <c r="R798">
        <v>0</v>
      </c>
      <c r="S798">
        <v>0.6</v>
      </c>
      <c r="T798">
        <v>0.65290000000000004</v>
      </c>
      <c r="U798">
        <v>3</v>
      </c>
      <c r="V798">
        <v>0</v>
      </c>
      <c r="W798">
        <v>0</v>
      </c>
      <c r="X798">
        <v>1</v>
      </c>
      <c r="Y798">
        <v>0.4511</v>
      </c>
      <c r="Z798">
        <v>1</v>
      </c>
    </row>
    <row r="799" spans="1:26" x14ac:dyDescent="0.2">
      <c r="A799" t="s">
        <v>69</v>
      </c>
      <c r="B799">
        <v>2023</v>
      </c>
      <c r="C799" t="str">
        <f t="shared" si="12"/>
        <v>HAT2023</v>
      </c>
      <c r="D799">
        <v>195573934820.11649</v>
      </c>
      <c r="E799">
        <v>0.27739514550766742</v>
      </c>
      <c r="F799">
        <v>0.99561457116990171</v>
      </c>
      <c r="G799">
        <v>26.004052236907171</v>
      </c>
      <c r="H799">
        <v>1.2854166486659899</v>
      </c>
      <c r="I799">
        <v>0.6195306783875788</v>
      </c>
      <c r="J799">
        <v>0.12696349424497</v>
      </c>
      <c r="K799">
        <v>0.22384545701005529</v>
      </c>
      <c r="L799">
        <v>7.3378814570054324E-2</v>
      </c>
      <c r="M799">
        <v>17</v>
      </c>
      <c r="N799">
        <v>0</v>
      </c>
      <c r="O799">
        <v>0</v>
      </c>
      <c r="P799">
        <v>0.65290000000000004</v>
      </c>
      <c r="Q799">
        <v>2.9999999999999997E-4</v>
      </c>
      <c r="R799">
        <v>0</v>
      </c>
      <c r="S799">
        <v>0.6</v>
      </c>
      <c r="T799">
        <v>0.65290000000000004</v>
      </c>
      <c r="U799">
        <v>3</v>
      </c>
      <c r="V799">
        <v>0</v>
      </c>
      <c r="W799">
        <v>0</v>
      </c>
      <c r="X799">
        <v>1</v>
      </c>
      <c r="Y799">
        <v>0.4511</v>
      </c>
      <c r="Z799">
        <v>1</v>
      </c>
    </row>
    <row r="800" spans="1:26" x14ac:dyDescent="0.2">
      <c r="A800" t="s">
        <v>70</v>
      </c>
      <c r="B800">
        <v>2012</v>
      </c>
      <c r="C800" t="str">
        <f t="shared" si="12"/>
        <v>HCC2012</v>
      </c>
      <c r="D800">
        <v>1.536895060328249E-12</v>
      </c>
      <c r="E800">
        <v>0.2495596821320972</v>
      </c>
      <c r="F800">
        <v>0.93911826595749692</v>
      </c>
      <c r="G800">
        <v>25.178351181345139</v>
      </c>
      <c r="H800">
        <v>1.6784849885434241</v>
      </c>
      <c r="I800">
        <v>0.469984253527921</v>
      </c>
      <c r="J800">
        <v>-9.8414994646617959E-2</v>
      </c>
      <c r="K800">
        <v>0.28234779366494589</v>
      </c>
      <c r="L800">
        <v>0.3432350781327117</v>
      </c>
      <c r="M800">
        <v>11</v>
      </c>
      <c r="N800">
        <v>0</v>
      </c>
      <c r="O800">
        <v>0</v>
      </c>
      <c r="P800">
        <v>0.51469999999999994</v>
      </c>
      <c r="Q800">
        <v>1.18E-2</v>
      </c>
      <c r="R800">
        <v>0</v>
      </c>
      <c r="S800">
        <v>0.51469999999999994</v>
      </c>
      <c r="T800">
        <v>0.51469999999999994</v>
      </c>
      <c r="U800">
        <v>3</v>
      </c>
      <c r="V800">
        <v>0</v>
      </c>
      <c r="W800">
        <v>0</v>
      </c>
      <c r="X800">
        <v>0</v>
      </c>
      <c r="Y800">
        <v>0.42570000000000002</v>
      </c>
      <c r="Z800">
        <v>1</v>
      </c>
    </row>
    <row r="801" spans="1:26" x14ac:dyDescent="0.2">
      <c r="A801" t="s">
        <v>70</v>
      </c>
      <c r="B801">
        <v>2013</v>
      </c>
      <c r="C801" t="str">
        <f t="shared" si="12"/>
        <v>HCC2013</v>
      </c>
      <c r="D801">
        <v>2.960060791145684E-13</v>
      </c>
      <c r="E801">
        <v>3.3787523792816902E-2</v>
      </c>
      <c r="F801">
        <v>0.83458404088770111</v>
      </c>
      <c r="G801">
        <v>24.979562310646951</v>
      </c>
      <c r="H801">
        <v>1.3508539335765759</v>
      </c>
      <c r="I801">
        <v>0.38194042680302198</v>
      </c>
      <c r="J801">
        <v>-0.18027705740305289</v>
      </c>
      <c r="K801">
        <v>0.16015316351905809</v>
      </c>
      <c r="L801">
        <v>0.42117520636069872</v>
      </c>
      <c r="M801">
        <v>12</v>
      </c>
      <c r="N801">
        <v>0</v>
      </c>
      <c r="O801">
        <v>0</v>
      </c>
      <c r="P801">
        <v>0.51469999999999994</v>
      </c>
      <c r="Q801">
        <v>1.18E-2</v>
      </c>
      <c r="R801">
        <v>0</v>
      </c>
      <c r="S801">
        <v>0.51469999999999994</v>
      </c>
      <c r="T801">
        <v>0.51469999999999994</v>
      </c>
      <c r="U801">
        <v>3</v>
      </c>
      <c r="V801">
        <v>0</v>
      </c>
      <c r="W801">
        <v>0</v>
      </c>
      <c r="X801">
        <v>0</v>
      </c>
      <c r="Y801">
        <v>0.43569999999999998</v>
      </c>
      <c r="Z801">
        <v>1</v>
      </c>
    </row>
    <row r="802" spans="1:26" x14ac:dyDescent="0.2">
      <c r="A802" t="s">
        <v>70</v>
      </c>
      <c r="B802">
        <v>2014</v>
      </c>
      <c r="C802" t="str">
        <f t="shared" si="12"/>
        <v>HCC2014</v>
      </c>
      <c r="D802">
        <v>8.9473667284322912E-13</v>
      </c>
      <c r="E802">
        <v>0.18571001607368909</v>
      </c>
      <c r="F802">
        <v>0.90451827933203055</v>
      </c>
      <c r="G802">
        <v>25.364068581372479</v>
      </c>
      <c r="H802">
        <v>1.3207805878635679</v>
      </c>
      <c r="I802">
        <v>0.50073061720643819</v>
      </c>
      <c r="J802">
        <v>0.46888890892190038</v>
      </c>
      <c r="K802">
        <v>-1.7537488093820969E-2</v>
      </c>
      <c r="L802">
        <v>0.32694477909029213</v>
      </c>
      <c r="M802">
        <v>13</v>
      </c>
      <c r="N802">
        <v>0</v>
      </c>
      <c r="O802">
        <v>0</v>
      </c>
      <c r="P802">
        <v>0.51469999999999994</v>
      </c>
      <c r="Q802">
        <v>1.18E-2</v>
      </c>
      <c r="R802">
        <v>0</v>
      </c>
      <c r="S802">
        <v>0.51469999999999994</v>
      </c>
      <c r="T802">
        <v>0.51469999999999994</v>
      </c>
      <c r="U802">
        <v>3</v>
      </c>
      <c r="V802">
        <v>0</v>
      </c>
      <c r="W802">
        <v>0</v>
      </c>
      <c r="X802">
        <v>0</v>
      </c>
      <c r="Y802">
        <v>0.44569999999999999</v>
      </c>
      <c r="Z802">
        <v>1</v>
      </c>
    </row>
    <row r="803" spans="1:26" x14ac:dyDescent="0.2">
      <c r="A803" t="s">
        <v>70</v>
      </c>
      <c r="B803">
        <v>2015</v>
      </c>
      <c r="C803" t="str">
        <f t="shared" si="12"/>
        <v>HCC2015</v>
      </c>
      <c r="D803">
        <v>9.724262027622438E-13</v>
      </c>
      <c r="E803">
        <v>0.27292604516164232</v>
      </c>
      <c r="F803">
        <v>1.368450063689721</v>
      </c>
      <c r="G803">
        <v>25.57857955636662</v>
      </c>
      <c r="H803">
        <v>1.3501672266493341</v>
      </c>
      <c r="I803">
        <v>0.54244044718007567</v>
      </c>
      <c r="J803">
        <v>0.23925572172413759</v>
      </c>
      <c r="K803">
        <v>0.1198032535396663</v>
      </c>
      <c r="L803">
        <v>0.33168858311599347</v>
      </c>
      <c r="M803">
        <v>14</v>
      </c>
      <c r="N803">
        <v>0</v>
      </c>
      <c r="O803">
        <v>0</v>
      </c>
      <c r="P803">
        <v>0.51479999999999992</v>
      </c>
      <c r="Q803">
        <v>1.18E-2</v>
      </c>
      <c r="R803">
        <v>0</v>
      </c>
      <c r="S803">
        <v>0.51479999999999992</v>
      </c>
      <c r="T803">
        <v>0.51479999999999992</v>
      </c>
      <c r="U803">
        <v>3</v>
      </c>
      <c r="V803">
        <v>0</v>
      </c>
      <c r="W803">
        <v>0</v>
      </c>
      <c r="X803">
        <v>0</v>
      </c>
      <c r="Y803">
        <v>0.44750000000000001</v>
      </c>
      <c r="Z803">
        <v>1</v>
      </c>
    </row>
    <row r="804" spans="1:26" x14ac:dyDescent="0.2">
      <c r="A804" t="s">
        <v>70</v>
      </c>
      <c r="B804">
        <v>2016</v>
      </c>
      <c r="C804" t="str">
        <f t="shared" si="12"/>
        <v>HCC2016</v>
      </c>
      <c r="D804">
        <v>9.79600666371845E-13</v>
      </c>
      <c r="E804">
        <v>0.30993340131063052</v>
      </c>
      <c r="F804">
        <v>1.401651346791178</v>
      </c>
      <c r="G804">
        <v>25.748410769955029</v>
      </c>
      <c r="H804">
        <v>1.289993511013076</v>
      </c>
      <c r="I804">
        <v>0.51896862415842926</v>
      </c>
      <c r="J804">
        <v>0.18510480485091699</v>
      </c>
      <c r="K804">
        <v>0.18127027521614139</v>
      </c>
      <c r="L804">
        <v>0.2979760304792064</v>
      </c>
      <c r="M804">
        <v>15</v>
      </c>
      <c r="N804">
        <v>0</v>
      </c>
      <c r="O804">
        <v>0</v>
      </c>
      <c r="P804">
        <v>0.51479999999999992</v>
      </c>
      <c r="Q804">
        <v>1.18E-2</v>
      </c>
      <c r="R804">
        <v>0</v>
      </c>
      <c r="S804">
        <v>0.51479999999999992</v>
      </c>
      <c r="T804">
        <v>0.51479999999999992</v>
      </c>
      <c r="U804">
        <v>3</v>
      </c>
      <c r="V804">
        <v>0</v>
      </c>
      <c r="W804">
        <v>0</v>
      </c>
      <c r="X804">
        <v>0</v>
      </c>
      <c r="Y804">
        <v>0.45750000000000002</v>
      </c>
      <c r="Z804">
        <v>1</v>
      </c>
    </row>
    <row r="805" spans="1:26" x14ac:dyDescent="0.2">
      <c r="A805" t="s">
        <v>70</v>
      </c>
      <c r="B805">
        <v>2017</v>
      </c>
      <c r="C805" t="str">
        <f t="shared" si="12"/>
        <v>HCC2017</v>
      </c>
      <c r="D805">
        <v>7.8185792336330045E-13</v>
      </c>
      <c r="E805">
        <v>0.22668915951700641</v>
      </c>
      <c r="F805">
        <v>1.134581554947788</v>
      </c>
      <c r="G805">
        <v>25.822601733844451</v>
      </c>
      <c r="H805">
        <v>1.402561474607722</v>
      </c>
      <c r="I805">
        <v>0.43465893747120948</v>
      </c>
      <c r="J805">
        <v>7.7012456347265834E-2</v>
      </c>
      <c r="K805">
        <v>0.1297287074778801</v>
      </c>
      <c r="L805">
        <v>0.3365545435736097</v>
      </c>
      <c r="M805">
        <v>16</v>
      </c>
      <c r="N805">
        <v>0</v>
      </c>
      <c r="O805">
        <v>0</v>
      </c>
      <c r="P805">
        <v>0.51479999999999992</v>
      </c>
      <c r="Q805">
        <v>1.6400000000000001E-2</v>
      </c>
      <c r="R805">
        <v>0</v>
      </c>
      <c r="S805">
        <v>0.51479999999999992</v>
      </c>
      <c r="T805">
        <v>0.51479999999999992</v>
      </c>
      <c r="U805">
        <v>3</v>
      </c>
      <c r="V805">
        <v>0</v>
      </c>
      <c r="W805">
        <v>0</v>
      </c>
      <c r="X805">
        <v>0</v>
      </c>
      <c r="Y805">
        <v>0.46750000000000003</v>
      </c>
      <c r="Z805">
        <v>1</v>
      </c>
    </row>
    <row r="806" spans="1:26" x14ac:dyDescent="0.2">
      <c r="A806" t="s">
        <v>70</v>
      </c>
      <c r="B806">
        <v>2018</v>
      </c>
      <c r="C806" t="str">
        <f t="shared" si="12"/>
        <v>HCC2018</v>
      </c>
      <c r="D806">
        <v>4.3840238982040378E-13</v>
      </c>
      <c r="E806">
        <v>0.21899617308729599</v>
      </c>
      <c r="F806">
        <v>1.0129226059297769</v>
      </c>
      <c r="G806">
        <v>26.08964866177535</v>
      </c>
      <c r="H806">
        <v>1.4969438024947159</v>
      </c>
      <c r="I806">
        <v>0.5714249980240852</v>
      </c>
      <c r="J806">
        <v>0.30610173754459868</v>
      </c>
      <c r="K806">
        <v>-4.8706869121181828E-2</v>
      </c>
      <c r="L806">
        <v>0.34642845518760129</v>
      </c>
      <c r="M806">
        <v>17</v>
      </c>
      <c r="N806">
        <v>0</v>
      </c>
      <c r="O806">
        <v>0</v>
      </c>
      <c r="P806">
        <v>0.51479999999999992</v>
      </c>
      <c r="Q806">
        <v>1.21E-2</v>
      </c>
      <c r="R806">
        <v>0</v>
      </c>
      <c r="S806">
        <v>0.51479999999999992</v>
      </c>
      <c r="T806">
        <v>0.51479999999999992</v>
      </c>
      <c r="U806">
        <v>3</v>
      </c>
      <c r="V806">
        <v>0</v>
      </c>
      <c r="W806">
        <v>0</v>
      </c>
      <c r="X806">
        <v>0</v>
      </c>
      <c r="Y806">
        <v>0.49430000000000002</v>
      </c>
      <c r="Z806">
        <v>1</v>
      </c>
    </row>
    <row r="807" spans="1:26" x14ac:dyDescent="0.2">
      <c r="A807" t="s">
        <v>70</v>
      </c>
      <c r="B807">
        <v>2019</v>
      </c>
      <c r="C807" t="str">
        <f t="shared" si="12"/>
        <v>HCC2019</v>
      </c>
      <c r="D807">
        <v>4.0954507842749612E-13</v>
      </c>
      <c r="E807">
        <v>0.1501528600777001</v>
      </c>
      <c r="F807">
        <v>0.92952770985544508</v>
      </c>
      <c r="G807">
        <v>25.89547949252032</v>
      </c>
      <c r="H807">
        <v>1.1518548995691951</v>
      </c>
      <c r="I807">
        <v>0.51912527362664018</v>
      </c>
      <c r="J807">
        <v>-0.176481421540332</v>
      </c>
      <c r="K807">
        <v>0.3422393591210604</v>
      </c>
      <c r="L807">
        <v>0.40699920901734937</v>
      </c>
      <c r="M807">
        <v>18</v>
      </c>
      <c r="N807">
        <v>0</v>
      </c>
      <c r="O807">
        <v>1</v>
      </c>
      <c r="P807">
        <v>0.57369999999999999</v>
      </c>
      <c r="Q807">
        <v>1.21E-2</v>
      </c>
      <c r="R807">
        <v>5.8899999999999987E-2</v>
      </c>
      <c r="S807">
        <v>0.51479999999999992</v>
      </c>
      <c r="T807">
        <v>0.57369999999999999</v>
      </c>
      <c r="U807">
        <v>3</v>
      </c>
      <c r="V807">
        <v>0</v>
      </c>
      <c r="W807">
        <v>0</v>
      </c>
      <c r="X807">
        <v>0</v>
      </c>
      <c r="Y807">
        <v>0.50429999999999997</v>
      </c>
      <c r="Z807">
        <v>1</v>
      </c>
    </row>
    <row r="808" spans="1:26" x14ac:dyDescent="0.2">
      <c r="A808" t="s">
        <v>70</v>
      </c>
      <c r="B808">
        <v>2020</v>
      </c>
      <c r="C808" t="str">
        <f t="shared" si="12"/>
        <v>HCC2020</v>
      </c>
      <c r="D808">
        <v>5.5222028447758727E-15</v>
      </c>
      <c r="E808">
        <v>1.313413454263784E-3</v>
      </c>
      <c r="F808">
        <v>0.96866061229752087</v>
      </c>
      <c r="G808">
        <v>25.59664454264033</v>
      </c>
      <c r="H808">
        <v>1.084155744730799</v>
      </c>
      <c r="I808">
        <v>0.45021564809523251</v>
      </c>
      <c r="J808">
        <v>-0.25831818599430101</v>
      </c>
      <c r="K808">
        <v>0.19959391909963931</v>
      </c>
      <c r="L808">
        <v>0.45601830085316669</v>
      </c>
      <c r="M808">
        <v>19</v>
      </c>
      <c r="N808">
        <v>0</v>
      </c>
      <c r="O808">
        <v>1</v>
      </c>
      <c r="P808">
        <v>0.51479999999999992</v>
      </c>
      <c r="Q808">
        <v>1.2200000000000001E-2</v>
      </c>
      <c r="R808">
        <v>0</v>
      </c>
      <c r="S808">
        <v>0.51479999999999992</v>
      </c>
      <c r="T808">
        <v>0.51479999999999992</v>
      </c>
      <c r="U808">
        <v>3</v>
      </c>
      <c r="V808">
        <v>0</v>
      </c>
      <c r="W808">
        <v>0</v>
      </c>
      <c r="X808">
        <v>0</v>
      </c>
      <c r="Y808">
        <v>0.52880000000000005</v>
      </c>
      <c r="Z808">
        <v>1</v>
      </c>
    </row>
    <row r="809" spans="1:26" x14ac:dyDescent="0.2">
      <c r="A809" t="s">
        <v>70</v>
      </c>
      <c r="B809">
        <v>2021</v>
      </c>
      <c r="C809" t="str">
        <f t="shared" si="12"/>
        <v>HCC2021</v>
      </c>
      <c r="D809">
        <v>1.122902116367147E-13</v>
      </c>
      <c r="E809">
        <v>3.0922396309955288E-2</v>
      </c>
      <c r="F809">
        <v>1.0373708254523719</v>
      </c>
      <c r="G809">
        <v>25.685620551566899</v>
      </c>
      <c r="H809">
        <v>1.0363194542619281</v>
      </c>
      <c r="I809">
        <v>0.48097051698744658</v>
      </c>
      <c r="J809">
        <v>9.3054432462602588E-2</v>
      </c>
      <c r="K809">
        <v>-6.6017389323844558E-2</v>
      </c>
      <c r="L809">
        <v>0.34411667068068003</v>
      </c>
      <c r="M809">
        <v>20</v>
      </c>
      <c r="N809">
        <v>0</v>
      </c>
      <c r="O809">
        <v>0</v>
      </c>
      <c r="P809">
        <v>0.51479999999999992</v>
      </c>
      <c r="Q809">
        <v>1.2200000000000001E-2</v>
      </c>
      <c r="R809">
        <v>0</v>
      </c>
      <c r="S809">
        <v>0.51479999999999992</v>
      </c>
      <c r="T809">
        <v>0.51479999999999992</v>
      </c>
      <c r="U809">
        <v>3</v>
      </c>
      <c r="V809">
        <v>0</v>
      </c>
      <c r="W809">
        <v>0</v>
      </c>
      <c r="X809">
        <v>0</v>
      </c>
      <c r="Y809">
        <v>0.50380000000000003</v>
      </c>
      <c r="Z809">
        <v>1</v>
      </c>
    </row>
    <row r="810" spans="1:26" x14ac:dyDescent="0.2">
      <c r="A810" t="s">
        <v>70</v>
      </c>
      <c r="B810">
        <v>2022</v>
      </c>
      <c r="C810" t="str">
        <f t="shared" si="12"/>
        <v>HCC2022</v>
      </c>
      <c r="D810">
        <v>4.4808265835554479E-13</v>
      </c>
      <c r="E810">
        <v>0.12562864883729871</v>
      </c>
      <c r="F810">
        <v>0.85421191712977462</v>
      </c>
      <c r="G810">
        <v>25.745213441702891</v>
      </c>
      <c r="H810">
        <v>1.219837332807999</v>
      </c>
      <c r="I810">
        <v>0.45890492566546559</v>
      </c>
      <c r="J810">
        <v>6.1404350394924867E-2</v>
      </c>
      <c r="K810">
        <v>0.12473816208204259</v>
      </c>
      <c r="L810">
        <v>0.27571752574199132</v>
      </c>
      <c r="M810">
        <v>21</v>
      </c>
      <c r="N810">
        <v>0</v>
      </c>
      <c r="O810">
        <v>0</v>
      </c>
      <c r="P810">
        <v>0.51479999999999992</v>
      </c>
      <c r="Q810">
        <v>1.2200000000000001E-2</v>
      </c>
      <c r="R810">
        <v>0</v>
      </c>
      <c r="S810">
        <v>0.51479999999999992</v>
      </c>
      <c r="T810">
        <v>0.51479999999999992</v>
      </c>
      <c r="U810">
        <v>3</v>
      </c>
      <c r="V810">
        <v>0</v>
      </c>
      <c r="W810">
        <v>0</v>
      </c>
      <c r="X810">
        <v>0</v>
      </c>
      <c r="Y810">
        <v>0.51500000000000001</v>
      </c>
      <c r="Z810">
        <v>1</v>
      </c>
    </row>
    <row r="811" spans="1:26" x14ac:dyDescent="0.2">
      <c r="A811" t="s">
        <v>70</v>
      </c>
      <c r="B811">
        <v>2023</v>
      </c>
      <c r="C811" t="str">
        <f t="shared" si="12"/>
        <v>HCC2023</v>
      </c>
      <c r="D811">
        <v>-365527733.31291169</v>
      </c>
      <c r="E811">
        <v>7.2430770509566825E-2</v>
      </c>
      <c r="F811">
        <v>0.56588570371836078</v>
      </c>
      <c r="G811">
        <v>25.600427246570231</v>
      </c>
      <c r="H811">
        <v>1.4367137521489051</v>
      </c>
      <c r="I811">
        <v>3.9465706030151933E-2</v>
      </c>
      <c r="J811">
        <v>-0.13479274114004741</v>
      </c>
      <c r="K811">
        <v>0.1884660549614145</v>
      </c>
      <c r="L811">
        <v>0.2573436982939093</v>
      </c>
      <c r="M811">
        <v>22</v>
      </c>
      <c r="N811">
        <v>0</v>
      </c>
      <c r="O811">
        <v>0</v>
      </c>
      <c r="P811">
        <v>0.51479999999999992</v>
      </c>
      <c r="Q811">
        <v>1.2200000000000001E-2</v>
      </c>
      <c r="R811">
        <v>0</v>
      </c>
      <c r="S811">
        <v>0.51479999999999992</v>
      </c>
      <c r="T811">
        <v>0.51479999999999992</v>
      </c>
      <c r="U811">
        <v>3</v>
      </c>
      <c r="V811">
        <v>0</v>
      </c>
      <c r="W811">
        <v>0</v>
      </c>
      <c r="X811">
        <v>0</v>
      </c>
      <c r="Y811">
        <v>0.51500000000000001</v>
      </c>
      <c r="Z811">
        <v>1</v>
      </c>
    </row>
    <row r="812" spans="1:26" x14ac:dyDescent="0.2">
      <c r="A812" t="s">
        <v>71</v>
      </c>
      <c r="B812">
        <v>2012</v>
      </c>
      <c r="C812" t="str">
        <f t="shared" si="12"/>
        <v>HDA2012</v>
      </c>
      <c r="D812">
        <v>6.7577171304778121E-13</v>
      </c>
      <c r="E812">
        <v>0.13389066307232941</v>
      </c>
      <c r="F812">
        <v>0.85529592341846261</v>
      </c>
      <c r="G812">
        <v>25.04210962267711</v>
      </c>
      <c r="H812">
        <v>1.473309484721516</v>
      </c>
      <c r="I812">
        <v>0.62094717228343299</v>
      </c>
      <c r="J812">
        <v>7.1283047344337769E-2</v>
      </c>
      <c r="K812">
        <v>5.8682860754615179E-2</v>
      </c>
      <c r="L812">
        <v>0.10536064003444939</v>
      </c>
      <c r="M812">
        <v>6</v>
      </c>
      <c r="N812">
        <v>0</v>
      </c>
      <c r="O812">
        <v>0</v>
      </c>
      <c r="P812">
        <v>0.35560000000000003</v>
      </c>
      <c r="Q812">
        <v>0.33239999999999997</v>
      </c>
      <c r="R812">
        <v>0</v>
      </c>
      <c r="S812">
        <v>0</v>
      </c>
      <c r="T812">
        <v>0</v>
      </c>
      <c r="U812">
        <v>6</v>
      </c>
      <c r="V812">
        <v>0</v>
      </c>
      <c r="W812">
        <v>0.5</v>
      </c>
      <c r="X812">
        <v>0</v>
      </c>
      <c r="Y812">
        <v>0.40920000000000001</v>
      </c>
      <c r="Z812">
        <v>1</v>
      </c>
    </row>
    <row r="813" spans="1:26" x14ac:dyDescent="0.2">
      <c r="A813" t="s">
        <v>71</v>
      </c>
      <c r="B813">
        <v>2013</v>
      </c>
      <c r="C813" t="str">
        <f t="shared" si="12"/>
        <v>HDA2013</v>
      </c>
      <c r="D813">
        <v>1.0194670285606981E-12</v>
      </c>
      <c r="E813">
        <v>0.20225388655398949</v>
      </c>
      <c r="F813">
        <v>0.73638915432324659</v>
      </c>
      <c r="G813">
        <v>25.204662825399321</v>
      </c>
      <c r="H813">
        <v>1.4243472642978321</v>
      </c>
      <c r="I813">
        <v>0.55462863385000527</v>
      </c>
      <c r="J813">
        <v>0.17651091036678879</v>
      </c>
      <c r="K813">
        <v>0.16038802577385</v>
      </c>
      <c r="L813">
        <v>9.5731948120495777E-2</v>
      </c>
      <c r="M813">
        <v>7</v>
      </c>
      <c r="N813">
        <v>0</v>
      </c>
      <c r="O813">
        <v>0</v>
      </c>
      <c r="P813">
        <v>0.3</v>
      </c>
      <c r="Q813">
        <v>0.31909999999999999</v>
      </c>
      <c r="R813">
        <v>0</v>
      </c>
      <c r="S813">
        <v>0</v>
      </c>
      <c r="T813">
        <v>0</v>
      </c>
      <c r="U813">
        <v>6</v>
      </c>
      <c r="V813">
        <v>0</v>
      </c>
      <c r="W813">
        <v>0.5</v>
      </c>
      <c r="X813">
        <v>0</v>
      </c>
      <c r="Y813">
        <v>0.41170000000000001</v>
      </c>
      <c r="Z813">
        <v>1</v>
      </c>
    </row>
    <row r="814" spans="1:26" x14ac:dyDescent="0.2">
      <c r="A814" t="s">
        <v>71</v>
      </c>
      <c r="B814">
        <v>2014</v>
      </c>
      <c r="C814" t="str">
        <f t="shared" si="12"/>
        <v>HDA2014</v>
      </c>
      <c r="D814">
        <v>2.9861730434597342E-13</v>
      </c>
      <c r="E814">
        <v>0.16532985447610429</v>
      </c>
      <c r="F814">
        <v>0.88958155381147463</v>
      </c>
      <c r="G814">
        <v>25.75598693363483</v>
      </c>
      <c r="H814">
        <v>1.561831464703465</v>
      </c>
      <c r="I814">
        <v>0.72302109851890439</v>
      </c>
      <c r="J814">
        <v>0.73554955255728449</v>
      </c>
      <c r="K814">
        <v>0.3736637142168317</v>
      </c>
      <c r="L814">
        <v>6.9715078806136477E-2</v>
      </c>
      <c r="M814">
        <v>8</v>
      </c>
      <c r="N814">
        <v>0</v>
      </c>
      <c r="O814">
        <v>0</v>
      </c>
      <c r="P814">
        <v>0.3</v>
      </c>
      <c r="Q814">
        <v>0.31909999999999999</v>
      </c>
      <c r="R814">
        <v>0</v>
      </c>
      <c r="S814">
        <v>0</v>
      </c>
      <c r="T814">
        <v>0</v>
      </c>
      <c r="U814">
        <v>5</v>
      </c>
      <c r="V814">
        <v>0</v>
      </c>
      <c r="W814">
        <v>0.4</v>
      </c>
      <c r="X814">
        <v>0</v>
      </c>
      <c r="Y814">
        <v>0.42399999999999999</v>
      </c>
      <c r="Z814">
        <v>1</v>
      </c>
    </row>
    <row r="815" spans="1:26" x14ac:dyDescent="0.2">
      <c r="A815" t="s">
        <v>71</v>
      </c>
      <c r="B815">
        <v>2015</v>
      </c>
      <c r="C815" t="str">
        <f t="shared" si="12"/>
        <v>HDA2015</v>
      </c>
      <c r="D815">
        <v>3.1098796652549738E-13</v>
      </c>
      <c r="E815">
        <v>9.2185135373845178E-2</v>
      </c>
      <c r="F815">
        <v>0.78597539468865463</v>
      </c>
      <c r="G815">
        <v>26.02602833171704</v>
      </c>
      <c r="H815">
        <v>0.76770833501445068</v>
      </c>
      <c r="I815">
        <v>0.32229111855318698</v>
      </c>
      <c r="J815">
        <v>0.31001868187179138</v>
      </c>
      <c r="K815">
        <v>5.5073231651049791E-2</v>
      </c>
      <c r="L815">
        <v>0.1202253401941738</v>
      </c>
      <c r="M815">
        <v>9</v>
      </c>
      <c r="N815">
        <v>0</v>
      </c>
      <c r="O815">
        <v>0</v>
      </c>
      <c r="P815">
        <v>0.2029</v>
      </c>
      <c r="Q815">
        <v>0.13339999999999999</v>
      </c>
      <c r="R815">
        <v>0</v>
      </c>
      <c r="S815">
        <v>0</v>
      </c>
      <c r="T815">
        <v>0</v>
      </c>
      <c r="U815">
        <v>5</v>
      </c>
      <c r="V815">
        <v>0</v>
      </c>
      <c r="W815">
        <v>0.4</v>
      </c>
      <c r="X815">
        <v>0</v>
      </c>
      <c r="Y815">
        <v>0.434</v>
      </c>
      <c r="Z815">
        <v>1</v>
      </c>
    </row>
    <row r="816" spans="1:26" x14ac:dyDescent="0.2">
      <c r="A816" t="s">
        <v>71</v>
      </c>
      <c r="B816">
        <v>2016</v>
      </c>
      <c r="C816" t="str">
        <f t="shared" si="12"/>
        <v>HDA2016</v>
      </c>
      <c r="D816">
        <v>3.6108364534992361E-13</v>
      </c>
      <c r="E816">
        <v>0.1126227439721392</v>
      </c>
      <c r="F816">
        <v>0.98467789982990261</v>
      </c>
      <c r="G816">
        <v>26.08195957137843</v>
      </c>
      <c r="H816">
        <v>1.9074792830990519</v>
      </c>
      <c r="I816">
        <v>0.31886557099277468</v>
      </c>
      <c r="J816">
        <v>5.7524965461856807E-2</v>
      </c>
      <c r="K816">
        <v>0.1033110339989543</v>
      </c>
      <c r="L816">
        <v>0.19093486819928951</v>
      </c>
      <c r="M816">
        <v>10</v>
      </c>
      <c r="N816">
        <v>0</v>
      </c>
      <c r="O816">
        <v>0</v>
      </c>
      <c r="P816">
        <v>0.22289999999999999</v>
      </c>
      <c r="Q816">
        <v>0.13339999999999999</v>
      </c>
      <c r="R816">
        <v>0</v>
      </c>
      <c r="S816">
        <v>0</v>
      </c>
      <c r="T816">
        <v>0</v>
      </c>
      <c r="U816">
        <v>5</v>
      </c>
      <c r="V816">
        <v>0</v>
      </c>
      <c r="W816">
        <v>0.4</v>
      </c>
      <c r="X816">
        <v>0</v>
      </c>
      <c r="Y816">
        <v>0.44400000000000001</v>
      </c>
      <c r="Z816">
        <v>1</v>
      </c>
    </row>
    <row r="817" spans="1:26" x14ac:dyDescent="0.2">
      <c r="A817" t="s">
        <v>71</v>
      </c>
      <c r="B817">
        <v>2017</v>
      </c>
      <c r="C817" t="str">
        <f t="shared" si="12"/>
        <v>HDA2017</v>
      </c>
      <c r="D817">
        <v>3.2072944982561632E-13</v>
      </c>
      <c r="E817">
        <v>0.12816362937323769</v>
      </c>
      <c r="F817">
        <v>0.72382868919323817</v>
      </c>
      <c r="G817">
        <v>26.225594313017911</v>
      </c>
      <c r="H817">
        <v>2.0960807576300118</v>
      </c>
      <c r="I817">
        <v>0.38623101809178201</v>
      </c>
      <c r="J817">
        <v>0.15446235447813941</v>
      </c>
      <c r="K817">
        <v>2.7360274157847191E-2</v>
      </c>
      <c r="L817">
        <v>0.20586184504227961</v>
      </c>
      <c r="M817">
        <v>11</v>
      </c>
      <c r="N817">
        <v>0</v>
      </c>
      <c r="O817">
        <v>0</v>
      </c>
      <c r="P817">
        <v>8.3499999999999991E-2</v>
      </c>
      <c r="Q817">
        <v>0.13339999999999999</v>
      </c>
      <c r="R817">
        <v>0</v>
      </c>
      <c r="S817">
        <v>0</v>
      </c>
      <c r="T817">
        <v>0</v>
      </c>
      <c r="U817">
        <v>5</v>
      </c>
      <c r="V817">
        <v>0</v>
      </c>
      <c r="W817">
        <v>0.4</v>
      </c>
      <c r="X817">
        <v>0</v>
      </c>
      <c r="Y817">
        <v>0.4536</v>
      </c>
      <c r="Z817">
        <v>1</v>
      </c>
    </row>
    <row r="818" spans="1:26" x14ac:dyDescent="0.2">
      <c r="A818" t="s">
        <v>71</v>
      </c>
      <c r="B818">
        <v>2018</v>
      </c>
      <c r="C818" t="str">
        <f t="shared" si="12"/>
        <v>HDA2018</v>
      </c>
      <c r="D818">
        <v>2.0671540045328629E-13</v>
      </c>
      <c r="E818">
        <v>0.1066520054407127</v>
      </c>
      <c r="F818">
        <v>0.75530549217275333</v>
      </c>
      <c r="G818">
        <v>26.423469976417561</v>
      </c>
      <c r="H818">
        <v>1.950041174873254</v>
      </c>
      <c r="I818">
        <v>0.4206099796920108</v>
      </c>
      <c r="J818">
        <v>0.2188108416035725</v>
      </c>
      <c r="K818">
        <v>0.15785293095202041</v>
      </c>
      <c r="L818">
        <v>0.24281194106397619</v>
      </c>
      <c r="M818">
        <v>12</v>
      </c>
      <c r="N818">
        <v>0</v>
      </c>
      <c r="O818">
        <v>0</v>
      </c>
      <c r="P818">
        <v>0.13350000000000001</v>
      </c>
      <c r="Q818">
        <v>0.18310000000000001</v>
      </c>
      <c r="R818">
        <v>0</v>
      </c>
      <c r="S818">
        <v>0</v>
      </c>
      <c r="T818">
        <v>0</v>
      </c>
      <c r="U818">
        <v>5</v>
      </c>
      <c r="V818">
        <v>0</v>
      </c>
      <c r="W818">
        <v>0.4</v>
      </c>
      <c r="X818">
        <v>0</v>
      </c>
      <c r="Y818">
        <v>0.46800000000000003</v>
      </c>
      <c r="Z818">
        <v>1</v>
      </c>
    </row>
    <row r="819" spans="1:26" x14ac:dyDescent="0.2">
      <c r="A819" t="s">
        <v>71</v>
      </c>
      <c r="B819">
        <v>2019</v>
      </c>
      <c r="C819" t="str">
        <f t="shared" si="12"/>
        <v>HDA2019</v>
      </c>
      <c r="D819">
        <v>1.453142390172457E-13</v>
      </c>
      <c r="E819">
        <v>9.3133743849400985E-2</v>
      </c>
      <c r="F819">
        <v>0.78145209661285975</v>
      </c>
      <c r="G819">
        <v>26.58980806142668</v>
      </c>
      <c r="H819">
        <v>1.812685671400736</v>
      </c>
      <c r="I819">
        <v>0.44918212361185172</v>
      </c>
      <c r="J819">
        <v>0.1809723032693642</v>
      </c>
      <c r="K819">
        <v>-1.329382883695354E-2</v>
      </c>
      <c r="L819">
        <v>0.29814004277369399</v>
      </c>
      <c r="M819">
        <v>13</v>
      </c>
      <c r="N819">
        <v>0</v>
      </c>
      <c r="O819">
        <v>1</v>
      </c>
      <c r="P819">
        <v>0.13350000000000001</v>
      </c>
      <c r="Q819">
        <v>0.18310000000000001</v>
      </c>
      <c r="R819">
        <v>0</v>
      </c>
      <c r="S819">
        <v>0</v>
      </c>
      <c r="T819">
        <v>0</v>
      </c>
      <c r="U819">
        <v>5</v>
      </c>
      <c r="V819">
        <v>0</v>
      </c>
      <c r="W819">
        <v>0.4</v>
      </c>
      <c r="X819">
        <v>0</v>
      </c>
      <c r="Y819">
        <v>0.47799999999999998</v>
      </c>
      <c r="Z819">
        <v>1</v>
      </c>
    </row>
    <row r="820" spans="1:26" x14ac:dyDescent="0.2">
      <c r="A820" t="s">
        <v>71</v>
      </c>
      <c r="B820">
        <v>2020</v>
      </c>
      <c r="C820" t="str">
        <f t="shared" si="12"/>
        <v>HDA2020</v>
      </c>
      <c r="D820">
        <v>7.5682183161664664E-14</v>
      </c>
      <c r="E820">
        <v>5.2100779824260278E-2</v>
      </c>
      <c r="F820">
        <v>0.73227014209122965</v>
      </c>
      <c r="G820">
        <v>26.648973933213451</v>
      </c>
      <c r="H820">
        <v>1.476840353041466</v>
      </c>
      <c r="I820">
        <v>0.45593378870728868</v>
      </c>
      <c r="J820">
        <v>6.0951208018306779E-2</v>
      </c>
      <c r="K820">
        <v>0.1054602211796215</v>
      </c>
      <c r="L820">
        <v>0.40046441484619683</v>
      </c>
      <c r="M820">
        <v>14</v>
      </c>
      <c r="N820">
        <v>0</v>
      </c>
      <c r="O820">
        <v>1</v>
      </c>
      <c r="P820">
        <v>0.26100000000000001</v>
      </c>
      <c r="Q820">
        <v>0.20499999999999999</v>
      </c>
      <c r="R820">
        <v>0</v>
      </c>
      <c r="S820">
        <v>0</v>
      </c>
      <c r="T820">
        <v>0</v>
      </c>
      <c r="U820">
        <v>5</v>
      </c>
      <c r="V820">
        <v>0</v>
      </c>
      <c r="W820">
        <v>0.4</v>
      </c>
      <c r="X820">
        <v>0</v>
      </c>
      <c r="Y820">
        <v>0.48799999999999999</v>
      </c>
      <c r="Z820">
        <v>1</v>
      </c>
    </row>
    <row r="821" spans="1:26" x14ac:dyDescent="0.2">
      <c r="A821" t="s">
        <v>71</v>
      </c>
      <c r="B821">
        <v>2021</v>
      </c>
      <c r="C821" t="str">
        <f t="shared" si="12"/>
        <v>HDA2021</v>
      </c>
      <c r="D821">
        <v>1.8717569532990811E-13</v>
      </c>
      <c r="E821">
        <v>0.12723175354406599</v>
      </c>
      <c r="F821">
        <v>1.2783983799327261</v>
      </c>
      <c r="G821">
        <v>26.689438235789609</v>
      </c>
      <c r="H821">
        <v>1.23826028360039</v>
      </c>
      <c r="I821">
        <v>0.4262407591593031</v>
      </c>
      <c r="J821">
        <v>4.1294137520871972E-2</v>
      </c>
      <c r="K821">
        <v>0.14554898353932491</v>
      </c>
      <c r="L821">
        <v>0.38813542251589273</v>
      </c>
      <c r="M821">
        <v>15</v>
      </c>
      <c r="N821">
        <v>0</v>
      </c>
      <c r="O821">
        <v>0</v>
      </c>
      <c r="P821">
        <v>0.26100000000000001</v>
      </c>
      <c r="Q821">
        <v>0.20499999999999999</v>
      </c>
      <c r="R821">
        <v>0</v>
      </c>
      <c r="S821">
        <v>0</v>
      </c>
      <c r="T821">
        <v>0</v>
      </c>
      <c r="U821">
        <v>5</v>
      </c>
      <c r="V821">
        <v>0</v>
      </c>
      <c r="W821">
        <v>0.4</v>
      </c>
      <c r="X821">
        <v>0</v>
      </c>
      <c r="Y821">
        <v>0.498</v>
      </c>
      <c r="Z821">
        <v>1</v>
      </c>
    </row>
    <row r="822" spans="1:26" x14ac:dyDescent="0.2">
      <c r="A822" t="s">
        <v>71</v>
      </c>
      <c r="B822">
        <v>2022</v>
      </c>
      <c r="C822" t="str">
        <f t="shared" si="12"/>
        <v>HDA2022</v>
      </c>
      <c r="D822">
        <v>1.23157352092954E-14</v>
      </c>
      <c r="E822">
        <v>8.9534770311478929E-3</v>
      </c>
      <c r="F822">
        <v>0.59078140425855441</v>
      </c>
      <c r="G822">
        <v>26.910552281330819</v>
      </c>
      <c r="H822">
        <v>1.42272726297981</v>
      </c>
      <c r="I822">
        <v>0.33077373109038899</v>
      </c>
      <c r="J822">
        <v>0.24746569035166299</v>
      </c>
      <c r="K822">
        <v>-0.1278568860070419</v>
      </c>
      <c r="L822">
        <v>0.28848422533963508</v>
      </c>
      <c r="M822">
        <v>16</v>
      </c>
      <c r="N822">
        <v>0</v>
      </c>
      <c r="O822">
        <v>0</v>
      </c>
      <c r="P822">
        <v>0.22500000000000001</v>
      </c>
      <c r="Q822">
        <v>0.16669999999999999</v>
      </c>
      <c r="R822">
        <v>0</v>
      </c>
      <c r="S822">
        <v>0</v>
      </c>
      <c r="T822">
        <v>0</v>
      </c>
      <c r="U822">
        <v>3</v>
      </c>
      <c r="V822">
        <v>0</v>
      </c>
      <c r="W822">
        <v>0</v>
      </c>
      <c r="X822">
        <v>0</v>
      </c>
      <c r="Y822">
        <v>0.4929</v>
      </c>
      <c r="Z822">
        <v>1</v>
      </c>
    </row>
    <row r="823" spans="1:26" x14ac:dyDescent="0.2">
      <c r="A823" t="s">
        <v>71</v>
      </c>
      <c r="B823">
        <v>2023</v>
      </c>
      <c r="C823" t="str">
        <f t="shared" si="12"/>
        <v>HDA2023</v>
      </c>
      <c r="D823">
        <v>312124736410.55341</v>
      </c>
      <c r="E823">
        <v>-4.194432152889898E-2</v>
      </c>
      <c r="F823">
        <v>0.46291937415315509</v>
      </c>
      <c r="G823">
        <v>26.857698912095081</v>
      </c>
      <c r="H823">
        <v>1.8351989951015151</v>
      </c>
      <c r="I823">
        <v>0.16986095086728109</v>
      </c>
      <c r="J823">
        <v>-5.1480915635806368E-2</v>
      </c>
      <c r="K823">
        <v>2.5607799042641401E-2</v>
      </c>
      <c r="L823">
        <v>0.26599225978246288</v>
      </c>
      <c r="M823">
        <v>17</v>
      </c>
      <c r="N823">
        <v>0</v>
      </c>
      <c r="O823">
        <v>0</v>
      </c>
      <c r="P823">
        <v>0.22500000000000001</v>
      </c>
      <c r="Q823">
        <v>0.16669999999999999</v>
      </c>
      <c r="R823">
        <v>0</v>
      </c>
      <c r="S823">
        <v>0</v>
      </c>
      <c r="T823">
        <v>0</v>
      </c>
      <c r="U823">
        <v>3</v>
      </c>
      <c r="V823">
        <v>0</v>
      </c>
      <c r="W823">
        <v>0</v>
      </c>
      <c r="X823">
        <v>0</v>
      </c>
      <c r="Y823">
        <v>0.4929</v>
      </c>
      <c r="Z823">
        <v>1</v>
      </c>
    </row>
    <row r="824" spans="1:26" x14ac:dyDescent="0.2">
      <c r="A824" t="s">
        <v>72</v>
      </c>
      <c r="B824">
        <v>2012</v>
      </c>
      <c r="C824" t="str">
        <f t="shared" si="12"/>
        <v>HHC2012</v>
      </c>
      <c r="D824">
        <v>2.4265682910933769E-13</v>
      </c>
      <c r="E824">
        <v>0.118405202390447</v>
      </c>
      <c r="F824">
        <v>0.80290146251060246</v>
      </c>
      <c r="G824">
        <v>26.428134749814831</v>
      </c>
      <c r="H824">
        <v>1.6389589743520561</v>
      </c>
      <c r="I824">
        <v>0.38451875647780548</v>
      </c>
      <c r="J824">
        <v>4.5259135707300217E-2</v>
      </c>
      <c r="K824">
        <v>0.1760934233377513</v>
      </c>
      <c r="L824">
        <v>0.14397540609924361</v>
      </c>
      <c r="M824">
        <v>8</v>
      </c>
      <c r="N824">
        <v>0</v>
      </c>
      <c r="O824">
        <v>0</v>
      </c>
      <c r="P824">
        <v>0.57609999999999995</v>
      </c>
      <c r="Q824">
        <v>4.9500000000000002E-2</v>
      </c>
      <c r="R824">
        <v>0</v>
      </c>
      <c r="S824">
        <v>0.51</v>
      </c>
      <c r="T824">
        <v>0.57609999999999995</v>
      </c>
      <c r="U824">
        <v>5</v>
      </c>
      <c r="V824">
        <v>0</v>
      </c>
      <c r="W824">
        <v>0.4</v>
      </c>
      <c r="X824">
        <v>1</v>
      </c>
      <c r="Y824">
        <v>0.45219999999999999</v>
      </c>
      <c r="Z824">
        <v>1</v>
      </c>
    </row>
    <row r="825" spans="1:26" x14ac:dyDescent="0.2">
      <c r="A825" t="s">
        <v>72</v>
      </c>
      <c r="B825">
        <v>2013</v>
      </c>
      <c r="C825" t="str">
        <f t="shared" si="12"/>
        <v>HHC2013</v>
      </c>
      <c r="D825">
        <v>2.391440229990366E-13</v>
      </c>
      <c r="E825">
        <v>0.1217887057213589</v>
      </c>
      <c r="F825">
        <v>0.91516383639148957</v>
      </c>
      <c r="G825">
        <v>26.47650383165626</v>
      </c>
      <c r="H825">
        <v>1.69706479466517</v>
      </c>
      <c r="I825">
        <v>0.38105504135758311</v>
      </c>
      <c r="J825">
        <v>4.5879568312072738E-2</v>
      </c>
      <c r="K825">
        <v>0.14321264743275669</v>
      </c>
      <c r="L825">
        <v>0.15337413466658589</v>
      </c>
      <c r="M825">
        <v>9</v>
      </c>
      <c r="N825">
        <v>0</v>
      </c>
      <c r="O825">
        <v>0</v>
      </c>
      <c r="P825">
        <v>0.57609999999999995</v>
      </c>
      <c r="Q825">
        <v>4.9500000000000002E-2</v>
      </c>
      <c r="R825">
        <v>0</v>
      </c>
      <c r="S825">
        <v>0.51</v>
      </c>
      <c r="T825">
        <v>0.57609999999999995</v>
      </c>
      <c r="U825">
        <v>5</v>
      </c>
      <c r="V825">
        <v>0</v>
      </c>
      <c r="W825">
        <v>0.4</v>
      </c>
      <c r="X825">
        <v>1</v>
      </c>
      <c r="Y825">
        <v>0.4622</v>
      </c>
      <c r="Z825">
        <v>1</v>
      </c>
    </row>
    <row r="826" spans="1:26" x14ac:dyDescent="0.2">
      <c r="A826" t="s">
        <v>72</v>
      </c>
      <c r="B826">
        <v>2014</v>
      </c>
      <c r="C826" t="str">
        <f t="shared" si="12"/>
        <v>HHC2014</v>
      </c>
      <c r="D826">
        <v>2.3332373791865769E-13</v>
      </c>
      <c r="E826">
        <v>0.12663040441926421</v>
      </c>
      <c r="F826">
        <v>1.22179777075087</v>
      </c>
      <c r="G826">
        <v>26.54365135325093</v>
      </c>
      <c r="H826">
        <v>1.7338144519779759</v>
      </c>
      <c r="I826">
        <v>0.37887037475036123</v>
      </c>
      <c r="J826">
        <v>6.9453233984626106E-2</v>
      </c>
      <c r="K826">
        <v>0.1006347417393498</v>
      </c>
      <c r="L826">
        <v>0.15469237527882829</v>
      </c>
      <c r="M826">
        <v>10</v>
      </c>
      <c r="N826">
        <v>0</v>
      </c>
      <c r="O826">
        <v>0</v>
      </c>
      <c r="P826">
        <v>0.57609999999999995</v>
      </c>
      <c r="Q826">
        <v>4.9500000000000002E-2</v>
      </c>
      <c r="R826">
        <v>0</v>
      </c>
      <c r="S826">
        <v>0.51</v>
      </c>
      <c r="T826">
        <v>0.57609999999999995</v>
      </c>
      <c r="U826">
        <v>5</v>
      </c>
      <c r="V826">
        <v>0</v>
      </c>
      <c r="W826">
        <v>0.4</v>
      </c>
      <c r="X826">
        <v>1</v>
      </c>
      <c r="Y826">
        <v>0.47220000000000001</v>
      </c>
      <c r="Z826">
        <v>1</v>
      </c>
    </row>
    <row r="827" spans="1:26" x14ac:dyDescent="0.2">
      <c r="A827" t="s">
        <v>72</v>
      </c>
      <c r="B827">
        <v>2015</v>
      </c>
      <c r="C827" t="str">
        <f t="shared" si="12"/>
        <v>HHC2015</v>
      </c>
      <c r="D827">
        <v>1.7909102772108379E-13</v>
      </c>
      <c r="E827">
        <v>0.1191792639563326</v>
      </c>
      <c r="F827">
        <v>1.093546085127074</v>
      </c>
      <c r="G827">
        <v>26.674676454200071</v>
      </c>
      <c r="H827">
        <v>1.787448373930661</v>
      </c>
      <c r="I827">
        <v>0.42251870677429398</v>
      </c>
      <c r="J827">
        <v>0.1399963959444108</v>
      </c>
      <c r="K827">
        <v>0.14803755811673161</v>
      </c>
      <c r="L827">
        <v>0.1537733948111602</v>
      </c>
      <c r="M827">
        <v>11</v>
      </c>
      <c r="N827">
        <v>0</v>
      </c>
      <c r="O827">
        <v>0</v>
      </c>
      <c r="P827">
        <v>0.57609999999999995</v>
      </c>
      <c r="Q827">
        <v>4.9500000000000002E-2</v>
      </c>
      <c r="R827">
        <v>0</v>
      </c>
      <c r="S827">
        <v>0.51</v>
      </c>
      <c r="T827">
        <v>0.57609999999999995</v>
      </c>
      <c r="U827">
        <v>5</v>
      </c>
      <c r="V827">
        <v>0</v>
      </c>
      <c r="W827">
        <v>0.2</v>
      </c>
      <c r="X827">
        <v>1</v>
      </c>
      <c r="Y827">
        <v>0.48499999999999999</v>
      </c>
      <c r="Z827">
        <v>1</v>
      </c>
    </row>
    <row r="828" spans="1:26" x14ac:dyDescent="0.2">
      <c r="A828" t="s">
        <v>72</v>
      </c>
      <c r="B828">
        <v>2016</v>
      </c>
      <c r="C828" t="str">
        <f t="shared" si="12"/>
        <v>HHC2016</v>
      </c>
      <c r="D828">
        <v>1.319578499906465E-13</v>
      </c>
      <c r="E828">
        <v>0.10135106985662259</v>
      </c>
      <c r="F828">
        <v>1.412232049657945</v>
      </c>
      <c r="G828">
        <v>26.940434388580801</v>
      </c>
      <c r="H828">
        <v>1.670683547749839</v>
      </c>
      <c r="I828">
        <v>0.34733715687119138</v>
      </c>
      <c r="J828">
        <v>0.31507445448048488</v>
      </c>
      <c r="K828">
        <v>0.1473899658992612</v>
      </c>
      <c r="L828">
        <v>0.17798673301679019</v>
      </c>
      <c r="M828">
        <v>12</v>
      </c>
      <c r="N828">
        <v>0</v>
      </c>
      <c r="O828">
        <v>0</v>
      </c>
      <c r="P828">
        <v>0.51</v>
      </c>
      <c r="Q828">
        <v>6.6400000000000001E-2</v>
      </c>
      <c r="R828">
        <v>0</v>
      </c>
      <c r="S828">
        <v>0.51</v>
      </c>
      <c r="T828">
        <v>0.51</v>
      </c>
      <c r="U828">
        <v>4</v>
      </c>
      <c r="V828">
        <v>0</v>
      </c>
      <c r="W828">
        <v>0.25</v>
      </c>
      <c r="X828">
        <v>1</v>
      </c>
      <c r="Y828">
        <v>0.47</v>
      </c>
      <c r="Z828">
        <v>1</v>
      </c>
    </row>
    <row r="829" spans="1:26" x14ac:dyDescent="0.2">
      <c r="A829" t="s">
        <v>72</v>
      </c>
      <c r="B829">
        <v>2017</v>
      </c>
      <c r="C829" t="str">
        <f t="shared" si="12"/>
        <v>HHC2017</v>
      </c>
      <c r="D829">
        <v>1.2933146607027561E-13</v>
      </c>
      <c r="E829">
        <v>9.5660318878408576E-2</v>
      </c>
      <c r="F829">
        <v>1.950831116457808</v>
      </c>
      <c r="G829">
        <v>26.95860114649755</v>
      </c>
      <c r="H829">
        <v>2.0353874518593722</v>
      </c>
      <c r="I829">
        <v>0.30984904356955512</v>
      </c>
      <c r="J829">
        <v>1.0081892140794141E-2</v>
      </c>
      <c r="K829">
        <v>3.7074913472870452E-2</v>
      </c>
      <c r="L829">
        <v>0.43213897485467623</v>
      </c>
      <c r="M829">
        <v>13</v>
      </c>
      <c r="N829">
        <v>0</v>
      </c>
      <c r="O829">
        <v>0</v>
      </c>
      <c r="P829">
        <v>0.48</v>
      </c>
      <c r="Q829">
        <v>6.6799999999999998E-2</v>
      </c>
      <c r="R829">
        <v>0</v>
      </c>
      <c r="S829">
        <v>0</v>
      </c>
      <c r="T829">
        <v>0</v>
      </c>
      <c r="U829">
        <v>7</v>
      </c>
      <c r="V829">
        <v>0</v>
      </c>
      <c r="W829">
        <v>0.5714285714285714</v>
      </c>
      <c r="X829">
        <v>1</v>
      </c>
      <c r="Y829">
        <v>0.41199999999999998</v>
      </c>
      <c r="Z829">
        <v>1</v>
      </c>
    </row>
    <row r="830" spans="1:26" x14ac:dyDescent="0.2">
      <c r="A830" t="s">
        <v>72</v>
      </c>
      <c r="B830">
        <v>2018</v>
      </c>
      <c r="C830" t="str">
        <f t="shared" si="12"/>
        <v>HHC2018</v>
      </c>
      <c r="D830">
        <v>4.1090975132012212E-14</v>
      </c>
      <c r="E830">
        <v>0.1071450700609385</v>
      </c>
      <c r="F830">
        <v>2.540262480952026</v>
      </c>
      <c r="G830">
        <v>27.642854602043169</v>
      </c>
      <c r="H830">
        <v>1.4716286312743581</v>
      </c>
      <c r="I830">
        <v>0.61192696045371908</v>
      </c>
      <c r="J830">
        <v>0.98229141434347123</v>
      </c>
      <c r="K830">
        <v>-0.1175161473615572</v>
      </c>
      <c r="L830">
        <v>0.2005997027684939</v>
      </c>
      <c r="M830">
        <v>14</v>
      </c>
      <c r="N830">
        <v>0</v>
      </c>
      <c r="O830">
        <v>0</v>
      </c>
      <c r="P830">
        <v>0.48</v>
      </c>
      <c r="Q830">
        <v>5.8400000000000001E-2</v>
      </c>
      <c r="R830">
        <v>0</v>
      </c>
      <c r="S830">
        <v>0</v>
      </c>
      <c r="T830">
        <v>0</v>
      </c>
      <c r="U830">
        <v>7</v>
      </c>
      <c r="V830">
        <v>0</v>
      </c>
      <c r="W830">
        <v>0.5714285714285714</v>
      </c>
      <c r="X830">
        <v>1</v>
      </c>
      <c r="Y830">
        <v>0.4017</v>
      </c>
      <c r="Z830">
        <v>1</v>
      </c>
    </row>
    <row r="831" spans="1:26" x14ac:dyDescent="0.2">
      <c r="A831" t="s">
        <v>72</v>
      </c>
      <c r="B831">
        <v>2019</v>
      </c>
      <c r="C831" t="str">
        <f t="shared" si="12"/>
        <v>HHC2019</v>
      </c>
      <c r="D831">
        <v>3.0900162453852753E-14</v>
      </c>
      <c r="E831">
        <v>9.4684336861255089E-2</v>
      </c>
      <c r="F831">
        <v>2.4675490118890662</v>
      </c>
      <c r="G831">
        <v>27.77060535358472</v>
      </c>
      <c r="H831">
        <v>2.5525530919149442</v>
      </c>
      <c r="I831">
        <v>0.62476504783834086</v>
      </c>
      <c r="J831">
        <v>0.13626975391431961</v>
      </c>
      <c r="K831">
        <v>7.9064930705580669E-2</v>
      </c>
      <c r="L831">
        <v>0.21541343723456791</v>
      </c>
      <c r="M831">
        <v>15</v>
      </c>
      <c r="N831">
        <v>0</v>
      </c>
      <c r="O831">
        <v>1</v>
      </c>
      <c r="P831">
        <v>0.48</v>
      </c>
      <c r="Q831">
        <v>5.8400000000000001E-2</v>
      </c>
      <c r="R831">
        <v>0</v>
      </c>
      <c r="S831">
        <v>0</v>
      </c>
      <c r="T831">
        <v>0</v>
      </c>
      <c r="U831">
        <v>4</v>
      </c>
      <c r="V831">
        <v>0</v>
      </c>
      <c r="W831">
        <v>0.5</v>
      </c>
      <c r="X831">
        <v>1</v>
      </c>
      <c r="Y831">
        <v>0.41170000000000001</v>
      </c>
      <c r="Z831">
        <v>1</v>
      </c>
    </row>
    <row r="832" spans="1:26" x14ac:dyDescent="0.2">
      <c r="A832" t="s">
        <v>72</v>
      </c>
      <c r="B832">
        <v>2020</v>
      </c>
      <c r="C832" t="str">
        <f t="shared" si="12"/>
        <v>HHC2020</v>
      </c>
      <c r="D832">
        <v>2.7661590324526771E-14</v>
      </c>
      <c r="E832">
        <v>8.3382389490972833E-2</v>
      </c>
      <c r="F832">
        <v>2.029350815379714</v>
      </c>
      <c r="G832">
        <v>27.80361719238477</v>
      </c>
      <c r="H832">
        <v>1.776806143305538</v>
      </c>
      <c r="I832">
        <v>0.60576032142551639</v>
      </c>
      <c r="J832">
        <v>3.3562775311908537E-2</v>
      </c>
      <c r="K832">
        <v>-7.2795354980521823E-2</v>
      </c>
      <c r="L832">
        <v>0.19731679601490751</v>
      </c>
      <c r="M832">
        <v>16</v>
      </c>
      <c r="N832">
        <v>0</v>
      </c>
      <c r="O832">
        <v>1</v>
      </c>
      <c r="P832">
        <v>0.48</v>
      </c>
      <c r="Q832">
        <v>5.8400000000000001E-2</v>
      </c>
      <c r="R832">
        <v>0</v>
      </c>
      <c r="S832">
        <v>0</v>
      </c>
      <c r="T832">
        <v>0</v>
      </c>
      <c r="U832">
        <v>4</v>
      </c>
      <c r="V832">
        <v>0</v>
      </c>
      <c r="W832">
        <v>0.5</v>
      </c>
      <c r="X832">
        <v>1</v>
      </c>
      <c r="Y832">
        <v>0.46329999999999999</v>
      </c>
      <c r="Z832">
        <v>1</v>
      </c>
    </row>
    <row r="833" spans="1:26" x14ac:dyDescent="0.2">
      <c r="A833" t="s">
        <v>72</v>
      </c>
      <c r="B833">
        <v>2021</v>
      </c>
      <c r="C833" t="str">
        <f t="shared" si="12"/>
        <v>HHC2021</v>
      </c>
      <c r="D833">
        <v>3.370086209762528E-14</v>
      </c>
      <c r="E833">
        <v>0.1040728749849395</v>
      </c>
      <c r="F833">
        <v>1.770313400715007</v>
      </c>
      <c r="G833">
        <v>27.850592573319449</v>
      </c>
      <c r="H833">
        <v>1.651449171834761</v>
      </c>
      <c r="I833">
        <v>0.59666850979361885</v>
      </c>
      <c r="J833">
        <v>4.8096205613076481E-2</v>
      </c>
      <c r="K833">
        <v>4.3878658975857403E-2</v>
      </c>
      <c r="L833">
        <v>0.16596344637997759</v>
      </c>
      <c r="M833">
        <v>17</v>
      </c>
      <c r="N833">
        <v>0</v>
      </c>
      <c r="O833">
        <v>0</v>
      </c>
      <c r="P833">
        <v>0.48</v>
      </c>
      <c r="Q833">
        <v>4.9699999999999987E-2</v>
      </c>
      <c r="R833">
        <v>0</v>
      </c>
      <c r="S833">
        <v>0</v>
      </c>
      <c r="T833">
        <v>0</v>
      </c>
      <c r="U833">
        <v>4</v>
      </c>
      <c r="V833">
        <v>0</v>
      </c>
      <c r="W833">
        <v>0.5</v>
      </c>
      <c r="X833">
        <v>1</v>
      </c>
      <c r="Y833">
        <v>0.45200000000000001</v>
      </c>
      <c r="Z833">
        <v>1</v>
      </c>
    </row>
    <row r="834" spans="1:26" x14ac:dyDescent="0.2">
      <c r="A834" t="s">
        <v>72</v>
      </c>
      <c r="B834">
        <v>2022</v>
      </c>
      <c r="C834" t="str">
        <f t="shared" si="12"/>
        <v>HHC2022</v>
      </c>
      <c r="D834">
        <v>3.4060451473013453E-14</v>
      </c>
      <c r="E834">
        <v>9.5534296872757996E-2</v>
      </c>
      <c r="F834">
        <v>1.941507110360994</v>
      </c>
      <c r="G834">
        <v>27.850079617849719</v>
      </c>
      <c r="H834">
        <v>1.270407674552674</v>
      </c>
      <c r="I834">
        <v>0.55615944006120943</v>
      </c>
      <c r="J834">
        <v>-5.1282393055884778E-4</v>
      </c>
      <c r="K834">
        <v>0.15846624860955</v>
      </c>
      <c r="L834">
        <v>0.13422745404943301</v>
      </c>
      <c r="M834">
        <v>18</v>
      </c>
      <c r="N834">
        <v>0</v>
      </c>
      <c r="O834">
        <v>0</v>
      </c>
      <c r="P834">
        <v>0.48</v>
      </c>
      <c r="Q834">
        <v>4.9699999999999987E-2</v>
      </c>
      <c r="R834">
        <v>0</v>
      </c>
      <c r="S834">
        <v>0</v>
      </c>
      <c r="T834">
        <v>0</v>
      </c>
      <c r="U834">
        <v>5</v>
      </c>
      <c r="V834">
        <v>0</v>
      </c>
      <c r="W834">
        <v>0.4</v>
      </c>
      <c r="X834">
        <v>1</v>
      </c>
      <c r="Y834">
        <v>0.42199999999999999</v>
      </c>
      <c r="Z834">
        <v>1</v>
      </c>
    </row>
    <row r="835" spans="1:26" x14ac:dyDescent="0.2">
      <c r="A835" t="s">
        <v>72</v>
      </c>
      <c r="B835">
        <v>2023</v>
      </c>
      <c r="C835" t="str">
        <f t="shared" ref="C835:C898" si="13">A835&amp;B835</f>
        <v>HHC2023</v>
      </c>
      <c r="D835">
        <v>1163950005473.447</v>
      </c>
      <c r="E835">
        <v>3.0950820150686391E-2</v>
      </c>
      <c r="F835">
        <v>1.140513214025263</v>
      </c>
      <c r="G835">
        <v>28.19128138101938</v>
      </c>
      <c r="H835">
        <v>1.4980196137391071</v>
      </c>
      <c r="I835">
        <v>8.5300636471516672E-2</v>
      </c>
      <c r="J835">
        <v>0.40663701977680078</v>
      </c>
      <c r="K835">
        <v>-2.471528017439387E-2</v>
      </c>
      <c r="L835">
        <v>8.7128023338841745E-2</v>
      </c>
      <c r="M835">
        <v>19</v>
      </c>
      <c r="N835">
        <v>0</v>
      </c>
      <c r="O835">
        <v>0</v>
      </c>
      <c r="P835">
        <v>0.48</v>
      </c>
      <c r="Q835">
        <v>4.9699999999999987E-2</v>
      </c>
      <c r="R835">
        <v>0</v>
      </c>
      <c r="S835">
        <v>0</v>
      </c>
      <c r="T835">
        <v>0</v>
      </c>
      <c r="U835">
        <v>5</v>
      </c>
      <c r="V835">
        <v>0</v>
      </c>
      <c r="W835">
        <v>0.4</v>
      </c>
      <c r="X835">
        <v>1</v>
      </c>
      <c r="Y835">
        <v>0.42199999999999999</v>
      </c>
      <c r="Z835">
        <v>1</v>
      </c>
    </row>
    <row r="836" spans="1:26" x14ac:dyDescent="0.2">
      <c r="A836" t="s">
        <v>73</v>
      </c>
      <c r="B836">
        <v>2012</v>
      </c>
      <c r="C836" t="str">
        <f t="shared" si="13"/>
        <v>HOM2012</v>
      </c>
      <c r="D836">
        <v>2.4500395959205561E-14</v>
      </c>
      <c r="E836">
        <v>0.12097569376491719</v>
      </c>
      <c r="F836">
        <v>0.74960003947996967</v>
      </c>
      <c r="G836">
        <v>28.39408240960304</v>
      </c>
      <c r="H836">
        <v>0.78311134396974302</v>
      </c>
      <c r="I836">
        <v>0.56562153023525308</v>
      </c>
      <c r="J836">
        <v>1.0998056740213039E-2</v>
      </c>
      <c r="K836">
        <v>4.4120304895944963E-2</v>
      </c>
      <c r="L836">
        <v>0.64152366894860757</v>
      </c>
      <c r="M836">
        <v>17</v>
      </c>
      <c r="N836">
        <v>1</v>
      </c>
      <c r="O836">
        <v>0</v>
      </c>
      <c r="P836">
        <v>0.7095999999999999</v>
      </c>
      <c r="Q836">
        <v>2.0000000000000001E-4</v>
      </c>
      <c r="R836">
        <v>0</v>
      </c>
      <c r="S836">
        <v>0.7095999999999999</v>
      </c>
      <c r="T836">
        <v>0.7095999999999999</v>
      </c>
      <c r="U836">
        <v>6</v>
      </c>
      <c r="V836">
        <v>0</v>
      </c>
      <c r="W836">
        <v>0</v>
      </c>
      <c r="X836">
        <v>0</v>
      </c>
      <c r="Y836">
        <v>0.503</v>
      </c>
      <c r="Z836">
        <v>1</v>
      </c>
    </row>
    <row r="837" spans="1:26" x14ac:dyDescent="0.2">
      <c r="A837" t="s">
        <v>73</v>
      </c>
      <c r="B837">
        <v>2013</v>
      </c>
      <c r="C837" t="str">
        <f t="shared" si="13"/>
        <v>HOM2013</v>
      </c>
      <c r="D837">
        <v>1.214411230889775E-17</v>
      </c>
      <c r="E837">
        <v>5.7827039830154061E-5</v>
      </c>
      <c r="F837">
        <v>0.78569856980196506</v>
      </c>
      <c r="G837">
        <v>28.327308600955011</v>
      </c>
      <c r="H837">
        <v>0.81850205954065458</v>
      </c>
      <c r="I837">
        <v>0.5786639434704175</v>
      </c>
      <c r="J837">
        <v>-6.4593241670998114E-2</v>
      </c>
      <c r="K837">
        <v>0.11283917727329131</v>
      </c>
      <c r="L837">
        <v>0.6343839021110832</v>
      </c>
      <c r="M837">
        <v>18</v>
      </c>
      <c r="N837">
        <v>1</v>
      </c>
      <c r="O837">
        <v>0</v>
      </c>
      <c r="P837">
        <v>0.7095999999999999</v>
      </c>
      <c r="Q837">
        <v>2.9999999999999997E-4</v>
      </c>
      <c r="R837">
        <v>0</v>
      </c>
      <c r="S837">
        <v>0.7095999999999999</v>
      </c>
      <c r="T837">
        <v>0.7095999999999999</v>
      </c>
      <c r="U837">
        <v>6</v>
      </c>
      <c r="V837">
        <v>0</v>
      </c>
      <c r="W837">
        <v>0</v>
      </c>
      <c r="X837">
        <v>0</v>
      </c>
      <c r="Y837">
        <v>0.47449999999999998</v>
      </c>
      <c r="Z837">
        <v>1</v>
      </c>
    </row>
    <row r="838" spans="1:26" x14ac:dyDescent="0.2">
      <c r="A838" t="s">
        <v>73</v>
      </c>
      <c r="B838">
        <v>2014</v>
      </c>
      <c r="C838" t="str">
        <f t="shared" si="13"/>
        <v>HOM2014</v>
      </c>
      <c r="D838">
        <v>1.2524810438267261E-14</v>
      </c>
      <c r="E838">
        <v>4.8548868092942968E-2</v>
      </c>
      <c r="F838">
        <v>0.86817799908983762</v>
      </c>
      <c r="G838">
        <v>28.249315753897449</v>
      </c>
      <c r="H838">
        <v>0.73441163205955129</v>
      </c>
      <c r="I838">
        <v>0.52124425092853266</v>
      </c>
      <c r="J838">
        <v>-7.5028957215496295E-2</v>
      </c>
      <c r="K838">
        <v>5.8938158430616797E-2</v>
      </c>
      <c r="L838">
        <v>0.64220365921155798</v>
      </c>
      <c r="M838">
        <v>19</v>
      </c>
      <c r="N838">
        <v>1</v>
      </c>
      <c r="O838">
        <v>0</v>
      </c>
      <c r="P838">
        <v>0.7095999999999999</v>
      </c>
      <c r="Q838">
        <v>2.9999999999999997E-4</v>
      </c>
      <c r="R838">
        <v>0</v>
      </c>
      <c r="S838">
        <v>0.7095999999999999</v>
      </c>
      <c r="T838">
        <v>0.7095999999999999</v>
      </c>
      <c r="U838">
        <v>7</v>
      </c>
      <c r="V838">
        <v>0</v>
      </c>
      <c r="W838">
        <v>0</v>
      </c>
      <c r="X838">
        <v>0</v>
      </c>
      <c r="Y838">
        <v>0.47249999999999998</v>
      </c>
      <c r="Z838">
        <v>1</v>
      </c>
    </row>
    <row r="839" spans="1:26" x14ac:dyDescent="0.2">
      <c r="A839" t="s">
        <v>73</v>
      </c>
      <c r="B839">
        <v>2015</v>
      </c>
      <c r="C839" t="str">
        <f t="shared" si="13"/>
        <v>HOM2015</v>
      </c>
      <c r="D839">
        <v>1.8444475494206369E-14</v>
      </c>
      <c r="E839">
        <v>6.9374983788203587E-2</v>
      </c>
      <c r="F839">
        <v>0.76863238579609228</v>
      </c>
      <c r="G839">
        <v>28.253067896822831</v>
      </c>
      <c r="H839">
        <v>0.73638125452792413</v>
      </c>
      <c r="I839">
        <v>0.50476092987133647</v>
      </c>
      <c r="J839">
        <v>3.45498275556344E-3</v>
      </c>
      <c r="K839">
        <v>0.1200636046651065</v>
      </c>
      <c r="L839">
        <v>0.59386501790132307</v>
      </c>
      <c r="M839">
        <v>20</v>
      </c>
      <c r="N839">
        <v>1</v>
      </c>
      <c r="O839">
        <v>0</v>
      </c>
      <c r="P839">
        <v>0.7095999999999999</v>
      </c>
      <c r="Q839">
        <v>2.9999999999999997E-4</v>
      </c>
      <c r="R839">
        <v>0</v>
      </c>
      <c r="S839">
        <v>0.7095999999999999</v>
      </c>
      <c r="T839">
        <v>0.7095999999999999</v>
      </c>
      <c r="U839">
        <v>7</v>
      </c>
      <c r="V839">
        <v>0</v>
      </c>
      <c r="W839">
        <v>0.2857142857142857</v>
      </c>
      <c r="X839">
        <v>0</v>
      </c>
      <c r="Y839">
        <v>0.46689999999999998</v>
      </c>
      <c r="Z839">
        <v>1</v>
      </c>
    </row>
    <row r="840" spans="1:26" x14ac:dyDescent="0.2">
      <c r="A840" t="s">
        <v>73</v>
      </c>
      <c r="B840">
        <v>2016</v>
      </c>
      <c r="C840" t="str">
        <f t="shared" si="13"/>
        <v>HOM2016</v>
      </c>
      <c r="D840">
        <v>1.707909737956323E-14</v>
      </c>
      <c r="E840">
        <v>5.4682521550379719E-2</v>
      </c>
      <c r="F840">
        <v>0.70069426798691503</v>
      </c>
      <c r="G840">
        <v>28.193083394105301</v>
      </c>
      <c r="H840">
        <v>0.6819500016541703</v>
      </c>
      <c r="I840">
        <v>0.4520802842954284</v>
      </c>
      <c r="J840">
        <v>-5.7935360945889913E-2</v>
      </c>
      <c r="K840">
        <v>8.6392377936136897E-2</v>
      </c>
      <c r="L840">
        <v>0.57438727328741457</v>
      </c>
      <c r="M840">
        <v>21</v>
      </c>
      <c r="N840">
        <v>1</v>
      </c>
      <c r="O840">
        <v>0</v>
      </c>
      <c r="P840">
        <v>0.7095999999999999</v>
      </c>
      <c r="Q840">
        <v>2.9999999999999997E-4</v>
      </c>
      <c r="R840">
        <v>0</v>
      </c>
      <c r="S840">
        <v>0.7095999999999999</v>
      </c>
      <c r="T840">
        <v>0.7095999999999999</v>
      </c>
      <c r="U840">
        <v>7</v>
      </c>
      <c r="V840">
        <v>0</v>
      </c>
      <c r="W840">
        <v>0.14285714285714279</v>
      </c>
      <c r="X840">
        <v>0</v>
      </c>
      <c r="Y840">
        <v>0.47</v>
      </c>
      <c r="Z840">
        <v>1</v>
      </c>
    </row>
    <row r="841" spans="1:26" x14ac:dyDescent="0.2">
      <c r="A841" t="s">
        <v>73</v>
      </c>
      <c r="B841">
        <v>2017</v>
      </c>
      <c r="C841" t="str">
        <f t="shared" si="13"/>
        <v>HOM2017</v>
      </c>
      <c r="D841">
        <v>5.9405463289135016E-16</v>
      </c>
      <c r="E841">
        <v>1.7423268818369309E-3</v>
      </c>
      <c r="F841">
        <v>0.61221407191324806</v>
      </c>
      <c r="G841">
        <v>28.128026174092149</v>
      </c>
      <c r="H841">
        <v>0.75130742328713018</v>
      </c>
      <c r="I841">
        <v>0.43954170128276898</v>
      </c>
      <c r="J841">
        <v>-6.2986154101155933E-2</v>
      </c>
      <c r="K841">
        <v>4.8789704773354883E-2</v>
      </c>
      <c r="L841">
        <v>0.57058077088662518</v>
      </c>
      <c r="M841">
        <v>22</v>
      </c>
      <c r="N841">
        <v>1</v>
      </c>
      <c r="O841">
        <v>0</v>
      </c>
      <c r="P841">
        <v>0.7095999999999999</v>
      </c>
      <c r="Q841">
        <v>1E-4</v>
      </c>
      <c r="R841">
        <v>0</v>
      </c>
      <c r="S841">
        <v>0.7095999999999999</v>
      </c>
      <c r="T841">
        <v>0.7095999999999999</v>
      </c>
      <c r="U841">
        <v>5</v>
      </c>
      <c r="V841">
        <v>0</v>
      </c>
      <c r="W841">
        <v>0.2</v>
      </c>
      <c r="X841">
        <v>0</v>
      </c>
      <c r="Y841">
        <v>0.4864</v>
      </c>
      <c r="Z841">
        <v>1</v>
      </c>
    </row>
    <row r="842" spans="1:26" x14ac:dyDescent="0.2">
      <c r="A842" t="s">
        <v>73</v>
      </c>
      <c r="B842">
        <v>2018</v>
      </c>
      <c r="C842" t="str">
        <f t="shared" si="13"/>
        <v>HOM2018</v>
      </c>
      <c r="D842">
        <v>6.7697636583640057E-15</v>
      </c>
      <c r="E842">
        <v>2.0268873210626731E-2</v>
      </c>
      <c r="F842">
        <v>0.58398586769851768</v>
      </c>
      <c r="G842">
        <v>28.148572074870401</v>
      </c>
      <c r="H842">
        <v>0.7285127905853066</v>
      </c>
      <c r="I842">
        <v>0.43958025690826158</v>
      </c>
      <c r="J842">
        <v>2.2591646310197611E-2</v>
      </c>
      <c r="K842">
        <v>0.1125768051403432</v>
      </c>
      <c r="L842">
        <v>0.5100845604579074</v>
      </c>
      <c r="M842">
        <v>23</v>
      </c>
      <c r="N842">
        <v>1</v>
      </c>
      <c r="O842">
        <v>0</v>
      </c>
      <c r="P842">
        <v>0.73799999999999999</v>
      </c>
      <c r="Q842">
        <v>1E-4</v>
      </c>
      <c r="R842">
        <v>0</v>
      </c>
      <c r="S842">
        <v>0.73799999999999999</v>
      </c>
      <c r="T842">
        <v>0.73799999999999999</v>
      </c>
      <c r="U842">
        <v>5</v>
      </c>
      <c r="V842">
        <v>0</v>
      </c>
      <c r="W842">
        <v>0</v>
      </c>
      <c r="X842">
        <v>0</v>
      </c>
      <c r="Y842">
        <v>0.439</v>
      </c>
      <c r="Z842">
        <v>1</v>
      </c>
    </row>
    <row r="843" spans="1:26" x14ac:dyDescent="0.2">
      <c r="A843" t="s">
        <v>73</v>
      </c>
      <c r="B843">
        <v>2019</v>
      </c>
      <c r="C843" t="str">
        <f t="shared" si="13"/>
        <v>HOM2019</v>
      </c>
      <c r="D843">
        <v>8.767343990737642E-15</v>
      </c>
      <c r="E843">
        <v>2.1530815665617941E-2</v>
      </c>
      <c r="F843">
        <v>0.539853532131507</v>
      </c>
      <c r="G843">
        <v>28.0563163177119</v>
      </c>
      <c r="H843">
        <v>0.8735278692099302</v>
      </c>
      <c r="I843">
        <v>0.37696718256174871</v>
      </c>
      <c r="J843">
        <v>-8.9762833538124642E-2</v>
      </c>
      <c r="K843">
        <v>1.102682469556099E-2</v>
      </c>
      <c r="L843">
        <v>0.50626642197223826</v>
      </c>
      <c r="M843">
        <v>24</v>
      </c>
      <c r="N843">
        <v>1</v>
      </c>
      <c r="O843">
        <v>1</v>
      </c>
      <c r="P843">
        <v>0.7095999999999999</v>
      </c>
      <c r="Q843">
        <v>1E-4</v>
      </c>
      <c r="R843">
        <v>0</v>
      </c>
      <c r="S843">
        <v>0.7095999999999999</v>
      </c>
      <c r="T843">
        <v>0.7095999999999999</v>
      </c>
      <c r="U843">
        <v>5</v>
      </c>
      <c r="V843">
        <v>0</v>
      </c>
      <c r="W843">
        <v>0</v>
      </c>
      <c r="X843">
        <v>0</v>
      </c>
      <c r="Y843">
        <v>0.44900000000000001</v>
      </c>
      <c r="Z843">
        <v>1</v>
      </c>
    </row>
    <row r="844" spans="1:26" x14ac:dyDescent="0.2">
      <c r="A844" t="s">
        <v>73</v>
      </c>
      <c r="B844">
        <v>2020</v>
      </c>
      <c r="C844" t="str">
        <f t="shared" si="13"/>
        <v>HOM2020</v>
      </c>
      <c r="D844">
        <v>5.2065833561648668E-16</v>
      </c>
      <c r="E844">
        <v>1.178934823347977E-3</v>
      </c>
      <c r="F844">
        <v>0.52988002092677167</v>
      </c>
      <c r="G844">
        <v>28.01293477757579</v>
      </c>
      <c r="H844">
        <v>1.009593901541795</v>
      </c>
      <c r="I844">
        <v>0.35296760436125901</v>
      </c>
      <c r="J844">
        <v>-4.2454021861025537E-2</v>
      </c>
      <c r="K844">
        <v>2.8166159841130921E-2</v>
      </c>
      <c r="L844">
        <v>0.44451101862869008</v>
      </c>
      <c r="M844">
        <v>25</v>
      </c>
      <c r="N844">
        <v>1</v>
      </c>
      <c r="O844">
        <v>1</v>
      </c>
      <c r="P844">
        <v>0.71069999999999989</v>
      </c>
      <c r="Q844">
        <v>1E-4</v>
      </c>
      <c r="R844">
        <v>0</v>
      </c>
      <c r="S844">
        <v>0.71069999999999989</v>
      </c>
      <c r="T844">
        <v>0.71069999999999989</v>
      </c>
      <c r="U844">
        <v>5</v>
      </c>
      <c r="V844">
        <v>0</v>
      </c>
      <c r="W844">
        <v>0.2</v>
      </c>
      <c r="X844">
        <v>0</v>
      </c>
      <c r="Y844">
        <v>0.4556</v>
      </c>
      <c r="Z844">
        <v>1</v>
      </c>
    </row>
    <row r="845" spans="1:26" x14ac:dyDescent="0.2">
      <c r="A845" t="s">
        <v>73</v>
      </c>
      <c r="B845">
        <v>2021</v>
      </c>
      <c r="C845" t="str">
        <f t="shared" si="13"/>
        <v>HOM2021</v>
      </c>
      <c r="D845">
        <v>9.5785048559595807E-16</v>
      </c>
      <c r="E845">
        <v>2.0416739376354792E-3</v>
      </c>
      <c r="F845">
        <v>0.78275948204757817</v>
      </c>
      <c r="G845">
        <v>27.983737175428772</v>
      </c>
      <c r="H845">
        <v>1.206254217582607</v>
      </c>
      <c r="I845">
        <v>0.3324343570558731</v>
      </c>
      <c r="J845">
        <v>-2.768017177496318E-2</v>
      </c>
      <c r="K845">
        <v>0.1525957474662416</v>
      </c>
      <c r="L845">
        <v>0.41603978720548962</v>
      </c>
      <c r="M845">
        <v>26</v>
      </c>
      <c r="N845">
        <v>1</v>
      </c>
      <c r="O845">
        <v>0</v>
      </c>
      <c r="P845">
        <v>0.71069999999999989</v>
      </c>
      <c r="Q845">
        <v>4.0000000000000002E-4</v>
      </c>
      <c r="R845">
        <v>0</v>
      </c>
      <c r="S845">
        <v>0.71069999999999989</v>
      </c>
      <c r="T845">
        <v>0.71069999999999989</v>
      </c>
      <c r="U845">
        <v>5</v>
      </c>
      <c r="V845">
        <v>0</v>
      </c>
      <c r="W845">
        <v>0.2</v>
      </c>
      <c r="X845">
        <v>0</v>
      </c>
      <c r="Y845">
        <v>0.45910000000000001</v>
      </c>
      <c r="Z845">
        <v>0.8</v>
      </c>
    </row>
    <row r="846" spans="1:26" x14ac:dyDescent="0.2">
      <c r="A846" t="s">
        <v>73</v>
      </c>
      <c r="B846">
        <v>2022</v>
      </c>
      <c r="C846" t="str">
        <f t="shared" si="13"/>
        <v>HOM2022</v>
      </c>
      <c r="D846">
        <v>9.1901747136956666E-15</v>
      </c>
      <c r="E846">
        <v>2.1882692052343011E-2</v>
      </c>
      <c r="F846">
        <v>0.57392718056549441</v>
      </c>
      <c r="G846">
        <v>28.050744231384829</v>
      </c>
      <c r="H846">
        <v>1.389990496781673</v>
      </c>
      <c r="I846">
        <v>0.36099176935939592</v>
      </c>
      <c r="J846">
        <v>6.8098474706964396E-2</v>
      </c>
      <c r="K846">
        <v>1.481831800060476E-2</v>
      </c>
      <c r="L846">
        <v>0.40629890200138791</v>
      </c>
      <c r="M846">
        <v>27</v>
      </c>
      <c r="N846">
        <v>1</v>
      </c>
      <c r="O846">
        <v>0</v>
      </c>
      <c r="P846">
        <v>0.71069999999999989</v>
      </c>
      <c r="Q846">
        <v>4.0000000000000002E-4</v>
      </c>
      <c r="R846">
        <v>0</v>
      </c>
      <c r="S846">
        <v>0.71069999999999989</v>
      </c>
      <c r="T846">
        <v>0.71069999999999989</v>
      </c>
      <c r="U846">
        <v>5</v>
      </c>
      <c r="V846">
        <v>0</v>
      </c>
      <c r="W846">
        <v>0.2</v>
      </c>
      <c r="X846">
        <v>0</v>
      </c>
      <c r="Y846">
        <v>0.47</v>
      </c>
      <c r="Z846">
        <v>0.8</v>
      </c>
    </row>
    <row r="847" spans="1:26" x14ac:dyDescent="0.2">
      <c r="A847" t="s">
        <v>73</v>
      </c>
      <c r="B847">
        <v>2023</v>
      </c>
      <c r="C847" t="str">
        <f t="shared" si="13"/>
        <v>HOM2023</v>
      </c>
      <c r="D847">
        <v>-26324490731.606819</v>
      </c>
      <c r="E847">
        <v>-2.4368229462818278E-2</v>
      </c>
      <c r="F847">
        <v>0.35926302477740002</v>
      </c>
      <c r="G847">
        <v>28.006246417854971</v>
      </c>
      <c r="H847">
        <v>1.3510973227642611</v>
      </c>
      <c r="I847">
        <v>0.1217968430478959</v>
      </c>
      <c r="J847">
        <v>-4.3522308598753057E-2</v>
      </c>
      <c r="K847">
        <v>2.7859865587049979E-2</v>
      </c>
      <c r="L847">
        <v>0.41042461974904138</v>
      </c>
      <c r="M847">
        <v>28</v>
      </c>
      <c r="N847">
        <v>0</v>
      </c>
      <c r="O847">
        <v>0</v>
      </c>
      <c r="P847">
        <v>0.71069999999999989</v>
      </c>
      <c r="Q847">
        <v>4.0000000000000002E-4</v>
      </c>
      <c r="R847">
        <v>0</v>
      </c>
      <c r="S847">
        <v>0.71069999999999989</v>
      </c>
      <c r="T847">
        <v>0.71069999999999989</v>
      </c>
      <c r="U847">
        <v>5</v>
      </c>
      <c r="V847">
        <v>0</v>
      </c>
      <c r="W847">
        <v>0.2</v>
      </c>
      <c r="X847">
        <v>0</v>
      </c>
      <c r="Y847">
        <v>0.47</v>
      </c>
      <c r="Z847">
        <v>0.8</v>
      </c>
    </row>
    <row r="848" spans="1:26" x14ac:dyDescent="0.2">
      <c r="A848" t="s">
        <v>74</v>
      </c>
      <c r="B848">
        <v>2012</v>
      </c>
      <c r="C848" t="str">
        <f t="shared" si="13"/>
        <v>HPG2012</v>
      </c>
      <c r="D848">
        <v>2.8498549179675321E-15</v>
      </c>
      <c r="E848">
        <v>0.12745679755301709</v>
      </c>
      <c r="F848">
        <v>1.011703219189702</v>
      </c>
      <c r="G848">
        <v>30.576289406991641</v>
      </c>
      <c r="H848">
        <v>1.4271475260361759</v>
      </c>
      <c r="I848">
        <v>0.54892384087046087</v>
      </c>
      <c r="J848">
        <v>8.5084588020931454E-2</v>
      </c>
      <c r="K848">
        <v>0.12281611523827431</v>
      </c>
      <c r="L848">
        <v>0.35974744460924368</v>
      </c>
      <c r="M848">
        <v>11</v>
      </c>
      <c r="N848">
        <v>1</v>
      </c>
      <c r="O848">
        <v>0</v>
      </c>
      <c r="P848">
        <v>0.38679999999999998</v>
      </c>
      <c r="Q848">
        <v>0.34489999999999998</v>
      </c>
      <c r="R848">
        <v>7.17E-2</v>
      </c>
      <c r="S848">
        <v>0</v>
      </c>
      <c r="T848">
        <v>7.17E-2</v>
      </c>
      <c r="U848">
        <v>10</v>
      </c>
      <c r="V848">
        <v>0</v>
      </c>
      <c r="W848">
        <v>0</v>
      </c>
      <c r="X848">
        <v>1</v>
      </c>
      <c r="Y848">
        <v>0.4325</v>
      </c>
      <c r="Z848">
        <v>0.9</v>
      </c>
    </row>
    <row r="849" spans="1:26" x14ac:dyDescent="0.2">
      <c r="A849" t="s">
        <v>74</v>
      </c>
      <c r="B849">
        <v>2013</v>
      </c>
      <c r="C849" t="str">
        <f t="shared" si="13"/>
        <v>HPG2013</v>
      </c>
      <c r="D849">
        <v>3.7753293123542267E-15</v>
      </c>
      <c r="E849">
        <v>0.21161748947482681</v>
      </c>
      <c r="F849">
        <v>1.330905445047657</v>
      </c>
      <c r="G849">
        <v>30.769830606893969</v>
      </c>
      <c r="H849">
        <v>1.3883150196166829</v>
      </c>
      <c r="I849">
        <v>0.58455525054217194</v>
      </c>
      <c r="J849">
        <v>0.21353938322562979</v>
      </c>
      <c r="K849">
        <v>0.14447194590865109</v>
      </c>
      <c r="L849">
        <v>0.38992544509151528</v>
      </c>
      <c r="M849">
        <v>12</v>
      </c>
      <c r="N849">
        <v>1</v>
      </c>
      <c r="O849">
        <v>0</v>
      </c>
      <c r="P849">
        <v>0.52439999999999998</v>
      </c>
      <c r="Q849">
        <v>0.34429999999999999</v>
      </c>
      <c r="R849">
        <v>0.20930000000000001</v>
      </c>
      <c r="S849">
        <v>0</v>
      </c>
      <c r="T849">
        <v>0.20930000000000001</v>
      </c>
      <c r="U849">
        <v>10</v>
      </c>
      <c r="V849">
        <v>0</v>
      </c>
      <c r="W849">
        <v>0</v>
      </c>
      <c r="X849">
        <v>1</v>
      </c>
      <c r="Y849">
        <v>0.4425</v>
      </c>
      <c r="Z849">
        <v>0.9</v>
      </c>
    </row>
    <row r="850" spans="1:26" x14ac:dyDescent="0.2">
      <c r="A850" t="s">
        <v>74</v>
      </c>
      <c r="B850">
        <v>2014</v>
      </c>
      <c r="C850" t="str">
        <f t="shared" si="13"/>
        <v>HPG2014</v>
      </c>
      <c r="D850">
        <v>6.6612513303410219E-15</v>
      </c>
      <c r="E850">
        <v>0.27553568934494838</v>
      </c>
      <c r="F850">
        <v>1.614592302472039</v>
      </c>
      <c r="G850">
        <v>30.726105589206981</v>
      </c>
      <c r="H850">
        <v>1.1130797859503601</v>
      </c>
      <c r="I850">
        <v>0.4583148538698073</v>
      </c>
      <c r="J850">
        <v>-4.2782860930799312E-2</v>
      </c>
      <c r="K850">
        <v>0.12990928532763019</v>
      </c>
      <c r="L850">
        <v>0.4064428739652276</v>
      </c>
      <c r="M850">
        <v>13</v>
      </c>
      <c r="N850">
        <v>1</v>
      </c>
      <c r="O850">
        <v>0</v>
      </c>
      <c r="P850">
        <v>0.52500000000000002</v>
      </c>
      <c r="Q850">
        <v>0.2994</v>
      </c>
      <c r="R850">
        <v>0.21440000000000001</v>
      </c>
      <c r="S850">
        <v>0</v>
      </c>
      <c r="T850">
        <v>0.21440000000000001</v>
      </c>
      <c r="U850">
        <v>10</v>
      </c>
      <c r="V850">
        <v>0</v>
      </c>
      <c r="W850">
        <v>0</v>
      </c>
      <c r="X850">
        <v>1</v>
      </c>
      <c r="Y850">
        <v>0.45250000000000001</v>
      </c>
      <c r="Z850">
        <v>0.9</v>
      </c>
    </row>
    <row r="851" spans="1:26" x14ac:dyDescent="0.2">
      <c r="A851" t="s">
        <v>74</v>
      </c>
      <c r="B851">
        <v>2015</v>
      </c>
      <c r="C851" t="str">
        <f t="shared" si="13"/>
        <v>HPG2015</v>
      </c>
      <c r="D851">
        <v>5.3864247502136902E-15</v>
      </c>
      <c r="E851">
        <v>0.242237688765614</v>
      </c>
      <c r="F851">
        <v>1.2718339817580411</v>
      </c>
      <c r="G851">
        <v>30.86996499112179</v>
      </c>
      <c r="H851">
        <v>1.3099960225201299</v>
      </c>
      <c r="I851">
        <v>0.43282858444069572</v>
      </c>
      <c r="J851">
        <v>0.15472174544486841</v>
      </c>
      <c r="K851">
        <v>0.1827758094701788</v>
      </c>
      <c r="L851">
        <v>0.48573888197515652</v>
      </c>
      <c r="M851">
        <v>14</v>
      </c>
      <c r="N851">
        <v>1</v>
      </c>
      <c r="O851">
        <v>0</v>
      </c>
      <c r="P851">
        <v>0.4375</v>
      </c>
      <c r="Q851">
        <v>0.35460000000000003</v>
      </c>
      <c r="R851">
        <v>0.1132</v>
      </c>
      <c r="S851">
        <v>0</v>
      </c>
      <c r="T851">
        <v>0.1132</v>
      </c>
      <c r="U851">
        <v>9</v>
      </c>
      <c r="V851">
        <v>0</v>
      </c>
      <c r="W851">
        <v>0</v>
      </c>
      <c r="X851">
        <v>1</v>
      </c>
      <c r="Y851">
        <v>0.47689999999999999</v>
      </c>
      <c r="Z851">
        <v>0.88888888888888884</v>
      </c>
    </row>
    <row r="852" spans="1:26" x14ac:dyDescent="0.2">
      <c r="A852" t="s">
        <v>74</v>
      </c>
      <c r="B852">
        <v>2016</v>
      </c>
      <c r="C852" t="str">
        <f t="shared" si="13"/>
        <v>HPG2016</v>
      </c>
      <c r="D852">
        <v>5.9838587992088991E-15</v>
      </c>
      <c r="E852">
        <v>0.3328018055270125</v>
      </c>
      <c r="F852">
        <v>1.497044557028758</v>
      </c>
      <c r="G852">
        <v>31.134370440817481</v>
      </c>
      <c r="H852">
        <v>1.1923723157186199</v>
      </c>
      <c r="I852">
        <v>0.40257836900883892</v>
      </c>
      <c r="J852">
        <v>0.30265625082438491</v>
      </c>
      <c r="K852">
        <v>0.21010550798586061</v>
      </c>
      <c r="L852">
        <v>0.41059906641407501</v>
      </c>
      <c r="M852">
        <v>15</v>
      </c>
      <c r="N852">
        <v>1</v>
      </c>
      <c r="O852">
        <v>0</v>
      </c>
      <c r="P852">
        <v>0.32429999999999998</v>
      </c>
      <c r="Q852">
        <v>0.35460000000000003</v>
      </c>
      <c r="R852">
        <v>0</v>
      </c>
      <c r="S852">
        <v>0</v>
      </c>
      <c r="T852">
        <v>0</v>
      </c>
      <c r="U852">
        <v>9</v>
      </c>
      <c r="V852">
        <v>0</v>
      </c>
      <c r="W852">
        <v>0</v>
      </c>
      <c r="X852">
        <v>1</v>
      </c>
      <c r="Y852">
        <v>0.47639999999999999</v>
      </c>
      <c r="Z852">
        <v>0.88888888888888884</v>
      </c>
    </row>
    <row r="853" spans="1:26" x14ac:dyDescent="0.2">
      <c r="A853" t="s">
        <v>74</v>
      </c>
      <c r="B853">
        <v>2017</v>
      </c>
      <c r="C853" t="str">
        <f t="shared" si="13"/>
        <v>HPG2017</v>
      </c>
      <c r="D853">
        <v>2.85085480644282E-15</v>
      </c>
      <c r="E853">
        <v>0.24738750652437971</v>
      </c>
      <c r="F853">
        <v>1.7293105353893641</v>
      </c>
      <c r="G853">
        <v>31.601731522621911</v>
      </c>
      <c r="H853">
        <v>1.5171260750955611</v>
      </c>
      <c r="I853">
        <v>0.38898066257731689</v>
      </c>
      <c r="J853">
        <v>0.59577750562192744</v>
      </c>
      <c r="K853">
        <v>0.1173631888940105</v>
      </c>
      <c r="L853">
        <v>0.34855241488122662</v>
      </c>
      <c r="M853">
        <v>16</v>
      </c>
      <c r="N853">
        <v>1</v>
      </c>
      <c r="O853">
        <v>0</v>
      </c>
      <c r="P853">
        <v>0.32440000000000002</v>
      </c>
      <c r="Q853">
        <v>0.30830000000000002</v>
      </c>
      <c r="R853">
        <v>0</v>
      </c>
      <c r="S853">
        <v>0</v>
      </c>
      <c r="T853">
        <v>0</v>
      </c>
      <c r="U853">
        <v>7</v>
      </c>
      <c r="V853">
        <v>0</v>
      </c>
      <c r="W853">
        <v>0</v>
      </c>
      <c r="X853">
        <v>1</v>
      </c>
      <c r="Y853">
        <v>0.49690000000000001</v>
      </c>
      <c r="Z853">
        <v>0.8571428571428571</v>
      </c>
    </row>
    <row r="854" spans="1:26" x14ac:dyDescent="0.2">
      <c r="A854" t="s">
        <v>74</v>
      </c>
      <c r="B854">
        <v>2018</v>
      </c>
      <c r="C854" t="str">
        <f t="shared" si="13"/>
        <v>HPG2018</v>
      </c>
      <c r="D854">
        <v>1.4055854069543681E-15</v>
      </c>
      <c r="E854">
        <v>0.21171654791023689</v>
      </c>
      <c r="F854">
        <v>1.3210305726485629</v>
      </c>
      <c r="G854">
        <v>31.990584935947581</v>
      </c>
      <c r="H854">
        <v>1.7855591587178821</v>
      </c>
      <c r="I854">
        <v>0.48067773088314403</v>
      </c>
      <c r="J854">
        <v>0.47528827787969702</v>
      </c>
      <c r="K854">
        <v>0.1098058413746804</v>
      </c>
      <c r="L854">
        <v>0.64779769463953663</v>
      </c>
      <c r="M854">
        <v>17</v>
      </c>
      <c r="N854">
        <v>1</v>
      </c>
      <c r="O854">
        <v>0</v>
      </c>
      <c r="P854">
        <v>0.32419999999999999</v>
      </c>
      <c r="Q854">
        <v>0.35370000000000001</v>
      </c>
      <c r="R854">
        <v>0</v>
      </c>
      <c r="S854">
        <v>0</v>
      </c>
      <c r="T854">
        <v>0</v>
      </c>
      <c r="U854">
        <v>9</v>
      </c>
      <c r="V854">
        <v>0</v>
      </c>
      <c r="W854">
        <v>0</v>
      </c>
      <c r="X854">
        <v>1</v>
      </c>
      <c r="Y854">
        <v>0.50309999999999999</v>
      </c>
      <c r="Z854">
        <v>0.88888888888888884</v>
      </c>
    </row>
    <row r="855" spans="1:26" x14ac:dyDescent="0.2">
      <c r="A855" t="s">
        <v>74</v>
      </c>
      <c r="B855">
        <v>2019</v>
      </c>
      <c r="C855" t="str">
        <f t="shared" si="13"/>
        <v>HPG2019</v>
      </c>
      <c r="D855">
        <v>7.3160693532840795E-16</v>
      </c>
      <c r="E855">
        <v>0.1585850950763957</v>
      </c>
      <c r="F855">
        <v>1.168002284447738</v>
      </c>
      <c r="G855">
        <v>32.253795731611497</v>
      </c>
      <c r="H855">
        <v>1.1180667099062269</v>
      </c>
      <c r="I855">
        <v>0.53047258674965792</v>
      </c>
      <c r="J855">
        <v>0.30110095648661073</v>
      </c>
      <c r="K855">
        <v>7.9436339162819669E-2</v>
      </c>
      <c r="L855">
        <v>0.67221567627037182</v>
      </c>
      <c r="M855">
        <v>18</v>
      </c>
      <c r="N855">
        <v>1</v>
      </c>
      <c r="O855">
        <v>1</v>
      </c>
      <c r="P855">
        <v>0.32690000000000002</v>
      </c>
      <c r="Q855">
        <v>0.35520000000000002</v>
      </c>
      <c r="R855">
        <v>0</v>
      </c>
      <c r="S855">
        <v>0</v>
      </c>
      <c r="T855">
        <v>0</v>
      </c>
      <c r="U855">
        <v>9</v>
      </c>
      <c r="V855">
        <v>0</v>
      </c>
      <c r="W855">
        <v>0</v>
      </c>
      <c r="X855">
        <v>1</v>
      </c>
      <c r="Y855">
        <v>0.51690000000000003</v>
      </c>
      <c r="Z855">
        <v>0.88888888888888884</v>
      </c>
    </row>
    <row r="856" spans="1:26" x14ac:dyDescent="0.2">
      <c r="A856" t="s">
        <v>74</v>
      </c>
      <c r="B856">
        <v>2020</v>
      </c>
      <c r="C856" t="str">
        <f t="shared" si="13"/>
        <v>HPG2020</v>
      </c>
      <c r="D856">
        <v>7.8091720545440428E-16</v>
      </c>
      <c r="E856">
        <v>0.228068436233335</v>
      </c>
      <c r="F856">
        <v>1.59398470005639</v>
      </c>
      <c r="G856">
        <v>32.510114917293407</v>
      </c>
      <c r="H856">
        <v>1.127954097352257</v>
      </c>
      <c r="I856">
        <v>0.54969857502263153</v>
      </c>
      <c r="J856">
        <v>0.29216510272359519</v>
      </c>
      <c r="K856">
        <v>9.0796748949949588E-2</v>
      </c>
      <c r="L856">
        <v>0.54409742937615435</v>
      </c>
      <c r="M856">
        <v>19</v>
      </c>
      <c r="N856">
        <v>1</v>
      </c>
      <c r="O856">
        <v>1</v>
      </c>
      <c r="P856">
        <v>0.39439999999999997</v>
      </c>
      <c r="Q856">
        <v>0.35489999999999999</v>
      </c>
      <c r="R856">
        <v>6.0299999999999999E-2</v>
      </c>
      <c r="S856">
        <v>0</v>
      </c>
      <c r="T856">
        <v>6.0299999999999999E-2</v>
      </c>
      <c r="U856">
        <v>9</v>
      </c>
      <c r="V856">
        <v>0</v>
      </c>
      <c r="W856">
        <v>0</v>
      </c>
      <c r="X856">
        <v>1</v>
      </c>
      <c r="Y856">
        <v>0.52689999999999992</v>
      </c>
      <c r="Z856">
        <v>0.88888888888888884</v>
      </c>
    </row>
    <row r="857" spans="1:26" x14ac:dyDescent="0.2">
      <c r="A857" t="s">
        <v>74</v>
      </c>
      <c r="B857">
        <v>2021</v>
      </c>
      <c r="C857" t="str">
        <f t="shared" si="13"/>
        <v>HPG2021</v>
      </c>
      <c r="D857">
        <v>1.0866505105047461E-15</v>
      </c>
      <c r="E857">
        <v>0.38026786813611579</v>
      </c>
      <c r="F857">
        <v>1.6551017266957451</v>
      </c>
      <c r="G857">
        <v>32.814132000418503</v>
      </c>
      <c r="H857">
        <v>1.091813771714037</v>
      </c>
      <c r="I857">
        <v>0.49067298192861442</v>
      </c>
      <c r="J857">
        <v>0.35529220851824372</v>
      </c>
      <c r="K857">
        <v>0.15583138675113531</v>
      </c>
      <c r="L857">
        <v>0.44010547507037961</v>
      </c>
      <c r="M857">
        <v>20</v>
      </c>
      <c r="N857">
        <v>1</v>
      </c>
      <c r="O857">
        <v>0</v>
      </c>
      <c r="P857">
        <v>0.3342</v>
      </c>
      <c r="Q857">
        <v>0.34630000000000011</v>
      </c>
      <c r="R857">
        <v>0</v>
      </c>
      <c r="S857">
        <v>0</v>
      </c>
      <c r="T857">
        <v>0</v>
      </c>
      <c r="U857">
        <v>7</v>
      </c>
      <c r="V857">
        <v>0</v>
      </c>
      <c r="W857">
        <v>0</v>
      </c>
      <c r="X857">
        <v>1</v>
      </c>
      <c r="Y857">
        <v>0.51549999999999996</v>
      </c>
      <c r="Z857">
        <v>0.8571428571428571</v>
      </c>
    </row>
    <row r="858" spans="1:26" x14ac:dyDescent="0.2">
      <c r="A858" t="s">
        <v>74</v>
      </c>
      <c r="B858">
        <v>2022</v>
      </c>
      <c r="C858" t="str">
        <f t="shared" si="13"/>
        <v>HPG2022</v>
      </c>
      <c r="D858">
        <v>2.9104479823436261E-16</v>
      </c>
      <c r="E858">
        <v>8.7859440032456507E-2</v>
      </c>
      <c r="F858">
        <v>1.050213853822211</v>
      </c>
      <c r="G858">
        <v>32.768791264566353</v>
      </c>
      <c r="H858">
        <v>1.281727967718526</v>
      </c>
      <c r="I858">
        <v>0.43574341574781061</v>
      </c>
      <c r="J858">
        <v>-4.4328205293733172E-2</v>
      </c>
      <c r="K858">
        <v>8.2046612879884739E-2</v>
      </c>
      <c r="L858">
        <v>0.49057547005318802</v>
      </c>
      <c r="M858">
        <v>21</v>
      </c>
      <c r="N858">
        <v>1</v>
      </c>
      <c r="O858">
        <v>0</v>
      </c>
      <c r="P858">
        <v>0.3342</v>
      </c>
      <c r="Q858">
        <v>0.34510000000000002</v>
      </c>
      <c r="R858">
        <v>0</v>
      </c>
      <c r="S858">
        <v>0</v>
      </c>
      <c r="T858">
        <v>0</v>
      </c>
      <c r="U858">
        <v>7</v>
      </c>
      <c r="V858">
        <v>0</v>
      </c>
      <c r="W858">
        <v>0</v>
      </c>
      <c r="X858">
        <v>1</v>
      </c>
      <c r="Y858">
        <v>0.50580000000000003</v>
      </c>
      <c r="Z858">
        <v>0.8571428571428571</v>
      </c>
    </row>
    <row r="859" spans="1:26" x14ac:dyDescent="0.2">
      <c r="A859" t="s">
        <v>74</v>
      </c>
      <c r="B859">
        <v>2023</v>
      </c>
      <c r="C859" t="str">
        <f t="shared" si="13"/>
        <v>HPG2023</v>
      </c>
      <c r="D859">
        <v>46227848333018.062</v>
      </c>
      <c r="E859">
        <v>5.5558009037225999E-2</v>
      </c>
      <c r="F859">
        <v>1.2136603463123039</v>
      </c>
      <c r="G859">
        <v>32.866305955101197</v>
      </c>
      <c r="H859">
        <v>1.2906019699206981</v>
      </c>
      <c r="I859">
        <v>0.34817393704875382</v>
      </c>
      <c r="J859">
        <v>0.1024276366959835</v>
      </c>
      <c r="K859">
        <v>5.7860793767261387E-2</v>
      </c>
      <c r="L859">
        <v>0.52127400498099008</v>
      </c>
      <c r="M859">
        <v>22</v>
      </c>
      <c r="N859">
        <v>0</v>
      </c>
      <c r="O859">
        <v>0</v>
      </c>
      <c r="P859">
        <v>0.3342</v>
      </c>
      <c r="Q859">
        <v>0.34510000000000002</v>
      </c>
      <c r="R859">
        <v>0</v>
      </c>
      <c r="S859">
        <v>0</v>
      </c>
      <c r="T859">
        <v>0</v>
      </c>
      <c r="U859">
        <v>7</v>
      </c>
      <c r="V859">
        <v>0</v>
      </c>
      <c r="W859">
        <v>0</v>
      </c>
      <c r="X859">
        <v>1</v>
      </c>
      <c r="Y859">
        <v>0.50580000000000003</v>
      </c>
      <c r="Z859">
        <v>0.8571428571428571</v>
      </c>
    </row>
    <row r="860" spans="1:26" x14ac:dyDescent="0.2">
      <c r="A860" t="s">
        <v>75</v>
      </c>
      <c r="B860">
        <v>2012</v>
      </c>
      <c r="C860" t="str">
        <f t="shared" si="13"/>
        <v>HRC2012</v>
      </c>
      <c r="D860">
        <v>2.059676270082059E-13</v>
      </c>
      <c r="E860">
        <v>0.18346440214661819</v>
      </c>
      <c r="F860">
        <v>1.2349219774857489</v>
      </c>
      <c r="G860">
        <v>27.21069927156719</v>
      </c>
      <c r="H860">
        <v>1.3804741303207979</v>
      </c>
      <c r="I860">
        <v>0.26259904145954582</v>
      </c>
      <c r="J860">
        <v>5.8640607774696367E-2</v>
      </c>
      <c r="K860">
        <v>6.5993144334378232E-3</v>
      </c>
      <c r="L860">
        <v>0.34041910064874242</v>
      </c>
      <c r="M860">
        <v>8</v>
      </c>
      <c r="N860">
        <v>0</v>
      </c>
      <c r="O860">
        <v>0</v>
      </c>
      <c r="P860">
        <v>0.55059999999999998</v>
      </c>
      <c r="Q860">
        <v>4.0000000000000002E-4</v>
      </c>
      <c r="R860">
        <v>0</v>
      </c>
      <c r="S860">
        <v>0.55059999999999998</v>
      </c>
      <c r="T860">
        <v>0.55059999999999998</v>
      </c>
      <c r="U860">
        <v>5</v>
      </c>
      <c r="V860">
        <v>0</v>
      </c>
      <c r="W860">
        <v>0.2</v>
      </c>
      <c r="X860">
        <v>1</v>
      </c>
      <c r="Y860">
        <v>0.48089999999999999</v>
      </c>
      <c r="Z860">
        <v>1</v>
      </c>
    </row>
    <row r="861" spans="1:26" x14ac:dyDescent="0.2">
      <c r="A861" t="s">
        <v>75</v>
      </c>
      <c r="B861">
        <v>2013</v>
      </c>
      <c r="C861" t="str">
        <f t="shared" si="13"/>
        <v>HRC2013</v>
      </c>
      <c r="D861">
        <v>1.328956279815768E-13</v>
      </c>
      <c r="E861">
        <v>0.12855063749687501</v>
      </c>
      <c r="F861">
        <v>1.4609733602528081</v>
      </c>
      <c r="G861">
        <v>27.273809595302581</v>
      </c>
      <c r="H861">
        <v>1.7032377176991249</v>
      </c>
      <c r="I861">
        <v>0.27672830955968131</v>
      </c>
      <c r="J861">
        <v>6.5144343452130604E-2</v>
      </c>
      <c r="K861">
        <v>6.1896719287697168E-2</v>
      </c>
      <c r="L861">
        <v>0.43024815825660317</v>
      </c>
      <c r="M861">
        <v>9</v>
      </c>
      <c r="N861">
        <v>0</v>
      </c>
      <c r="O861">
        <v>0</v>
      </c>
      <c r="P861">
        <v>0.6069</v>
      </c>
      <c r="Q861">
        <v>4.0000000000000002E-4</v>
      </c>
      <c r="R861">
        <v>0</v>
      </c>
      <c r="S861">
        <v>0.55059999999999998</v>
      </c>
      <c r="T861">
        <v>0.55059999999999998</v>
      </c>
      <c r="U861">
        <v>5</v>
      </c>
      <c r="V861">
        <v>0</v>
      </c>
      <c r="W861">
        <v>0.2</v>
      </c>
      <c r="X861">
        <v>1</v>
      </c>
      <c r="Y861">
        <v>0.48089999999999999</v>
      </c>
      <c r="Z861">
        <v>1</v>
      </c>
    </row>
    <row r="862" spans="1:26" x14ac:dyDescent="0.2">
      <c r="A862" t="s">
        <v>75</v>
      </c>
      <c r="B862">
        <v>2014</v>
      </c>
      <c r="C862" t="str">
        <f t="shared" si="13"/>
        <v>HRC2014</v>
      </c>
      <c r="D862">
        <v>1.1922704754701541E-13</v>
      </c>
      <c r="E862">
        <v>0.1113417669977135</v>
      </c>
      <c r="F862">
        <v>1.3615729572478781</v>
      </c>
      <c r="G862">
        <v>27.254633465140358</v>
      </c>
      <c r="H862">
        <v>1.9096666485976981</v>
      </c>
      <c r="I862">
        <v>0.26505709705989511</v>
      </c>
      <c r="J862">
        <v>-1.8993437819332711E-2</v>
      </c>
      <c r="K862">
        <v>7.9767428477700603E-2</v>
      </c>
      <c r="L862">
        <v>0.57456787047168656</v>
      </c>
      <c r="M862">
        <v>10</v>
      </c>
      <c r="N862">
        <v>0</v>
      </c>
      <c r="O862">
        <v>0</v>
      </c>
      <c r="P862">
        <v>0.6069</v>
      </c>
      <c r="Q862">
        <v>2.9999999999999997E-4</v>
      </c>
      <c r="R862">
        <v>0</v>
      </c>
      <c r="S862">
        <v>0.55059999999999998</v>
      </c>
      <c r="T862">
        <v>0.55059999999999998</v>
      </c>
      <c r="U862">
        <v>5</v>
      </c>
      <c r="V862">
        <v>0</v>
      </c>
      <c r="W862">
        <v>0.2</v>
      </c>
      <c r="X862">
        <v>1</v>
      </c>
      <c r="Y862">
        <v>0.49090000000000011</v>
      </c>
      <c r="Z862">
        <v>1</v>
      </c>
    </row>
    <row r="863" spans="1:26" x14ac:dyDescent="0.2">
      <c r="A863" t="s">
        <v>75</v>
      </c>
      <c r="B863">
        <v>2015</v>
      </c>
      <c r="C863" t="str">
        <f t="shared" si="13"/>
        <v>HRC2015</v>
      </c>
      <c r="D863">
        <v>5.6921815321870086E-14</v>
      </c>
      <c r="E863">
        <v>5.755277702030815E-2</v>
      </c>
      <c r="F863">
        <v>1.5039733343328461</v>
      </c>
      <c r="G863">
        <v>27.31911176654949</v>
      </c>
      <c r="H863">
        <v>0.38232496053993931</v>
      </c>
      <c r="I863">
        <v>0.27597769003431</v>
      </c>
      <c r="J863">
        <v>6.6602434223719253E-2</v>
      </c>
      <c r="K863">
        <v>1.8931235217696331E-2</v>
      </c>
      <c r="L863">
        <v>0.62187979025654327</v>
      </c>
      <c r="M863">
        <v>11</v>
      </c>
      <c r="N863">
        <v>0</v>
      </c>
      <c r="O863">
        <v>0</v>
      </c>
      <c r="P863">
        <v>0.60699999999999998</v>
      </c>
      <c r="Q863">
        <v>2.0000000000000001E-4</v>
      </c>
      <c r="R863">
        <v>0</v>
      </c>
      <c r="S863">
        <v>0.55059999999999998</v>
      </c>
      <c r="T863">
        <v>0.55059999999999998</v>
      </c>
      <c r="U863">
        <v>5</v>
      </c>
      <c r="V863">
        <v>0</v>
      </c>
      <c r="W863">
        <v>0.2</v>
      </c>
      <c r="X863">
        <v>1</v>
      </c>
      <c r="Y863">
        <v>0.46600000000000003</v>
      </c>
      <c r="Z863">
        <v>1</v>
      </c>
    </row>
    <row r="864" spans="1:26" x14ac:dyDescent="0.2">
      <c r="A864" t="s">
        <v>75</v>
      </c>
      <c r="B864">
        <v>2016</v>
      </c>
      <c r="C864" t="str">
        <f t="shared" si="13"/>
        <v>HRC2016</v>
      </c>
      <c r="D864">
        <v>1.625062537858659E-14</v>
      </c>
      <c r="E864">
        <v>1.745755092387858E-2</v>
      </c>
      <c r="F864">
        <v>1.8386036929037799</v>
      </c>
      <c r="G864">
        <v>27.353064941736921</v>
      </c>
      <c r="H864">
        <v>0.80945397183257206</v>
      </c>
      <c r="I864">
        <v>0.29502790187040961</v>
      </c>
      <c r="J864">
        <v>3.4536163631998518E-2</v>
      </c>
      <c r="K864">
        <v>3.3255799241171238E-2</v>
      </c>
      <c r="L864">
        <v>0.64504956198859231</v>
      </c>
      <c r="M864">
        <v>12</v>
      </c>
      <c r="N864">
        <v>0</v>
      </c>
      <c r="O864">
        <v>0</v>
      </c>
      <c r="P864">
        <v>0.66849999999999998</v>
      </c>
      <c r="Q864">
        <v>2.0000000000000001E-4</v>
      </c>
      <c r="R864">
        <v>0</v>
      </c>
      <c r="S864">
        <v>0.55059999999999998</v>
      </c>
      <c r="T864">
        <v>0.55059999999999998</v>
      </c>
      <c r="U864">
        <v>5</v>
      </c>
      <c r="V864">
        <v>0</v>
      </c>
      <c r="W864">
        <v>0.2</v>
      </c>
      <c r="X864">
        <v>1</v>
      </c>
      <c r="Y864">
        <v>0.4622</v>
      </c>
      <c r="Z864">
        <v>1</v>
      </c>
    </row>
    <row r="865" spans="1:26" x14ac:dyDescent="0.2">
      <c r="A865" t="s">
        <v>75</v>
      </c>
      <c r="B865">
        <v>2017</v>
      </c>
      <c r="C865" t="str">
        <f t="shared" si="13"/>
        <v>HRC2017</v>
      </c>
      <c r="D865">
        <v>1.323603674955027E-14</v>
      </c>
      <c r="E865">
        <v>1.5971973184384709E-2</v>
      </c>
      <c r="F865">
        <v>1.610593008394831</v>
      </c>
      <c r="G865">
        <v>27.41313445537746</v>
      </c>
      <c r="H865">
        <v>0.54275738255677208</v>
      </c>
      <c r="I865">
        <v>0.33354256461870641</v>
      </c>
      <c r="J865">
        <v>6.1910361234899902E-2</v>
      </c>
      <c r="K865">
        <v>4.5990216986849942E-2</v>
      </c>
      <c r="L865">
        <v>0.63398050619233981</v>
      </c>
      <c r="M865">
        <v>13</v>
      </c>
      <c r="N865">
        <v>0</v>
      </c>
      <c r="O865">
        <v>0</v>
      </c>
      <c r="P865">
        <v>0.55059999999999998</v>
      </c>
      <c r="Q865">
        <v>2.0000000000000001E-4</v>
      </c>
      <c r="R865">
        <v>0</v>
      </c>
      <c r="S865">
        <v>0.55059999999999998</v>
      </c>
      <c r="T865">
        <v>0.55059999999999998</v>
      </c>
      <c r="U865">
        <v>5</v>
      </c>
      <c r="V865">
        <v>0</v>
      </c>
      <c r="W865">
        <v>0.2</v>
      </c>
      <c r="X865">
        <v>1</v>
      </c>
      <c r="Y865">
        <v>0.47220000000000001</v>
      </c>
      <c r="Z865">
        <v>1</v>
      </c>
    </row>
    <row r="866" spans="1:26" x14ac:dyDescent="0.2">
      <c r="A866" t="s">
        <v>75</v>
      </c>
      <c r="B866">
        <v>2018</v>
      </c>
      <c r="C866" t="str">
        <f t="shared" si="13"/>
        <v>HRC2018</v>
      </c>
      <c r="D866">
        <v>1.127353146258536E-14</v>
      </c>
      <c r="E866">
        <v>1.4864264346070031E-2</v>
      </c>
      <c r="F866">
        <v>1.458572779713277</v>
      </c>
      <c r="G866">
        <v>27.45732096517127</v>
      </c>
      <c r="H866">
        <v>0.62315674127469478</v>
      </c>
      <c r="I866">
        <v>0.36250094691109241</v>
      </c>
      <c r="J866">
        <v>4.5177272508448503E-2</v>
      </c>
      <c r="K866">
        <v>7.1399494625740995E-2</v>
      </c>
      <c r="L866">
        <v>0.62629330374064096</v>
      </c>
      <c r="M866">
        <v>14</v>
      </c>
      <c r="N866">
        <v>0</v>
      </c>
      <c r="O866">
        <v>0</v>
      </c>
      <c r="P866">
        <v>0.55059999999999998</v>
      </c>
      <c r="Q866">
        <v>2.0000000000000001E-4</v>
      </c>
      <c r="R866">
        <v>0</v>
      </c>
      <c r="S866">
        <v>0</v>
      </c>
      <c r="T866">
        <v>0.55059999999999998</v>
      </c>
      <c r="U866">
        <v>5</v>
      </c>
      <c r="V866">
        <v>0</v>
      </c>
      <c r="W866">
        <v>0</v>
      </c>
      <c r="X866">
        <v>1</v>
      </c>
      <c r="Y866">
        <v>0.47899999999999998</v>
      </c>
      <c r="Z866">
        <v>1</v>
      </c>
    </row>
    <row r="867" spans="1:26" x14ac:dyDescent="0.2">
      <c r="A867" t="s">
        <v>75</v>
      </c>
      <c r="B867">
        <v>2019</v>
      </c>
      <c r="C867" t="str">
        <f t="shared" si="13"/>
        <v>HRC2019</v>
      </c>
      <c r="D867">
        <v>6.8966433719001657E-15</v>
      </c>
      <c r="E867">
        <v>1.4423792821104941E-2</v>
      </c>
      <c r="F867">
        <v>1.569546197820108</v>
      </c>
      <c r="G867">
        <v>27.68799476363084</v>
      </c>
      <c r="H867">
        <v>0.61319590783632827</v>
      </c>
      <c r="I867">
        <v>0.49382390136019022</v>
      </c>
      <c r="J867">
        <v>0.25944833844650872</v>
      </c>
      <c r="K867">
        <v>0.26547531954352388</v>
      </c>
      <c r="L867">
        <v>0.48923290771410838</v>
      </c>
      <c r="M867">
        <v>15</v>
      </c>
      <c r="N867">
        <v>0</v>
      </c>
      <c r="O867">
        <v>1</v>
      </c>
      <c r="P867">
        <v>0.55059999999999998</v>
      </c>
      <c r="Q867">
        <v>2.0000000000000001E-4</v>
      </c>
      <c r="R867">
        <v>0</v>
      </c>
      <c r="S867">
        <v>0</v>
      </c>
      <c r="T867">
        <v>0.55059999999999998</v>
      </c>
      <c r="U867">
        <v>5</v>
      </c>
      <c r="V867">
        <v>0</v>
      </c>
      <c r="W867">
        <v>0.2</v>
      </c>
      <c r="X867">
        <v>1</v>
      </c>
      <c r="Y867">
        <v>0.49109999999999998</v>
      </c>
      <c r="Z867">
        <v>1</v>
      </c>
    </row>
    <row r="868" spans="1:26" x14ac:dyDescent="0.2">
      <c r="A868" t="s">
        <v>75</v>
      </c>
      <c r="B868">
        <v>2020</v>
      </c>
      <c r="C868" t="str">
        <f t="shared" si="13"/>
        <v>HRC2020</v>
      </c>
      <c r="D868">
        <v>7.9323836540828875E-15</v>
      </c>
      <c r="E868">
        <v>1.6694758289151679E-2</v>
      </c>
      <c r="F868">
        <v>1.9434205100232029</v>
      </c>
      <c r="G868">
        <v>27.692494504520059</v>
      </c>
      <c r="H868">
        <v>0.87085118538188666</v>
      </c>
      <c r="I868">
        <v>0.49473277400963422</v>
      </c>
      <c r="J868">
        <v>4.5098799252305533E-3</v>
      </c>
      <c r="K868">
        <v>7.2245186922712382E-2</v>
      </c>
      <c r="L868">
        <v>0.48382852821061217</v>
      </c>
      <c r="M868">
        <v>16</v>
      </c>
      <c r="N868">
        <v>0</v>
      </c>
      <c r="O868">
        <v>1</v>
      </c>
      <c r="P868">
        <v>0.60709999999999997</v>
      </c>
      <c r="Q868">
        <v>2.0000000000000001E-4</v>
      </c>
      <c r="R868">
        <v>0</v>
      </c>
      <c r="S868">
        <v>0</v>
      </c>
      <c r="T868">
        <v>0.55059999999999998</v>
      </c>
      <c r="U868">
        <v>5</v>
      </c>
      <c r="V868">
        <v>0</v>
      </c>
      <c r="W868">
        <v>0</v>
      </c>
      <c r="X868">
        <v>1</v>
      </c>
      <c r="Y868">
        <v>0.4758</v>
      </c>
      <c r="Z868">
        <v>1</v>
      </c>
    </row>
    <row r="869" spans="1:26" x14ac:dyDescent="0.2">
      <c r="A869" t="s">
        <v>75</v>
      </c>
      <c r="B869">
        <v>2021</v>
      </c>
      <c r="C869" t="str">
        <f t="shared" si="13"/>
        <v>HRC2021</v>
      </c>
      <c r="D869">
        <v>3.0708338216067429E-14</v>
      </c>
      <c r="E869">
        <v>4.0054412365614668E-2</v>
      </c>
      <c r="F869">
        <v>2.2384063186332108</v>
      </c>
      <c r="G869">
        <v>27.465900300995958</v>
      </c>
      <c r="H869">
        <v>0.84214851116551814</v>
      </c>
      <c r="I869">
        <v>0.35002763537620912</v>
      </c>
      <c r="J869">
        <v>-0.20275576444117641</v>
      </c>
      <c r="K869">
        <v>-0.23671819311319889</v>
      </c>
      <c r="L869">
        <v>0.6174254220513391</v>
      </c>
      <c r="M869">
        <v>17</v>
      </c>
      <c r="N869">
        <v>0</v>
      </c>
      <c r="O869">
        <v>0</v>
      </c>
      <c r="P869">
        <v>0.55059999999999998</v>
      </c>
      <c r="Q869">
        <v>0</v>
      </c>
      <c r="R869">
        <v>0</v>
      </c>
      <c r="S869">
        <v>0.55059999999999998</v>
      </c>
      <c r="T869">
        <v>0.55059999999999998</v>
      </c>
      <c r="U869">
        <v>4</v>
      </c>
      <c r="V869">
        <v>0</v>
      </c>
      <c r="W869">
        <v>0</v>
      </c>
      <c r="X869">
        <v>0</v>
      </c>
      <c r="Y869">
        <v>0.48780000000000001</v>
      </c>
      <c r="Z869">
        <v>1</v>
      </c>
    </row>
    <row r="870" spans="1:26" x14ac:dyDescent="0.2">
      <c r="A870" t="s">
        <v>75</v>
      </c>
      <c r="B870">
        <v>2022</v>
      </c>
      <c r="C870" t="str">
        <f t="shared" si="13"/>
        <v>HRC2022</v>
      </c>
      <c r="D870">
        <v>1.5459338691225879E-14</v>
      </c>
      <c r="E870">
        <v>1.8532541377963081E-2</v>
      </c>
      <c r="F870">
        <v>2.3732416807793948</v>
      </c>
      <c r="G870">
        <v>27.421087046026901</v>
      </c>
      <c r="H870">
        <v>0.53605574774205689</v>
      </c>
      <c r="I870">
        <v>0.32378823042693439</v>
      </c>
      <c r="J870">
        <v>-4.3823973716952458E-2</v>
      </c>
      <c r="K870">
        <v>3.6082640235139442E-2</v>
      </c>
      <c r="L870">
        <v>0.63831804517939372</v>
      </c>
      <c r="M870">
        <v>18</v>
      </c>
      <c r="N870">
        <v>0</v>
      </c>
      <c r="O870">
        <v>0</v>
      </c>
      <c r="P870">
        <v>0.55059999999999998</v>
      </c>
      <c r="Q870">
        <v>0</v>
      </c>
      <c r="R870">
        <v>0</v>
      </c>
      <c r="S870">
        <v>0.55059999999999998</v>
      </c>
      <c r="T870">
        <v>0.55059999999999998</v>
      </c>
      <c r="U870">
        <v>5</v>
      </c>
      <c r="V870">
        <v>0</v>
      </c>
      <c r="W870">
        <v>0.2</v>
      </c>
      <c r="X870">
        <v>0</v>
      </c>
      <c r="Y870">
        <v>0.501</v>
      </c>
      <c r="Z870">
        <v>1</v>
      </c>
    </row>
    <row r="871" spans="1:26" x14ac:dyDescent="0.2">
      <c r="A871" t="s">
        <v>75</v>
      </c>
      <c r="B871">
        <v>2023</v>
      </c>
      <c r="C871" t="str">
        <f t="shared" si="13"/>
        <v>HRC2023</v>
      </c>
      <c r="D871">
        <v>1988995675210.0071</v>
      </c>
      <c r="E871">
        <v>2.918180929991044E-2</v>
      </c>
      <c r="F871">
        <v>2.3182664362173759</v>
      </c>
      <c r="G871">
        <v>27.431264679324041</v>
      </c>
      <c r="H871">
        <v>0.35681972352222041</v>
      </c>
      <c r="I871">
        <v>0.28956578521309601</v>
      </c>
      <c r="J871">
        <v>1.0229601561919431E-2</v>
      </c>
      <c r="K871">
        <v>2.7344809222797889E-2</v>
      </c>
      <c r="L871">
        <v>0.62435535215249349</v>
      </c>
      <c r="M871">
        <v>19</v>
      </c>
      <c r="N871">
        <v>0</v>
      </c>
      <c r="O871">
        <v>0</v>
      </c>
      <c r="P871">
        <v>0.55059999999999998</v>
      </c>
      <c r="Q871">
        <v>0</v>
      </c>
      <c r="R871">
        <v>0</v>
      </c>
      <c r="S871">
        <v>0.55059999999999998</v>
      </c>
      <c r="T871">
        <v>0.55059999999999998</v>
      </c>
      <c r="U871">
        <v>5</v>
      </c>
      <c r="V871">
        <v>0</v>
      </c>
      <c r="W871">
        <v>0.2</v>
      </c>
      <c r="X871">
        <v>0</v>
      </c>
      <c r="Y871">
        <v>0.501</v>
      </c>
      <c r="Z871">
        <v>1</v>
      </c>
    </row>
    <row r="872" spans="1:26" x14ac:dyDescent="0.2">
      <c r="A872" t="s">
        <v>76</v>
      </c>
      <c r="B872">
        <v>2012</v>
      </c>
      <c r="C872" t="str">
        <f t="shared" si="13"/>
        <v>HSG2012</v>
      </c>
      <c r="D872">
        <v>1.299172259850536E-14</v>
      </c>
      <c r="E872">
        <v>0.1823623592565573</v>
      </c>
      <c r="F872">
        <v>0.97042220295946091</v>
      </c>
      <c r="G872">
        <v>29.303046795054101</v>
      </c>
      <c r="H872">
        <v>0.967693559012754</v>
      </c>
      <c r="I872">
        <v>0.62078713482154169</v>
      </c>
      <c r="J872">
        <v>0.34177197544500221</v>
      </c>
      <c r="K872">
        <v>8.5696981330904781E-2</v>
      </c>
      <c r="L872">
        <v>0.440571494524023</v>
      </c>
      <c r="M872">
        <v>11</v>
      </c>
      <c r="N872">
        <v>1</v>
      </c>
      <c r="O872">
        <v>0</v>
      </c>
      <c r="P872">
        <v>0.65529999999999999</v>
      </c>
      <c r="Q872">
        <v>0.44550000000000001</v>
      </c>
      <c r="R872">
        <v>0.1633</v>
      </c>
      <c r="S872">
        <v>0</v>
      </c>
      <c r="T872">
        <v>0.1633</v>
      </c>
      <c r="U872">
        <v>5</v>
      </c>
      <c r="V872">
        <v>0</v>
      </c>
      <c r="W872">
        <v>0</v>
      </c>
      <c r="X872">
        <v>0</v>
      </c>
      <c r="Y872">
        <v>0.42620000000000002</v>
      </c>
      <c r="Z872">
        <v>0.8</v>
      </c>
    </row>
    <row r="873" spans="1:26" x14ac:dyDescent="0.2">
      <c r="A873" t="s">
        <v>76</v>
      </c>
      <c r="B873">
        <v>2013</v>
      </c>
      <c r="C873" t="str">
        <f t="shared" si="13"/>
        <v>HSG2013</v>
      </c>
      <c r="D873">
        <v>1.138664469153165E-14</v>
      </c>
      <c r="E873">
        <v>0.26277155450292439</v>
      </c>
      <c r="F873">
        <v>1.247445091584541</v>
      </c>
      <c r="G873">
        <v>29.597037905191161</v>
      </c>
      <c r="H873">
        <v>0.97145772945072772</v>
      </c>
      <c r="I873">
        <v>0.69050925830232834</v>
      </c>
      <c r="J873">
        <v>0.42892693493475709</v>
      </c>
      <c r="K873">
        <v>3.176078395801938E-2</v>
      </c>
      <c r="L873">
        <v>0.35776587004865179</v>
      </c>
      <c r="M873">
        <v>12</v>
      </c>
      <c r="N873">
        <v>1</v>
      </c>
      <c r="O873">
        <v>0</v>
      </c>
      <c r="P873">
        <v>0.65529999999999999</v>
      </c>
      <c r="Q873">
        <v>0.44659999999999989</v>
      </c>
      <c r="R873">
        <v>0.1633</v>
      </c>
      <c r="S873">
        <v>0</v>
      </c>
      <c r="T873">
        <v>0.1633</v>
      </c>
      <c r="U873">
        <v>5</v>
      </c>
      <c r="V873">
        <v>0</v>
      </c>
      <c r="W873">
        <v>0</v>
      </c>
      <c r="X873">
        <v>0</v>
      </c>
      <c r="Y873">
        <v>0.44209999999999999</v>
      </c>
      <c r="Z873">
        <v>0.8</v>
      </c>
    </row>
    <row r="874" spans="1:26" x14ac:dyDescent="0.2">
      <c r="A874" t="s">
        <v>76</v>
      </c>
      <c r="B874">
        <v>2014</v>
      </c>
      <c r="C874" t="str">
        <f t="shared" si="13"/>
        <v>HSG2014</v>
      </c>
      <c r="D874">
        <v>3.9397242653563333E-15</v>
      </c>
      <c r="E874">
        <v>0.17247093556662271</v>
      </c>
      <c r="F874">
        <v>1.215143278994921</v>
      </c>
      <c r="G874">
        <v>29.953961672625091</v>
      </c>
      <c r="H874">
        <v>0.93193163493565923</v>
      </c>
      <c r="I874">
        <v>0.76687428898566823</v>
      </c>
      <c r="J874">
        <v>-7.4961142536472791E-2</v>
      </c>
      <c r="K874">
        <v>-8.9495194874145437E-2</v>
      </c>
      <c r="L874">
        <v>0.33519627919900491</v>
      </c>
      <c r="M874">
        <v>13</v>
      </c>
      <c r="N874">
        <v>1</v>
      </c>
      <c r="O874">
        <v>0</v>
      </c>
      <c r="P874">
        <v>0.57400000000000007</v>
      </c>
      <c r="Q874">
        <v>0.1971</v>
      </c>
      <c r="R874">
        <v>0.1497</v>
      </c>
      <c r="S874">
        <v>0</v>
      </c>
      <c r="T874">
        <v>0.37809999999999999</v>
      </c>
      <c r="U874">
        <v>5</v>
      </c>
      <c r="V874">
        <v>0</v>
      </c>
      <c r="W874">
        <v>0</v>
      </c>
      <c r="X874">
        <v>0</v>
      </c>
      <c r="Y874">
        <v>0.4521</v>
      </c>
      <c r="Z874">
        <v>0.8</v>
      </c>
    </row>
    <row r="875" spans="1:26" x14ac:dyDescent="0.2">
      <c r="A875" t="s">
        <v>76</v>
      </c>
      <c r="B875">
        <v>2015</v>
      </c>
      <c r="C875" t="str">
        <f t="shared" si="13"/>
        <v>HSG2015</v>
      </c>
      <c r="D875">
        <v>7.3253646858036847E-15</v>
      </c>
      <c r="E875">
        <v>0.224299825744359</v>
      </c>
      <c r="F875">
        <v>1.1288719295742931</v>
      </c>
      <c r="G875">
        <v>29.876042138341749</v>
      </c>
      <c r="H875">
        <v>0.93055967879207346</v>
      </c>
      <c r="I875">
        <v>0.69168081019866134</v>
      </c>
      <c r="J875">
        <v>0.30393911994249478</v>
      </c>
      <c r="K875">
        <v>0.1359980402538086</v>
      </c>
      <c r="L875">
        <v>0.39612883504058333</v>
      </c>
      <c r="M875">
        <v>14</v>
      </c>
      <c r="N875">
        <v>1</v>
      </c>
      <c r="O875">
        <v>0</v>
      </c>
      <c r="P875">
        <v>0.43200000000000011</v>
      </c>
      <c r="Q875">
        <v>0.15989999999999999</v>
      </c>
      <c r="R875">
        <v>6.5700000000000008E-2</v>
      </c>
      <c r="S875">
        <v>0</v>
      </c>
      <c r="T875">
        <v>0.27410000000000001</v>
      </c>
      <c r="U875">
        <v>5</v>
      </c>
      <c r="V875">
        <v>0</v>
      </c>
      <c r="W875">
        <v>0</v>
      </c>
      <c r="X875">
        <v>0</v>
      </c>
      <c r="Y875">
        <v>0.46079999999999999</v>
      </c>
      <c r="Z875">
        <v>0.8</v>
      </c>
    </row>
    <row r="876" spans="1:26" x14ac:dyDescent="0.2">
      <c r="A876" t="s">
        <v>76</v>
      </c>
      <c r="B876">
        <v>2016</v>
      </c>
      <c r="C876" t="str">
        <f t="shared" si="13"/>
        <v>HSG2016</v>
      </c>
      <c r="D876">
        <v>9.9263011288529586E-15</v>
      </c>
      <c r="E876">
        <v>0.36421295781521312</v>
      </c>
      <c r="F876">
        <v>1.4771658361450679</v>
      </c>
      <c r="G876">
        <v>30.14143191359566</v>
      </c>
      <c r="H876">
        <v>1.0444119493770569</v>
      </c>
      <c r="I876">
        <v>0.66450225159357101</v>
      </c>
      <c r="J876">
        <v>0.75397719223375925</v>
      </c>
      <c r="K876">
        <v>0.13371261403051751</v>
      </c>
      <c r="L876">
        <v>0.3729520332002389</v>
      </c>
      <c r="M876">
        <v>15</v>
      </c>
      <c r="N876">
        <v>1</v>
      </c>
      <c r="O876">
        <v>0</v>
      </c>
      <c r="P876">
        <v>0.45500000000000002</v>
      </c>
      <c r="Q876">
        <v>0.13170000000000001</v>
      </c>
      <c r="R876">
        <v>0</v>
      </c>
      <c r="S876">
        <v>0</v>
      </c>
      <c r="T876">
        <v>0.32529999999999998</v>
      </c>
      <c r="U876">
        <v>5</v>
      </c>
      <c r="V876">
        <v>0</v>
      </c>
      <c r="W876">
        <v>0</v>
      </c>
      <c r="X876">
        <v>0</v>
      </c>
      <c r="Y876">
        <v>0.4677</v>
      </c>
      <c r="Z876">
        <v>0.8</v>
      </c>
    </row>
    <row r="877" spans="1:26" x14ac:dyDescent="0.2">
      <c r="A877" t="s">
        <v>76</v>
      </c>
      <c r="B877">
        <v>2017</v>
      </c>
      <c r="C877" t="str">
        <f t="shared" si="13"/>
        <v>HSG2017</v>
      </c>
      <c r="D877">
        <v>2.897363016383358E-15</v>
      </c>
      <c r="E877">
        <v>0.25758229655529408</v>
      </c>
      <c r="F877">
        <v>1.158832185530656</v>
      </c>
      <c r="G877">
        <v>30.696207428719148</v>
      </c>
      <c r="H877">
        <v>0.95106851630149258</v>
      </c>
      <c r="I877">
        <v>0.75885381096694382</v>
      </c>
      <c r="J877">
        <v>-1.5590094528785349E-2</v>
      </c>
      <c r="K877">
        <v>-0.1006293144108001</v>
      </c>
      <c r="L877">
        <v>0.36173399412064122</v>
      </c>
      <c r="M877">
        <v>16</v>
      </c>
      <c r="N877">
        <v>1</v>
      </c>
      <c r="O877">
        <v>0</v>
      </c>
      <c r="P877">
        <v>0.42570000000000008</v>
      </c>
      <c r="Q877">
        <v>0.1115</v>
      </c>
      <c r="R877">
        <v>0</v>
      </c>
      <c r="S877">
        <v>0</v>
      </c>
      <c r="T877">
        <v>0.32019999999999998</v>
      </c>
      <c r="U877">
        <v>4</v>
      </c>
      <c r="V877">
        <v>0</v>
      </c>
      <c r="W877">
        <v>0</v>
      </c>
      <c r="X877">
        <v>0</v>
      </c>
      <c r="Y877">
        <v>0.47849999999999998</v>
      </c>
      <c r="Z877">
        <v>0.75</v>
      </c>
    </row>
    <row r="878" spans="1:26" x14ac:dyDescent="0.2">
      <c r="A878" t="s">
        <v>76</v>
      </c>
      <c r="B878">
        <v>2018</v>
      </c>
      <c r="C878" t="str">
        <f t="shared" si="13"/>
        <v>HSG2018</v>
      </c>
      <c r="D878">
        <v>9.0569980438630166E-16</v>
      </c>
      <c r="E878">
        <v>7.9424578426940035E-2</v>
      </c>
      <c r="F878">
        <v>0.87549712098396393</v>
      </c>
      <c r="G878">
        <v>30.687604906103129</v>
      </c>
      <c r="H878">
        <v>0.85457509877485416</v>
      </c>
      <c r="I878">
        <v>0.75762555414529598</v>
      </c>
      <c r="J878">
        <v>-0.18957503322764899</v>
      </c>
      <c r="K878">
        <v>2.3792204982284581E-2</v>
      </c>
      <c r="L878">
        <v>0.43870505663368398</v>
      </c>
      <c r="M878">
        <v>17</v>
      </c>
      <c r="N878">
        <v>1</v>
      </c>
      <c r="O878">
        <v>0</v>
      </c>
      <c r="P878">
        <v>0.36059999999999998</v>
      </c>
      <c r="Q878">
        <v>0.126</v>
      </c>
      <c r="R878">
        <v>0</v>
      </c>
      <c r="S878">
        <v>0</v>
      </c>
      <c r="T878">
        <v>0.2432</v>
      </c>
      <c r="U878">
        <v>6</v>
      </c>
      <c r="V878">
        <v>0</v>
      </c>
      <c r="W878">
        <v>0</v>
      </c>
      <c r="X878">
        <v>0</v>
      </c>
      <c r="Y878">
        <v>0.5</v>
      </c>
      <c r="Z878">
        <v>0.83333333333333337</v>
      </c>
    </row>
    <row r="879" spans="1:26" x14ac:dyDescent="0.2">
      <c r="A879" t="s">
        <v>76</v>
      </c>
      <c r="B879">
        <v>2019</v>
      </c>
      <c r="C879" t="str">
        <f t="shared" si="13"/>
        <v>HSG2019</v>
      </c>
      <c r="D879">
        <v>1.217904771846441E-15</v>
      </c>
      <c r="E879">
        <v>6.6085025893386773E-2</v>
      </c>
      <c r="F879">
        <v>0.87443541944078851</v>
      </c>
      <c r="G879">
        <v>30.477408387542841</v>
      </c>
      <c r="H879">
        <v>0.83897573527237823</v>
      </c>
      <c r="I879">
        <v>0.68254618322875149</v>
      </c>
      <c r="J879">
        <v>3.0824713288507111E-2</v>
      </c>
      <c r="K879">
        <v>0.30115870178870202</v>
      </c>
      <c r="L879">
        <v>0.52116034291740132</v>
      </c>
      <c r="M879">
        <v>18</v>
      </c>
      <c r="N879">
        <v>1</v>
      </c>
      <c r="O879">
        <v>1</v>
      </c>
      <c r="P879">
        <v>0.36059999999999998</v>
      </c>
      <c r="Q879">
        <v>0.12820000000000001</v>
      </c>
      <c r="R879">
        <v>0</v>
      </c>
      <c r="S879">
        <v>0</v>
      </c>
      <c r="T879">
        <v>0.2432</v>
      </c>
      <c r="U879">
        <v>6</v>
      </c>
      <c r="V879">
        <v>0</v>
      </c>
      <c r="W879">
        <v>0</v>
      </c>
      <c r="X879">
        <v>0</v>
      </c>
      <c r="Y879">
        <v>0.51</v>
      </c>
      <c r="Z879">
        <v>0.83333333333333337</v>
      </c>
    </row>
    <row r="880" spans="1:26" x14ac:dyDescent="0.2">
      <c r="A880" t="s">
        <v>76</v>
      </c>
      <c r="B880">
        <v>2020</v>
      </c>
      <c r="C880" t="str">
        <f t="shared" si="13"/>
        <v>HSG2020</v>
      </c>
      <c r="D880">
        <v>3.656995049545397E-15</v>
      </c>
      <c r="E880">
        <v>0.17494458554653661</v>
      </c>
      <c r="F880">
        <v>1.1830586880502121</v>
      </c>
      <c r="G880">
        <v>30.50776756191426</v>
      </c>
      <c r="H880">
        <v>1.0034284127851281</v>
      </c>
      <c r="I880">
        <v>0.62882478056979152</v>
      </c>
      <c r="J880">
        <v>0.49906616840689871</v>
      </c>
      <c r="K880">
        <v>0.1190621239210108</v>
      </c>
      <c r="L880">
        <v>0.4477559019870529</v>
      </c>
      <c r="M880">
        <v>19</v>
      </c>
      <c r="N880">
        <v>1</v>
      </c>
      <c r="O880">
        <v>1</v>
      </c>
      <c r="P880">
        <v>0.26419999999999999</v>
      </c>
      <c r="Q880">
        <v>0.17749999999999999</v>
      </c>
      <c r="R880">
        <v>0</v>
      </c>
      <c r="S880">
        <v>0</v>
      </c>
      <c r="T880">
        <v>9.6999999999999989E-2</v>
      </c>
      <c r="U880">
        <v>6</v>
      </c>
      <c r="V880">
        <v>0</v>
      </c>
      <c r="W880">
        <v>0</v>
      </c>
      <c r="X880">
        <v>0</v>
      </c>
      <c r="Y880">
        <v>0.51429999999999998</v>
      </c>
      <c r="Z880">
        <v>0.83333333333333337</v>
      </c>
    </row>
    <row r="881" spans="1:26" x14ac:dyDescent="0.2">
      <c r="A881" t="s">
        <v>76</v>
      </c>
      <c r="B881">
        <v>2021</v>
      </c>
      <c r="C881" t="str">
        <f t="shared" si="13"/>
        <v>HSG2021</v>
      </c>
      <c r="D881">
        <v>6.0880384138547094E-15</v>
      </c>
      <c r="E881">
        <v>0.39822527370938388</v>
      </c>
      <c r="F881">
        <v>1.28643851857948</v>
      </c>
      <c r="G881">
        <v>30.912609921759572</v>
      </c>
      <c r="H881">
        <v>1.297998904899422</v>
      </c>
      <c r="I881">
        <v>0.59306553386339933</v>
      </c>
      <c r="J881">
        <v>-0.36038049449748322</v>
      </c>
      <c r="K881">
        <v>5.633404737594909E-2</v>
      </c>
      <c r="L881">
        <v>0.26685442460921088</v>
      </c>
      <c r="M881">
        <v>20</v>
      </c>
      <c r="N881">
        <v>1</v>
      </c>
      <c r="O881">
        <v>0</v>
      </c>
      <c r="P881">
        <v>0.1709</v>
      </c>
      <c r="Q881">
        <v>0.1817</v>
      </c>
      <c r="R881">
        <v>0</v>
      </c>
      <c r="S881">
        <v>0</v>
      </c>
      <c r="T881">
        <v>0</v>
      </c>
      <c r="U881">
        <v>6</v>
      </c>
      <c r="V881">
        <v>0</v>
      </c>
      <c r="W881">
        <v>0</v>
      </c>
      <c r="X881">
        <v>0</v>
      </c>
      <c r="Y881">
        <v>0.51690000000000003</v>
      </c>
      <c r="Z881">
        <v>0.83333333333333337</v>
      </c>
    </row>
    <row r="882" spans="1:26" x14ac:dyDescent="0.2">
      <c r="A882" t="s">
        <v>76</v>
      </c>
      <c r="B882">
        <v>2022</v>
      </c>
      <c r="C882" t="str">
        <f t="shared" si="13"/>
        <v>HSG2022</v>
      </c>
      <c r="D882">
        <v>8.6702648008378083E-16</v>
      </c>
      <c r="E882">
        <v>2.3091715974375131E-2</v>
      </c>
      <c r="F882">
        <v>0.76646467826089637</v>
      </c>
      <c r="G882">
        <v>30.465728119680161</v>
      </c>
      <c r="H882">
        <v>1.6366594322757151</v>
      </c>
      <c r="I882">
        <v>0.36074554395906971</v>
      </c>
      <c r="J882">
        <v>1.9963950001627321E-2</v>
      </c>
      <c r="K882">
        <v>0.1675519632644282</v>
      </c>
      <c r="L882">
        <v>0.37345073771758158</v>
      </c>
      <c r="M882">
        <v>21</v>
      </c>
      <c r="N882">
        <v>1</v>
      </c>
      <c r="O882">
        <v>0</v>
      </c>
      <c r="P882">
        <v>0.17019999999999999</v>
      </c>
      <c r="Q882">
        <v>0.18210000000000001</v>
      </c>
      <c r="R882">
        <v>0</v>
      </c>
      <c r="S882">
        <v>0</v>
      </c>
      <c r="T882">
        <v>0</v>
      </c>
      <c r="U882">
        <v>6</v>
      </c>
      <c r="V882">
        <v>0</v>
      </c>
      <c r="W882">
        <v>0</v>
      </c>
      <c r="X882">
        <v>0</v>
      </c>
      <c r="Y882">
        <v>0.52600000000000002</v>
      </c>
      <c r="Z882">
        <v>0.83333333333333337</v>
      </c>
    </row>
    <row r="883" spans="1:26" x14ac:dyDescent="0.2">
      <c r="A883" t="s">
        <v>76</v>
      </c>
      <c r="B883">
        <v>2023</v>
      </c>
      <c r="C883" t="str">
        <f t="shared" si="13"/>
        <v>HSG2023</v>
      </c>
      <c r="D883">
        <v>8643130581318.2695</v>
      </c>
      <c r="E883">
        <v>2.0834725139579052E-3</v>
      </c>
      <c r="F883">
        <v>0.86034204989672902</v>
      </c>
      <c r="G883">
        <v>30.485495403216099</v>
      </c>
      <c r="H883">
        <v>1.716398423204109</v>
      </c>
      <c r="I883">
        <v>0.16909259093257409</v>
      </c>
      <c r="J883">
        <v>0.12647061646230839</v>
      </c>
      <c r="K883">
        <v>0.1076090626490496</v>
      </c>
      <c r="L883">
        <v>0.30883959782310572</v>
      </c>
      <c r="M883">
        <v>22</v>
      </c>
      <c r="N883">
        <v>0</v>
      </c>
      <c r="O883">
        <v>0</v>
      </c>
      <c r="P883">
        <v>0.17019999999999999</v>
      </c>
      <c r="Q883">
        <v>0.18210000000000001</v>
      </c>
      <c r="R883">
        <v>0</v>
      </c>
      <c r="S883">
        <v>0</v>
      </c>
      <c r="T883">
        <v>0</v>
      </c>
      <c r="U883">
        <v>6</v>
      </c>
      <c r="V883">
        <v>0</v>
      </c>
      <c r="W883">
        <v>0</v>
      </c>
      <c r="X883">
        <v>0</v>
      </c>
      <c r="Y883">
        <v>0.52600000000000002</v>
      </c>
      <c r="Z883">
        <v>0.83333333333333337</v>
      </c>
    </row>
    <row r="884" spans="1:26" x14ac:dyDescent="0.2">
      <c r="A884" t="s">
        <v>77</v>
      </c>
      <c r="B884">
        <v>2012</v>
      </c>
      <c r="C884" t="str">
        <f t="shared" si="13"/>
        <v>HT12012</v>
      </c>
      <c r="D884">
        <v>5.2092925251319371E-17</v>
      </c>
      <c r="E884">
        <v>4.8972012250330836E-3</v>
      </c>
      <c r="F884">
        <v>0.91932653142201659</v>
      </c>
      <c r="G884">
        <v>30.219873193189951</v>
      </c>
      <c r="H884" t="e">
        <v>#N/A</v>
      </c>
      <c r="I884">
        <v>0.85837009369029793</v>
      </c>
      <c r="J884">
        <v>3.038026706329355E-2</v>
      </c>
      <c r="K884">
        <v>5.9939652593046039E-2</v>
      </c>
      <c r="L884">
        <v>0.85349744235419511</v>
      </c>
      <c r="M884">
        <v>5</v>
      </c>
      <c r="N884">
        <v>1</v>
      </c>
      <c r="O884">
        <v>0</v>
      </c>
      <c r="P884">
        <v>0.67379999999999995</v>
      </c>
      <c r="Q884">
        <v>3.8E-3</v>
      </c>
      <c r="R884">
        <v>0</v>
      </c>
      <c r="S884">
        <v>0.67379999999999995</v>
      </c>
      <c r="T884">
        <v>0.67379999999999995</v>
      </c>
      <c r="U884">
        <v>9</v>
      </c>
      <c r="V884">
        <v>0</v>
      </c>
      <c r="W884">
        <v>0</v>
      </c>
      <c r="X884">
        <v>0</v>
      </c>
      <c r="Y884">
        <v>0.46279999999999999</v>
      </c>
      <c r="Z884">
        <v>1</v>
      </c>
    </row>
    <row r="885" spans="1:26" x14ac:dyDescent="0.2">
      <c r="A885" t="s">
        <v>77</v>
      </c>
      <c r="B885">
        <v>2013</v>
      </c>
      <c r="C885" t="str">
        <f t="shared" si="13"/>
        <v>HT12013</v>
      </c>
      <c r="D885">
        <v>3.7164332583929351E-17</v>
      </c>
      <c r="E885">
        <v>2.001056890061993E-3</v>
      </c>
      <c r="F885">
        <v>0.83176961852020015</v>
      </c>
      <c r="G885">
        <v>30.205159369275481</v>
      </c>
      <c r="H885">
        <v>0.40834613506913098</v>
      </c>
      <c r="I885">
        <v>0.75633062957353925</v>
      </c>
      <c r="J885">
        <v>-1.260569250620891E-2</v>
      </c>
      <c r="K885">
        <v>9.0262723208006324E-2</v>
      </c>
      <c r="L885">
        <v>0.83981899256578063</v>
      </c>
      <c r="M885">
        <v>6</v>
      </c>
      <c r="N885">
        <v>1</v>
      </c>
      <c r="O885">
        <v>0</v>
      </c>
      <c r="P885">
        <v>0.79700000000000004</v>
      </c>
      <c r="Q885">
        <v>2.3999999999999998E-3</v>
      </c>
      <c r="R885">
        <v>0</v>
      </c>
      <c r="S885">
        <v>0.79700000000000004</v>
      </c>
      <c r="T885">
        <v>0.79700000000000004</v>
      </c>
      <c r="U885">
        <v>9</v>
      </c>
      <c r="V885">
        <v>0</v>
      </c>
      <c r="W885">
        <v>0</v>
      </c>
      <c r="X885">
        <v>0</v>
      </c>
      <c r="Y885">
        <v>0.46779999999999999</v>
      </c>
      <c r="Z885">
        <v>1</v>
      </c>
    </row>
    <row r="886" spans="1:26" x14ac:dyDescent="0.2">
      <c r="A886" t="s">
        <v>77</v>
      </c>
      <c r="B886">
        <v>2014</v>
      </c>
      <c r="C886" t="str">
        <f t="shared" si="13"/>
        <v>HT12014</v>
      </c>
      <c r="D886">
        <v>1.9019347600963239E-15</v>
      </c>
      <c r="E886">
        <v>8.2102807262060026E-2</v>
      </c>
      <c r="F886">
        <v>1.1436089281148529</v>
      </c>
      <c r="G886">
        <v>30.16962495666958</v>
      </c>
      <c r="H886">
        <v>0.40306381552035098</v>
      </c>
      <c r="I886">
        <v>0.70668163957528241</v>
      </c>
      <c r="J886">
        <v>-3.6865701264049873E-2</v>
      </c>
      <c r="K886">
        <v>7.8608571655391132E-2</v>
      </c>
      <c r="L886">
        <v>0.83592820597796558</v>
      </c>
      <c r="M886">
        <v>7</v>
      </c>
      <c r="N886">
        <v>1</v>
      </c>
      <c r="O886">
        <v>0</v>
      </c>
      <c r="P886">
        <v>0.79700000000000004</v>
      </c>
      <c r="Q886">
        <v>2.8E-3</v>
      </c>
      <c r="R886">
        <v>0</v>
      </c>
      <c r="S886">
        <v>0.79700000000000004</v>
      </c>
      <c r="T886">
        <v>0.79700000000000004</v>
      </c>
      <c r="U886">
        <v>9</v>
      </c>
      <c r="V886">
        <v>0</v>
      </c>
      <c r="W886">
        <v>0</v>
      </c>
      <c r="X886">
        <v>0</v>
      </c>
      <c r="Y886">
        <v>0.47120000000000001</v>
      </c>
      <c r="Z886">
        <v>1</v>
      </c>
    </row>
    <row r="887" spans="1:26" x14ac:dyDescent="0.2">
      <c r="A887" t="s">
        <v>77</v>
      </c>
      <c r="B887">
        <v>2015</v>
      </c>
      <c r="C887" t="str">
        <f t="shared" si="13"/>
        <v>HT12015</v>
      </c>
      <c r="D887">
        <v>5.6414461587394611E-15</v>
      </c>
      <c r="E887">
        <v>0.1802127931141409</v>
      </c>
      <c r="F887">
        <v>1.3355734068653979</v>
      </c>
      <c r="G887">
        <v>30.114884477508539</v>
      </c>
      <c r="H887">
        <v>0.44878001241576682</v>
      </c>
      <c r="I887">
        <v>0.6247393888357794</v>
      </c>
      <c r="J887">
        <v>-5.3269187550708433E-2</v>
      </c>
      <c r="K887">
        <v>0.1211199688110173</v>
      </c>
      <c r="L887">
        <v>0.84721666397276618</v>
      </c>
      <c r="M887">
        <v>8</v>
      </c>
      <c r="N887">
        <v>1</v>
      </c>
      <c r="O887">
        <v>0</v>
      </c>
      <c r="P887">
        <v>0.79700000000000004</v>
      </c>
      <c r="Q887">
        <v>2.8E-3</v>
      </c>
      <c r="R887">
        <v>0</v>
      </c>
      <c r="S887">
        <v>0.79700000000000004</v>
      </c>
      <c r="T887">
        <v>0.79700000000000004</v>
      </c>
      <c r="U887">
        <v>9</v>
      </c>
      <c r="V887">
        <v>0</v>
      </c>
      <c r="W887">
        <v>0</v>
      </c>
      <c r="X887">
        <v>0</v>
      </c>
      <c r="Y887">
        <v>0.4879</v>
      </c>
      <c r="Z887">
        <v>1</v>
      </c>
    </row>
    <row r="888" spans="1:26" x14ac:dyDescent="0.2">
      <c r="A888" t="s">
        <v>77</v>
      </c>
      <c r="B888">
        <v>2016</v>
      </c>
      <c r="C888" t="str">
        <f t="shared" si="13"/>
        <v>HT12016</v>
      </c>
      <c r="D888">
        <v>5.8303359374913023E-15</v>
      </c>
      <c r="E888">
        <v>0.15575644695257879</v>
      </c>
      <c r="F888">
        <v>1.2230067967652569</v>
      </c>
      <c r="G888">
        <v>30.09743630679062</v>
      </c>
      <c r="H888">
        <v>0.45227575646313772</v>
      </c>
      <c r="I888">
        <v>0.55904115857342229</v>
      </c>
      <c r="J888">
        <v>-1.7296832855155261E-2</v>
      </c>
      <c r="K888">
        <v>8.7696254278053651E-2</v>
      </c>
      <c r="L888">
        <v>0.81780289885136981</v>
      </c>
      <c r="M888">
        <v>9</v>
      </c>
      <c r="N888">
        <v>1</v>
      </c>
      <c r="O888">
        <v>0</v>
      </c>
      <c r="P888">
        <v>0.79700000000000004</v>
      </c>
      <c r="Q888">
        <v>1.9E-3</v>
      </c>
      <c r="R888">
        <v>0</v>
      </c>
      <c r="S888">
        <v>0.79700000000000004</v>
      </c>
      <c r="T888">
        <v>0.79700000000000004</v>
      </c>
      <c r="U888">
        <v>9</v>
      </c>
      <c r="V888">
        <v>0</v>
      </c>
      <c r="W888">
        <v>0</v>
      </c>
      <c r="X888">
        <v>0</v>
      </c>
      <c r="Y888">
        <v>0.48559999999999998</v>
      </c>
      <c r="Z888">
        <v>1</v>
      </c>
    </row>
    <row r="889" spans="1:26" x14ac:dyDescent="0.2">
      <c r="A889" t="s">
        <v>77</v>
      </c>
      <c r="B889">
        <v>2017</v>
      </c>
      <c r="C889" t="str">
        <f t="shared" si="13"/>
        <v>HT12017</v>
      </c>
      <c r="D889">
        <v>3.9584153310669929E-15</v>
      </c>
      <c r="E889">
        <v>9.3642272627888254E-2</v>
      </c>
      <c r="F889">
        <v>1.0671355502654449</v>
      </c>
      <c r="G889">
        <v>30.036124493059852</v>
      </c>
      <c r="H889">
        <v>0.57427680932533653</v>
      </c>
      <c r="I889">
        <v>0.53164782659603271</v>
      </c>
      <c r="J889">
        <v>-5.9470076096045051E-2</v>
      </c>
      <c r="K889">
        <v>8.4849426740033498E-2</v>
      </c>
      <c r="L889">
        <v>0.81219084355957727</v>
      </c>
      <c r="M889">
        <v>10</v>
      </c>
      <c r="N889">
        <v>1</v>
      </c>
      <c r="O889">
        <v>0</v>
      </c>
      <c r="P889">
        <v>0.79700000000000004</v>
      </c>
      <c r="Q889">
        <v>1.9E-3</v>
      </c>
      <c r="R889">
        <v>0</v>
      </c>
      <c r="S889">
        <v>0.79700000000000004</v>
      </c>
      <c r="T889">
        <v>0.79700000000000004</v>
      </c>
      <c r="U889">
        <v>9</v>
      </c>
      <c r="V889">
        <v>0</v>
      </c>
      <c r="W889">
        <v>0</v>
      </c>
      <c r="X889">
        <v>0</v>
      </c>
      <c r="Y889">
        <v>0.49559999999999998</v>
      </c>
      <c r="Z889">
        <v>1</v>
      </c>
    </row>
    <row r="890" spans="1:26" x14ac:dyDescent="0.2">
      <c r="A890" t="s">
        <v>77</v>
      </c>
      <c r="B890">
        <v>2018</v>
      </c>
      <c r="C890" t="str">
        <f t="shared" si="13"/>
        <v>HT12018</v>
      </c>
      <c r="D890">
        <v>5.6031894064688373E-15</v>
      </c>
      <c r="E890">
        <v>0.122587697186283</v>
      </c>
      <c r="F890">
        <v>1.003639935387747</v>
      </c>
      <c r="G890">
        <v>29.995138746700551</v>
      </c>
      <c r="H890">
        <v>0.53041698522320613</v>
      </c>
      <c r="I890">
        <v>0.51391562838070171</v>
      </c>
      <c r="J890">
        <v>-4.015718889514841E-2</v>
      </c>
      <c r="K890">
        <v>0.1756066472672789</v>
      </c>
      <c r="L890">
        <v>0.78649881501521712</v>
      </c>
      <c r="M890">
        <v>11</v>
      </c>
      <c r="N890">
        <v>1</v>
      </c>
      <c r="O890">
        <v>0</v>
      </c>
      <c r="P890">
        <v>0.79700000000000004</v>
      </c>
      <c r="Q890">
        <v>1.1000000000000001E-3</v>
      </c>
      <c r="R890">
        <v>0</v>
      </c>
      <c r="S890">
        <v>0.79700000000000004</v>
      </c>
      <c r="T890">
        <v>0.79700000000000004</v>
      </c>
      <c r="U890">
        <v>6</v>
      </c>
      <c r="V890">
        <v>0</v>
      </c>
      <c r="W890">
        <v>0.1666666666666666</v>
      </c>
      <c r="X890">
        <v>0</v>
      </c>
      <c r="Y890">
        <v>0.48699999999999999</v>
      </c>
      <c r="Z890">
        <v>1</v>
      </c>
    </row>
    <row r="891" spans="1:26" x14ac:dyDescent="0.2">
      <c r="A891" t="s">
        <v>77</v>
      </c>
      <c r="B891">
        <v>2019</v>
      </c>
      <c r="C891" t="str">
        <f t="shared" si="13"/>
        <v>HT12019</v>
      </c>
      <c r="D891">
        <v>6.9964835476522062E-15</v>
      </c>
      <c r="E891">
        <v>0.13805607858508701</v>
      </c>
      <c r="F891">
        <v>1.032997266291265</v>
      </c>
      <c r="G891">
        <v>29.962054170137279</v>
      </c>
      <c r="H891">
        <v>0.51532253491756019</v>
      </c>
      <c r="I891">
        <v>0.47859033575106058</v>
      </c>
      <c r="J891">
        <v>-3.254326803676777E-2</v>
      </c>
      <c r="K891">
        <v>0.1185284231666144</v>
      </c>
      <c r="L891">
        <v>0.75177479392222601</v>
      </c>
      <c r="M891">
        <v>12</v>
      </c>
      <c r="N891">
        <v>1</v>
      </c>
      <c r="O891">
        <v>1</v>
      </c>
      <c r="P891">
        <v>0.79700000000000004</v>
      </c>
      <c r="Q891">
        <v>2.7900000000000001E-2</v>
      </c>
      <c r="R891">
        <v>0</v>
      </c>
      <c r="S891">
        <v>0.79700000000000004</v>
      </c>
      <c r="T891">
        <v>0.79700000000000004</v>
      </c>
      <c r="U891">
        <v>7</v>
      </c>
      <c r="V891">
        <v>0</v>
      </c>
      <c r="W891">
        <v>0.14285714285714279</v>
      </c>
      <c r="X891">
        <v>0</v>
      </c>
      <c r="Y891">
        <v>0.4642</v>
      </c>
      <c r="Z891">
        <v>1</v>
      </c>
    </row>
    <row r="892" spans="1:26" x14ac:dyDescent="0.2">
      <c r="A892" t="s">
        <v>77</v>
      </c>
      <c r="B892">
        <v>2020</v>
      </c>
      <c r="C892" t="str">
        <f t="shared" si="13"/>
        <v>HT12020</v>
      </c>
      <c r="D892">
        <v>6.0311555435811603E-15</v>
      </c>
      <c r="E892">
        <v>0.1127525729629502</v>
      </c>
      <c r="F892">
        <v>1.1260331886818169</v>
      </c>
      <c r="G892">
        <v>29.937651118901961</v>
      </c>
      <c r="H892">
        <v>0.50568799954485188</v>
      </c>
      <c r="I892">
        <v>0.4629301779064432</v>
      </c>
      <c r="J892">
        <v>-2.4107704115128529E-2</v>
      </c>
      <c r="K892">
        <v>0.12526739470934481</v>
      </c>
      <c r="L892">
        <v>0.71449637566257895</v>
      </c>
      <c r="M892">
        <v>13</v>
      </c>
      <c r="N892">
        <v>1</v>
      </c>
      <c r="O892">
        <v>1</v>
      </c>
      <c r="P892">
        <v>0.79700000000000004</v>
      </c>
      <c r="Q892">
        <v>2.7900000000000001E-2</v>
      </c>
      <c r="R892">
        <v>0</v>
      </c>
      <c r="S892">
        <v>0.79700000000000004</v>
      </c>
      <c r="T892">
        <v>0.79700000000000004</v>
      </c>
      <c r="U892">
        <v>7</v>
      </c>
      <c r="V892">
        <v>0</v>
      </c>
      <c r="W892">
        <v>0.14285714285714279</v>
      </c>
      <c r="X892">
        <v>0</v>
      </c>
      <c r="Y892">
        <v>0.48249999999999998</v>
      </c>
      <c r="Z892">
        <v>1</v>
      </c>
    </row>
    <row r="893" spans="1:26" x14ac:dyDescent="0.2">
      <c r="A893" t="s">
        <v>77</v>
      </c>
      <c r="B893">
        <v>2021</v>
      </c>
      <c r="C893" t="str">
        <f t="shared" si="13"/>
        <v>HT12021</v>
      </c>
      <c r="D893">
        <v>4.7096467075616618E-15</v>
      </c>
      <c r="E893">
        <v>7.1209628207095005E-2</v>
      </c>
      <c r="F893">
        <v>1.3726749379596961</v>
      </c>
      <c r="G893">
        <v>29.815030302359482</v>
      </c>
      <c r="H893">
        <v>0.50401698714656085</v>
      </c>
      <c r="I893">
        <v>0.41257456153412159</v>
      </c>
      <c r="J893">
        <v>-0.1152907537831328</v>
      </c>
      <c r="K893">
        <v>8.4193835865614575E-2</v>
      </c>
      <c r="L893">
        <v>0.7560175182746337</v>
      </c>
      <c r="M893">
        <v>14</v>
      </c>
      <c r="N893">
        <v>1</v>
      </c>
      <c r="O893">
        <v>0</v>
      </c>
      <c r="P893">
        <v>0.79700000000000004</v>
      </c>
      <c r="Q893">
        <v>2.8299999999999999E-2</v>
      </c>
      <c r="R893">
        <v>0</v>
      </c>
      <c r="S893">
        <v>0.79700000000000004</v>
      </c>
      <c r="T893">
        <v>0.79700000000000004</v>
      </c>
      <c r="U893">
        <v>7</v>
      </c>
      <c r="V893">
        <v>0</v>
      </c>
      <c r="W893">
        <v>0</v>
      </c>
      <c r="X893">
        <v>0</v>
      </c>
      <c r="Y893">
        <v>0.48749999999999999</v>
      </c>
      <c r="Z893">
        <v>1</v>
      </c>
    </row>
    <row r="894" spans="1:26" x14ac:dyDescent="0.2">
      <c r="A894" t="s">
        <v>77</v>
      </c>
      <c r="B894">
        <v>2022</v>
      </c>
      <c r="C894" t="str">
        <f t="shared" si="13"/>
        <v>HT12022</v>
      </c>
      <c r="D894">
        <v>2.9287912260513218E-15</v>
      </c>
      <c r="E894">
        <v>5.0456671063733742E-2</v>
      </c>
      <c r="F894">
        <v>0.87606185715831109</v>
      </c>
      <c r="G894">
        <v>29.870139916756539</v>
      </c>
      <c r="H894">
        <v>0.41878081563454128</v>
      </c>
      <c r="I894">
        <v>0.4552380568766532</v>
      </c>
      <c r="J894">
        <v>5.6524789037515573E-2</v>
      </c>
      <c r="K894">
        <v>6.3089365764948016E-2</v>
      </c>
      <c r="L894">
        <v>0.67835073633236576</v>
      </c>
      <c r="M894">
        <v>15</v>
      </c>
      <c r="N894">
        <v>1</v>
      </c>
      <c r="O894">
        <v>0</v>
      </c>
      <c r="P894">
        <v>0.79700000000000004</v>
      </c>
      <c r="Q894">
        <v>2.8000000000000001E-2</v>
      </c>
      <c r="R894">
        <v>0</v>
      </c>
      <c r="S894">
        <v>0.79700000000000004</v>
      </c>
      <c r="T894">
        <v>0.79700000000000004</v>
      </c>
      <c r="U894">
        <v>7</v>
      </c>
      <c r="V894">
        <v>0</v>
      </c>
      <c r="W894">
        <v>0</v>
      </c>
      <c r="X894">
        <v>0</v>
      </c>
      <c r="Y894">
        <v>0.4975</v>
      </c>
      <c r="Z894">
        <v>1</v>
      </c>
    </row>
    <row r="895" spans="1:26" x14ac:dyDescent="0.2">
      <c r="A895" t="s">
        <v>77</v>
      </c>
      <c r="B895">
        <v>2023</v>
      </c>
      <c r="C895" t="str">
        <f t="shared" si="13"/>
        <v>HT12023</v>
      </c>
      <c r="D895">
        <v>-25220752525224.789</v>
      </c>
      <c r="E895">
        <v>2.5497616103497831E-3</v>
      </c>
      <c r="F895">
        <v>0.71397182576105145</v>
      </c>
      <c r="G895">
        <v>29.785541138171912</v>
      </c>
      <c r="H895">
        <v>0.55763845994635719</v>
      </c>
      <c r="I895">
        <v>0.18298716780308269</v>
      </c>
      <c r="J895">
        <v>-8.1119114859445562E-2</v>
      </c>
      <c r="K895">
        <v>5.6465946656503167E-2</v>
      </c>
      <c r="L895">
        <v>0.69095155872187863</v>
      </c>
      <c r="M895">
        <v>16</v>
      </c>
      <c r="N895">
        <v>0</v>
      </c>
      <c r="O895">
        <v>0</v>
      </c>
      <c r="P895">
        <v>0.79700000000000004</v>
      </c>
      <c r="Q895">
        <v>2.8000000000000001E-2</v>
      </c>
      <c r="R895">
        <v>0</v>
      </c>
      <c r="S895">
        <v>0.79700000000000004</v>
      </c>
      <c r="T895">
        <v>0.79700000000000004</v>
      </c>
      <c r="U895">
        <v>7</v>
      </c>
      <c r="V895">
        <v>0</v>
      </c>
      <c r="W895">
        <v>0</v>
      </c>
      <c r="X895">
        <v>0</v>
      </c>
      <c r="Y895">
        <v>0.4975</v>
      </c>
      <c r="Z895">
        <v>1</v>
      </c>
    </row>
    <row r="896" spans="1:26" x14ac:dyDescent="0.2">
      <c r="A896" t="s">
        <v>78</v>
      </c>
      <c r="B896">
        <v>2015</v>
      </c>
      <c r="C896" t="str">
        <f t="shared" si="13"/>
        <v>HTG2015</v>
      </c>
      <c r="D896">
        <v>3.9473430569485297E-14</v>
      </c>
      <c r="E896">
        <v>0.2239151678017379</v>
      </c>
      <c r="F896">
        <v>0.92272623379906316</v>
      </c>
      <c r="G896">
        <v>27.9453616512602</v>
      </c>
      <c r="H896" t="e">
        <v>#N/A</v>
      </c>
      <c r="I896">
        <v>0.75859974834831845</v>
      </c>
      <c r="J896">
        <v>0</v>
      </c>
      <c r="K896">
        <v>0.1664839147422186</v>
      </c>
      <c r="L896">
        <v>0.39244440117074109</v>
      </c>
      <c r="M896">
        <v>22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5</v>
      </c>
      <c r="V896">
        <v>0</v>
      </c>
      <c r="W896">
        <v>0.2</v>
      </c>
      <c r="X896">
        <v>1</v>
      </c>
      <c r="Y896">
        <v>0.44</v>
      </c>
      <c r="Z896">
        <v>1</v>
      </c>
    </row>
    <row r="897" spans="1:26" x14ac:dyDescent="0.2">
      <c r="A897" t="s">
        <v>78</v>
      </c>
      <c r="B897">
        <v>2016</v>
      </c>
      <c r="C897" t="str">
        <f t="shared" si="13"/>
        <v>HTG2016</v>
      </c>
      <c r="D897">
        <v>1.9377833355375789E-14</v>
      </c>
      <c r="E897">
        <v>0.20054407202639629</v>
      </c>
      <c r="F897">
        <v>1.0115183470132549</v>
      </c>
      <c r="G897">
        <v>28.282014929893961</v>
      </c>
      <c r="H897">
        <v>1.028271489079527</v>
      </c>
      <c r="I897">
        <v>0.81472432297475372</v>
      </c>
      <c r="J897">
        <v>0.40025348176229431</v>
      </c>
      <c r="K897">
        <v>-1.543485371651105E-2</v>
      </c>
      <c r="L897">
        <v>0.4274199845051348</v>
      </c>
      <c r="M897">
        <v>23</v>
      </c>
      <c r="N897">
        <v>1</v>
      </c>
      <c r="O897">
        <v>0</v>
      </c>
      <c r="P897">
        <v>0.64959999999999996</v>
      </c>
      <c r="Q897">
        <v>0</v>
      </c>
      <c r="R897">
        <v>0</v>
      </c>
      <c r="S897">
        <v>0</v>
      </c>
      <c r="T897">
        <v>0.64959999999999996</v>
      </c>
      <c r="U897">
        <v>5</v>
      </c>
      <c r="V897">
        <v>0</v>
      </c>
      <c r="W897">
        <v>0.2</v>
      </c>
      <c r="X897">
        <v>1</v>
      </c>
      <c r="Y897">
        <v>0.44</v>
      </c>
      <c r="Z897">
        <v>1</v>
      </c>
    </row>
    <row r="898" spans="1:26" x14ac:dyDescent="0.2">
      <c r="A898" t="s">
        <v>78</v>
      </c>
      <c r="B898">
        <v>2017</v>
      </c>
      <c r="C898" t="str">
        <f t="shared" si="13"/>
        <v>HTG2017</v>
      </c>
      <c r="D898">
        <v>2.0637417714823181E-14</v>
      </c>
      <c r="E898">
        <v>0.18147356466148251</v>
      </c>
      <c r="F898">
        <v>0.98336539655821797</v>
      </c>
      <c r="G898">
        <v>28.304834954945161</v>
      </c>
      <c r="H898">
        <v>1.02111941725805</v>
      </c>
      <c r="I898">
        <v>0.77691230478986328</v>
      </c>
      <c r="J898">
        <v>2.308239377545962E-2</v>
      </c>
      <c r="K898">
        <v>8.5748122777363558E-2</v>
      </c>
      <c r="L898">
        <v>0.43108534575707741</v>
      </c>
      <c r="M898">
        <v>24</v>
      </c>
      <c r="N898">
        <v>1</v>
      </c>
      <c r="O898">
        <v>0</v>
      </c>
      <c r="P898">
        <v>0.64959999999999996</v>
      </c>
      <c r="Q898">
        <v>4.4699999999999997E-2</v>
      </c>
      <c r="R898">
        <v>0</v>
      </c>
      <c r="S898">
        <v>0</v>
      </c>
      <c r="T898">
        <v>0.64959999999999996</v>
      </c>
      <c r="U898">
        <v>5</v>
      </c>
      <c r="V898">
        <v>1</v>
      </c>
      <c r="W898">
        <v>0.2</v>
      </c>
      <c r="X898">
        <v>1</v>
      </c>
      <c r="Y898">
        <v>0.45079999999999998</v>
      </c>
      <c r="Z898">
        <v>1</v>
      </c>
    </row>
    <row r="899" spans="1:26" x14ac:dyDescent="0.2">
      <c r="A899" t="s">
        <v>78</v>
      </c>
      <c r="B899">
        <v>2018</v>
      </c>
      <c r="C899" t="str">
        <f t="shared" ref="C899:C962" si="14">A899&amp;B899</f>
        <v>HTG2018</v>
      </c>
      <c r="D899">
        <v>2.5299978145121431E-14</v>
      </c>
      <c r="E899">
        <v>0.2262603805039233</v>
      </c>
      <c r="F899">
        <v>1.030901689768063</v>
      </c>
      <c r="G899">
        <v>28.321205567808018</v>
      </c>
      <c r="H899">
        <v>1.0448916132749531</v>
      </c>
      <c r="I899">
        <v>0.7770256370374663</v>
      </c>
      <c r="J899">
        <v>1.6505345560469561E-2</v>
      </c>
      <c r="K899">
        <v>0.17523357986554941</v>
      </c>
      <c r="L899">
        <v>0.41485259304937783</v>
      </c>
      <c r="M899">
        <v>25</v>
      </c>
      <c r="N899">
        <v>1</v>
      </c>
      <c r="O899">
        <v>0</v>
      </c>
      <c r="P899">
        <v>0.64959999999999996</v>
      </c>
      <c r="Q899">
        <v>4.3299999999999998E-2</v>
      </c>
      <c r="R899">
        <v>0</v>
      </c>
      <c r="S899">
        <v>0</v>
      </c>
      <c r="T899">
        <v>0.64959999999999996</v>
      </c>
      <c r="U899">
        <v>5</v>
      </c>
      <c r="V899">
        <v>1</v>
      </c>
      <c r="W899">
        <v>0.2</v>
      </c>
      <c r="X899">
        <v>1</v>
      </c>
      <c r="Y899">
        <v>0.46079999999999999</v>
      </c>
      <c r="Z899">
        <v>1</v>
      </c>
    </row>
    <row r="900" spans="1:26" x14ac:dyDescent="0.2">
      <c r="A900" t="s">
        <v>78</v>
      </c>
      <c r="B900">
        <v>2019</v>
      </c>
      <c r="C900" t="str">
        <f t="shared" si="14"/>
        <v>HTG2019</v>
      </c>
      <c r="D900">
        <v>3.712987108931427E-14</v>
      </c>
      <c r="E900">
        <v>0.24229021971860931</v>
      </c>
      <c r="F900">
        <v>0.98225083494096987</v>
      </c>
      <c r="G900">
        <v>28.20341271724136</v>
      </c>
      <c r="H900">
        <v>1.0121426576921499</v>
      </c>
      <c r="I900">
        <v>0.72837229042746465</v>
      </c>
      <c r="J900">
        <v>-0.11111983543299089</v>
      </c>
      <c r="K900">
        <v>0.27069476987909541</v>
      </c>
      <c r="L900">
        <v>0.43816192985386798</v>
      </c>
      <c r="M900">
        <v>26</v>
      </c>
      <c r="N900">
        <v>1</v>
      </c>
      <c r="O900">
        <v>1</v>
      </c>
      <c r="P900">
        <v>0.64959999999999996</v>
      </c>
      <c r="Q900">
        <v>5.0299999999999997E-2</v>
      </c>
      <c r="R900">
        <v>0</v>
      </c>
      <c r="S900">
        <v>0</v>
      </c>
      <c r="T900">
        <v>0.64959999999999996</v>
      </c>
      <c r="U900">
        <v>5</v>
      </c>
      <c r="V900">
        <v>1</v>
      </c>
      <c r="W900">
        <v>0.2</v>
      </c>
      <c r="X900">
        <v>1</v>
      </c>
      <c r="Y900">
        <v>0.4708</v>
      </c>
      <c r="Z900">
        <v>1</v>
      </c>
    </row>
    <row r="901" spans="1:26" x14ac:dyDescent="0.2">
      <c r="A901" t="s">
        <v>78</v>
      </c>
      <c r="B901">
        <v>2020</v>
      </c>
      <c r="C901" t="str">
        <f t="shared" si="14"/>
        <v>HTG2020</v>
      </c>
      <c r="D901">
        <v>2.0294149012592469E-14</v>
      </c>
      <c r="E901">
        <v>0.1302093711030223</v>
      </c>
      <c r="F901">
        <v>0.96217542627639541</v>
      </c>
      <c r="G901">
        <v>28.191343722080539</v>
      </c>
      <c r="H901">
        <v>1.0398275821612391</v>
      </c>
      <c r="I901">
        <v>0.72705595746005236</v>
      </c>
      <c r="J901">
        <v>-1.1996456953077271E-2</v>
      </c>
      <c r="K901">
        <v>9.4544857064537607E-2</v>
      </c>
      <c r="L901">
        <v>0.42296419722307188</v>
      </c>
      <c r="M901">
        <v>27</v>
      </c>
      <c r="N901">
        <v>1</v>
      </c>
      <c r="O901">
        <v>1</v>
      </c>
      <c r="P901">
        <v>0.64959999999999996</v>
      </c>
      <c r="Q901">
        <v>6.0499999999999998E-2</v>
      </c>
      <c r="R901">
        <v>0</v>
      </c>
      <c r="S901">
        <v>0.64959999999999996</v>
      </c>
      <c r="T901">
        <v>0.64959999999999996</v>
      </c>
      <c r="U901">
        <v>5</v>
      </c>
      <c r="V901">
        <v>0</v>
      </c>
      <c r="W901">
        <v>0.2</v>
      </c>
      <c r="X901">
        <v>1</v>
      </c>
      <c r="Y901">
        <v>0.47499999999999998</v>
      </c>
      <c r="Z901">
        <v>1</v>
      </c>
    </row>
    <row r="902" spans="1:26" x14ac:dyDescent="0.2">
      <c r="A902" t="s">
        <v>78</v>
      </c>
      <c r="B902">
        <v>2021</v>
      </c>
      <c r="C902" t="str">
        <f t="shared" si="14"/>
        <v>HTG2021</v>
      </c>
      <c r="D902">
        <v>3.6766848785062569E-14</v>
      </c>
      <c r="E902">
        <v>0.30812566276268138</v>
      </c>
      <c r="F902">
        <v>1.054763656948128</v>
      </c>
      <c r="G902">
        <v>28.481498757849579</v>
      </c>
      <c r="H902">
        <v>1.0171421992258221</v>
      </c>
      <c r="I902">
        <v>0.72069012848690928</v>
      </c>
      <c r="J902">
        <v>0.33663469815091668</v>
      </c>
      <c r="K902">
        <v>8.0645741168283765E-3</v>
      </c>
      <c r="L902">
        <v>0.29278544523636463</v>
      </c>
      <c r="M902">
        <v>28</v>
      </c>
      <c r="N902">
        <v>1</v>
      </c>
      <c r="O902">
        <v>0</v>
      </c>
      <c r="P902">
        <v>0.61870000000000003</v>
      </c>
      <c r="Q902">
        <v>8.1600000000000006E-2</v>
      </c>
      <c r="R902">
        <v>0</v>
      </c>
      <c r="S902">
        <v>0.61870000000000003</v>
      </c>
      <c r="T902">
        <v>0.61870000000000003</v>
      </c>
      <c r="U902">
        <v>6</v>
      </c>
      <c r="V902">
        <v>0</v>
      </c>
      <c r="W902">
        <v>0.1666666666666666</v>
      </c>
      <c r="X902">
        <v>1</v>
      </c>
      <c r="Y902">
        <v>0.48130000000000001</v>
      </c>
      <c r="Z902">
        <v>1</v>
      </c>
    </row>
    <row r="903" spans="1:26" x14ac:dyDescent="0.2">
      <c r="A903" t="s">
        <v>78</v>
      </c>
      <c r="B903">
        <v>2022</v>
      </c>
      <c r="C903" t="str">
        <f t="shared" si="14"/>
        <v>HTG2022</v>
      </c>
      <c r="D903">
        <v>4.6747601260160267E-14</v>
      </c>
      <c r="E903">
        <v>0.30306737405430351</v>
      </c>
      <c r="F903">
        <v>0.97392615945797456</v>
      </c>
      <c r="G903">
        <v>28.504263438029181</v>
      </c>
      <c r="H903">
        <v>1.1678314838988</v>
      </c>
      <c r="I903">
        <v>0.63062757823184767</v>
      </c>
      <c r="J903">
        <v>2.3025772978596541E-2</v>
      </c>
      <c r="K903">
        <v>8.8972864150364928E-2</v>
      </c>
      <c r="L903">
        <v>0.29824340069302863</v>
      </c>
      <c r="M903">
        <v>29</v>
      </c>
      <c r="N903">
        <v>1</v>
      </c>
      <c r="O903">
        <v>0</v>
      </c>
      <c r="P903">
        <v>0.61870000000000003</v>
      </c>
      <c r="Q903">
        <v>7.0000000000000007E-2</v>
      </c>
      <c r="R903">
        <v>0</v>
      </c>
      <c r="S903">
        <v>0.61870000000000003</v>
      </c>
      <c r="T903">
        <v>0.61870000000000003</v>
      </c>
      <c r="U903">
        <v>5</v>
      </c>
      <c r="V903">
        <v>0</v>
      </c>
      <c r="W903">
        <v>0.2</v>
      </c>
      <c r="X903">
        <v>1</v>
      </c>
      <c r="Y903">
        <v>0.49149999999999999</v>
      </c>
      <c r="Z903">
        <v>1</v>
      </c>
    </row>
    <row r="904" spans="1:26" x14ac:dyDescent="0.2">
      <c r="A904" t="s">
        <v>78</v>
      </c>
      <c r="B904">
        <v>2023</v>
      </c>
      <c r="C904" t="str">
        <f t="shared" si="14"/>
        <v>HTG2023</v>
      </c>
      <c r="D904">
        <v>3598053745943.3091</v>
      </c>
      <c r="E904">
        <v>0.103673186081812</v>
      </c>
      <c r="F904">
        <v>1.186833516462209</v>
      </c>
      <c r="G904">
        <v>28.550395386991081</v>
      </c>
      <c r="H904">
        <v>1.296216897063968</v>
      </c>
      <c r="I904">
        <v>0.34659904326954</v>
      </c>
      <c r="J904">
        <v>4.7212580453954267E-2</v>
      </c>
      <c r="K904">
        <v>0.15174563581743231</v>
      </c>
      <c r="L904">
        <v>0.26510206426991639</v>
      </c>
      <c r="M904">
        <v>30</v>
      </c>
      <c r="N904">
        <v>0</v>
      </c>
      <c r="O904">
        <v>0</v>
      </c>
      <c r="P904">
        <v>0.61870000000000003</v>
      </c>
      <c r="Q904">
        <v>7.0000000000000007E-2</v>
      </c>
      <c r="R904">
        <v>0</v>
      </c>
      <c r="S904">
        <v>0.61870000000000003</v>
      </c>
      <c r="T904">
        <v>0.61870000000000003</v>
      </c>
      <c r="U904">
        <v>5</v>
      </c>
      <c r="V904">
        <v>0</v>
      </c>
      <c r="W904">
        <v>0.2</v>
      </c>
      <c r="X904">
        <v>1</v>
      </c>
      <c r="Y904">
        <v>0.49149999999999999</v>
      </c>
      <c r="Z904">
        <v>1</v>
      </c>
    </row>
    <row r="905" spans="1:26" x14ac:dyDescent="0.2">
      <c r="A905" t="s">
        <v>79</v>
      </c>
      <c r="B905">
        <v>2012</v>
      </c>
      <c r="C905" t="str">
        <f t="shared" si="14"/>
        <v>HVT2012</v>
      </c>
      <c r="D905">
        <v>3.2038450600875459E-13</v>
      </c>
      <c r="E905">
        <v>0.1511675799714419</v>
      </c>
      <c r="F905">
        <v>0.83341444571335577</v>
      </c>
      <c r="G905">
        <v>26.12058505237275</v>
      </c>
      <c r="H905">
        <v>0.72982068003889455</v>
      </c>
      <c r="I905">
        <v>0.53200760368280609</v>
      </c>
      <c r="J905">
        <v>1.470056184433277E-2</v>
      </c>
      <c r="K905">
        <v>8.5382287452289388E-2</v>
      </c>
      <c r="L905">
        <v>0.639357607754374</v>
      </c>
      <c r="M905">
        <v>6</v>
      </c>
      <c r="N905">
        <v>0</v>
      </c>
      <c r="O905">
        <v>0</v>
      </c>
      <c r="P905">
        <v>0.68489999999999995</v>
      </c>
      <c r="Q905">
        <v>2.5100000000000001E-2</v>
      </c>
      <c r="R905">
        <v>0</v>
      </c>
      <c r="S905">
        <v>0.68489999999999995</v>
      </c>
      <c r="T905">
        <v>0.68489999999999995</v>
      </c>
      <c r="U905">
        <v>5</v>
      </c>
      <c r="V905">
        <v>0</v>
      </c>
      <c r="W905">
        <v>0</v>
      </c>
      <c r="X905">
        <v>0</v>
      </c>
      <c r="Y905">
        <v>0.498</v>
      </c>
      <c r="Z905">
        <v>1</v>
      </c>
    </row>
    <row r="906" spans="1:26" x14ac:dyDescent="0.2">
      <c r="A906" t="s">
        <v>79</v>
      </c>
      <c r="B906">
        <v>2013</v>
      </c>
      <c r="C906" t="str">
        <f t="shared" si="14"/>
        <v>HVT2013</v>
      </c>
      <c r="D906">
        <v>4.2474224457597932E-13</v>
      </c>
      <c r="E906">
        <v>0.17229474885285309</v>
      </c>
      <c r="F906">
        <v>1.014924076877094</v>
      </c>
      <c r="G906">
        <v>26.099726752424051</v>
      </c>
      <c r="H906">
        <v>0.73826206383416115</v>
      </c>
      <c r="I906">
        <v>0.46688521856552878</v>
      </c>
      <c r="J906">
        <v>-2.0642270221748471E-2</v>
      </c>
      <c r="K906">
        <v>0.25644769362792119</v>
      </c>
      <c r="L906">
        <v>0.6048086304760546</v>
      </c>
      <c r="M906">
        <v>7</v>
      </c>
      <c r="N906">
        <v>0</v>
      </c>
      <c r="O906">
        <v>0</v>
      </c>
      <c r="P906">
        <v>0.68489999999999995</v>
      </c>
      <c r="Q906">
        <v>1.55E-2</v>
      </c>
      <c r="R906">
        <v>0</v>
      </c>
      <c r="S906">
        <v>0.68489999999999995</v>
      </c>
      <c r="T906">
        <v>0.68489999999999995</v>
      </c>
      <c r="U906">
        <v>5</v>
      </c>
      <c r="V906">
        <v>1</v>
      </c>
      <c r="W906">
        <v>0</v>
      </c>
      <c r="X906">
        <v>0</v>
      </c>
      <c r="Y906">
        <v>0.48670000000000002</v>
      </c>
      <c r="Z906">
        <v>1</v>
      </c>
    </row>
    <row r="907" spans="1:26" x14ac:dyDescent="0.2">
      <c r="A907" t="s">
        <v>79</v>
      </c>
      <c r="B907">
        <v>2014</v>
      </c>
      <c r="C907" t="str">
        <f t="shared" si="14"/>
        <v>HVT2014</v>
      </c>
      <c r="D907">
        <v>1.662899044449197E-13</v>
      </c>
      <c r="E907">
        <v>0.18245588385506681</v>
      </c>
      <c r="F907">
        <v>1.049404971854577</v>
      </c>
      <c r="G907">
        <v>26.65615897838445</v>
      </c>
      <c r="H907">
        <v>0.89179901550561314</v>
      </c>
      <c r="I907">
        <v>0.65618029472388262</v>
      </c>
      <c r="J907">
        <v>0.74443762532388535</v>
      </c>
      <c r="K907">
        <v>5.7250778673708223E-2</v>
      </c>
      <c r="L907">
        <v>0.67205383796713036</v>
      </c>
      <c r="M907">
        <v>8</v>
      </c>
      <c r="N907">
        <v>0</v>
      </c>
      <c r="O907">
        <v>0</v>
      </c>
      <c r="P907">
        <v>0.68489999999999995</v>
      </c>
      <c r="Q907">
        <v>1.55E-2</v>
      </c>
      <c r="R907">
        <v>0</v>
      </c>
      <c r="S907">
        <v>0.68489999999999995</v>
      </c>
      <c r="T907">
        <v>0.68489999999999995</v>
      </c>
      <c r="U907">
        <v>4</v>
      </c>
      <c r="V907">
        <v>0</v>
      </c>
      <c r="W907">
        <v>0</v>
      </c>
      <c r="X907">
        <v>0</v>
      </c>
      <c r="Y907">
        <v>0.4738</v>
      </c>
      <c r="Z907">
        <v>1</v>
      </c>
    </row>
    <row r="908" spans="1:26" x14ac:dyDescent="0.2">
      <c r="A908" t="s">
        <v>79</v>
      </c>
      <c r="B908">
        <v>2015</v>
      </c>
      <c r="C908" t="str">
        <f t="shared" si="14"/>
        <v>HVT2015</v>
      </c>
      <c r="D908">
        <v>8.9797124907143448E-14</v>
      </c>
      <c r="E908">
        <v>0.13648992727588921</v>
      </c>
      <c r="F908">
        <v>1.019046573704254</v>
      </c>
      <c r="G908">
        <v>26.833481398576922</v>
      </c>
      <c r="H908">
        <v>0.80127622377368257</v>
      </c>
      <c r="I908">
        <v>0.70365696043399983</v>
      </c>
      <c r="J908">
        <v>0.19401600594242691</v>
      </c>
      <c r="K908">
        <v>6.9316412521856982E-2</v>
      </c>
      <c r="L908">
        <v>0.78581292619805965</v>
      </c>
      <c r="M908">
        <v>9</v>
      </c>
      <c r="N908">
        <v>0</v>
      </c>
      <c r="O908">
        <v>0</v>
      </c>
      <c r="P908">
        <v>0.68489999999999995</v>
      </c>
      <c r="Q908">
        <v>2.18E-2</v>
      </c>
      <c r="R908">
        <v>0</v>
      </c>
      <c r="S908">
        <v>0.68489999999999995</v>
      </c>
      <c r="T908">
        <v>0.68489999999999995</v>
      </c>
      <c r="U908">
        <v>5</v>
      </c>
      <c r="V908">
        <v>0</v>
      </c>
      <c r="W908">
        <v>0</v>
      </c>
      <c r="X908">
        <v>0</v>
      </c>
      <c r="Y908">
        <v>0.46439999999999998</v>
      </c>
      <c r="Z908">
        <v>1</v>
      </c>
    </row>
    <row r="909" spans="1:26" x14ac:dyDescent="0.2">
      <c r="A909" t="s">
        <v>79</v>
      </c>
      <c r="B909">
        <v>2016</v>
      </c>
      <c r="C909" t="str">
        <f t="shared" si="14"/>
        <v>HVT2016</v>
      </c>
      <c r="D909">
        <v>1.4666421689719849E-13</v>
      </c>
      <c r="E909">
        <v>0.21309940833896521</v>
      </c>
      <c r="F909">
        <v>1.177299200247419</v>
      </c>
      <c r="G909">
        <v>26.849278909242919</v>
      </c>
      <c r="H909">
        <v>0.51208793943967501</v>
      </c>
      <c r="I909">
        <v>0.68505436243459861</v>
      </c>
      <c r="J909">
        <v>1.5922951015532542E-2</v>
      </c>
      <c r="K909">
        <v>0.15997644331789551</v>
      </c>
      <c r="L909">
        <v>0.72204531770670988</v>
      </c>
      <c r="M909">
        <v>10</v>
      </c>
      <c r="N909">
        <v>0</v>
      </c>
      <c r="O909">
        <v>0</v>
      </c>
      <c r="P909">
        <v>0.68489999999999995</v>
      </c>
      <c r="Q909">
        <v>2.18E-2</v>
      </c>
      <c r="R909">
        <v>0</v>
      </c>
      <c r="S909">
        <v>0.68489999999999995</v>
      </c>
      <c r="T909">
        <v>0.68489999999999995</v>
      </c>
      <c r="U909">
        <v>5</v>
      </c>
      <c r="V909">
        <v>0</v>
      </c>
      <c r="W909">
        <v>0</v>
      </c>
      <c r="X909">
        <v>0</v>
      </c>
      <c r="Y909">
        <v>0.45800000000000002</v>
      </c>
      <c r="Z909">
        <v>1</v>
      </c>
    </row>
    <row r="910" spans="1:26" x14ac:dyDescent="0.2">
      <c r="A910" t="s">
        <v>79</v>
      </c>
      <c r="B910">
        <v>2017</v>
      </c>
      <c r="C910" t="str">
        <f t="shared" si="14"/>
        <v>HVT2017</v>
      </c>
      <c r="D910">
        <v>3.1357429490033752E-13</v>
      </c>
      <c r="E910">
        <v>0.38872800296258309</v>
      </c>
      <c r="F910">
        <v>1.3775224346755679</v>
      </c>
      <c r="G910">
        <v>26.888928933634951</v>
      </c>
      <c r="H910">
        <v>0.59857270301335341</v>
      </c>
      <c r="I910">
        <v>0.6159320323017019</v>
      </c>
      <c r="J910">
        <v>4.0446579542257943E-2</v>
      </c>
      <c r="K910">
        <v>0.29635053148097901</v>
      </c>
      <c r="L910">
        <v>0.55687953523194023</v>
      </c>
      <c r="M910">
        <v>11</v>
      </c>
      <c r="N910">
        <v>0</v>
      </c>
      <c r="O910">
        <v>0</v>
      </c>
      <c r="P910">
        <v>0.68500000000000005</v>
      </c>
      <c r="Q910">
        <v>2.18E-2</v>
      </c>
      <c r="R910">
        <v>0</v>
      </c>
      <c r="S910">
        <v>0.68500000000000005</v>
      </c>
      <c r="T910">
        <v>0.68500000000000005</v>
      </c>
      <c r="U910">
        <v>5</v>
      </c>
      <c r="V910">
        <v>0</v>
      </c>
      <c r="W910">
        <v>0</v>
      </c>
      <c r="X910">
        <v>0</v>
      </c>
      <c r="Y910">
        <v>0.46800000000000003</v>
      </c>
      <c r="Z910">
        <v>1</v>
      </c>
    </row>
    <row r="911" spans="1:26" x14ac:dyDescent="0.2">
      <c r="A911" t="s">
        <v>79</v>
      </c>
      <c r="B911">
        <v>2018</v>
      </c>
      <c r="C911" t="str">
        <f t="shared" si="14"/>
        <v>HVT2018</v>
      </c>
      <c r="D911">
        <v>4.6658121585177463E-13</v>
      </c>
      <c r="E911">
        <v>0.51097967510019349</v>
      </c>
      <c r="F911">
        <v>1.7604127762721371</v>
      </c>
      <c r="G911">
        <v>26.877692902376349</v>
      </c>
      <c r="H911">
        <v>0.97075259386330237</v>
      </c>
      <c r="I911">
        <v>0.57011000428005887</v>
      </c>
      <c r="J911">
        <v>1.949695364290727E-2</v>
      </c>
      <c r="K911">
        <v>0.31386225986148658</v>
      </c>
      <c r="L911">
        <v>0.46109473859224032</v>
      </c>
      <c r="M911">
        <v>12</v>
      </c>
      <c r="N911">
        <v>0</v>
      </c>
      <c r="O911">
        <v>0</v>
      </c>
      <c r="P911">
        <v>0.68500000000000005</v>
      </c>
      <c r="Q911">
        <v>2.18E-2</v>
      </c>
      <c r="R911">
        <v>0</v>
      </c>
      <c r="S911">
        <v>0.68500000000000005</v>
      </c>
      <c r="T911">
        <v>0.68500000000000005</v>
      </c>
      <c r="U911">
        <v>5</v>
      </c>
      <c r="V911">
        <v>0</v>
      </c>
      <c r="W911">
        <v>0</v>
      </c>
      <c r="X911">
        <v>0</v>
      </c>
      <c r="Y911">
        <v>0.48670000000000002</v>
      </c>
      <c r="Z911">
        <v>1</v>
      </c>
    </row>
    <row r="912" spans="1:26" x14ac:dyDescent="0.2">
      <c r="A912" t="s">
        <v>79</v>
      </c>
      <c r="B912">
        <v>2019</v>
      </c>
      <c r="C912" t="str">
        <f t="shared" si="14"/>
        <v>HVT2019</v>
      </c>
      <c r="D912">
        <v>1.6355934453481869E-13</v>
      </c>
      <c r="E912">
        <v>0.20402343680768709</v>
      </c>
      <c r="F912">
        <v>1.34561873654736</v>
      </c>
      <c r="G912">
        <v>26.97558761500364</v>
      </c>
      <c r="H912">
        <v>1.1176309280292309</v>
      </c>
      <c r="I912">
        <v>0.58375967719934407</v>
      </c>
      <c r="J912">
        <v>6.9669110826261926E-2</v>
      </c>
      <c r="K912">
        <v>0.31568723368207452</v>
      </c>
      <c r="L912">
        <v>0.48059324441388102</v>
      </c>
      <c r="M912">
        <v>13</v>
      </c>
      <c r="N912">
        <v>0</v>
      </c>
      <c r="O912">
        <v>1</v>
      </c>
      <c r="P912">
        <v>0.68500000000000005</v>
      </c>
      <c r="Q912">
        <v>4.1700000000000001E-2</v>
      </c>
      <c r="R912">
        <v>0</v>
      </c>
      <c r="S912">
        <v>0.68500000000000005</v>
      </c>
      <c r="T912">
        <v>0.68500000000000005</v>
      </c>
      <c r="U912">
        <v>5</v>
      </c>
      <c r="V912">
        <v>0</v>
      </c>
      <c r="W912">
        <v>0</v>
      </c>
      <c r="X912">
        <v>0</v>
      </c>
      <c r="Y912">
        <v>0.502</v>
      </c>
      <c r="Z912">
        <v>1</v>
      </c>
    </row>
    <row r="913" spans="1:26" x14ac:dyDescent="0.2">
      <c r="A913" t="s">
        <v>79</v>
      </c>
      <c r="B913">
        <v>2020</v>
      </c>
      <c r="C913" t="str">
        <f t="shared" si="14"/>
        <v>HVT2020</v>
      </c>
      <c r="D913">
        <v>1.3816318886910479E-13</v>
      </c>
      <c r="E913">
        <v>0.13152775299333841</v>
      </c>
      <c r="F913">
        <v>1.2745110983682779</v>
      </c>
      <c r="G913">
        <v>26.859841098747719</v>
      </c>
      <c r="H913">
        <v>1.118312871551487</v>
      </c>
      <c r="I913">
        <v>0.5142020009755508</v>
      </c>
      <c r="J913">
        <v>-0.10929902709819921</v>
      </c>
      <c r="K913">
        <v>0.33153493362090469</v>
      </c>
      <c r="L913">
        <v>0.52528967544479954</v>
      </c>
      <c r="M913">
        <v>14</v>
      </c>
      <c r="N913">
        <v>0</v>
      </c>
      <c r="O913">
        <v>1</v>
      </c>
      <c r="P913">
        <v>0.75450000000000006</v>
      </c>
      <c r="Q913">
        <v>3.7999999999999999E-2</v>
      </c>
      <c r="R913">
        <v>0</v>
      </c>
      <c r="S913">
        <v>0.68500000000000005</v>
      </c>
      <c r="T913">
        <v>0.68500000000000005</v>
      </c>
      <c r="U913">
        <v>5</v>
      </c>
      <c r="V913">
        <v>0</v>
      </c>
      <c r="W913">
        <v>0</v>
      </c>
      <c r="X913">
        <v>0</v>
      </c>
      <c r="Y913">
        <v>0.498</v>
      </c>
      <c r="Z913">
        <v>1</v>
      </c>
    </row>
    <row r="914" spans="1:26" x14ac:dyDescent="0.2">
      <c r="A914" t="s">
        <v>79</v>
      </c>
      <c r="B914">
        <v>2021</v>
      </c>
      <c r="C914" t="str">
        <f t="shared" si="14"/>
        <v>HVT2021</v>
      </c>
      <c r="D914">
        <v>2.5679785026537972E-13</v>
      </c>
      <c r="E914">
        <v>0.2410456069405299</v>
      </c>
      <c r="F914">
        <v>1.642616245388635</v>
      </c>
      <c r="G914">
        <v>26.969467809006151</v>
      </c>
      <c r="H914">
        <v>1.1652836810637099</v>
      </c>
      <c r="I914">
        <v>0.45022724693750082</v>
      </c>
      <c r="J914">
        <v>0.1158614530707618</v>
      </c>
      <c r="K914">
        <v>0.1753830557066024</v>
      </c>
      <c r="L914">
        <v>0.40739029146059302</v>
      </c>
      <c r="M914">
        <v>15</v>
      </c>
      <c r="N914">
        <v>0</v>
      </c>
      <c r="O914">
        <v>0</v>
      </c>
      <c r="P914">
        <v>0.68500000000000005</v>
      </c>
      <c r="Q914">
        <v>3.3599999999999998E-2</v>
      </c>
      <c r="R914">
        <v>0</v>
      </c>
      <c r="S914">
        <v>0.68500000000000005</v>
      </c>
      <c r="T914">
        <v>0.68500000000000005</v>
      </c>
      <c r="U914">
        <v>5</v>
      </c>
      <c r="V914">
        <v>0</v>
      </c>
      <c r="W914">
        <v>0</v>
      </c>
      <c r="X914">
        <v>0</v>
      </c>
      <c r="Y914">
        <v>0.47099999999999997</v>
      </c>
      <c r="Z914">
        <v>1</v>
      </c>
    </row>
    <row r="915" spans="1:26" x14ac:dyDescent="0.2">
      <c r="A915" t="s">
        <v>79</v>
      </c>
      <c r="B915">
        <v>2022</v>
      </c>
      <c r="C915" t="str">
        <f t="shared" si="14"/>
        <v>HVT2022</v>
      </c>
      <c r="D915">
        <v>3.7351499302209681E-13</v>
      </c>
      <c r="E915">
        <v>0.40488588460985592</v>
      </c>
      <c r="F915">
        <v>1.1071509304302249</v>
      </c>
      <c r="G915">
        <v>27.257641410649789</v>
      </c>
      <c r="H915">
        <v>1.4533853274294011</v>
      </c>
      <c r="I915">
        <v>0.36493429979954728</v>
      </c>
      <c r="J915">
        <v>0.333988866682841</v>
      </c>
      <c r="K915">
        <v>0.15249635245132029</v>
      </c>
      <c r="L915">
        <v>0.32377491869329522</v>
      </c>
      <c r="M915">
        <v>16</v>
      </c>
      <c r="N915">
        <v>0</v>
      </c>
      <c r="O915">
        <v>0</v>
      </c>
      <c r="P915">
        <v>0.68500000000000005</v>
      </c>
      <c r="Q915">
        <v>3.5499999999999997E-2</v>
      </c>
      <c r="R915">
        <v>0</v>
      </c>
      <c r="S915">
        <v>0.68500000000000005</v>
      </c>
      <c r="T915">
        <v>0.68500000000000005</v>
      </c>
      <c r="U915">
        <v>5</v>
      </c>
      <c r="V915">
        <v>0</v>
      </c>
      <c r="W915">
        <v>0</v>
      </c>
      <c r="X915">
        <v>0</v>
      </c>
      <c r="Y915">
        <v>0.48099999999999998</v>
      </c>
      <c r="Z915">
        <v>1</v>
      </c>
    </row>
    <row r="916" spans="1:26" x14ac:dyDescent="0.2">
      <c r="A916" t="s">
        <v>79</v>
      </c>
      <c r="B916">
        <v>2023</v>
      </c>
      <c r="C916" t="str">
        <f t="shared" si="14"/>
        <v>HVT2023</v>
      </c>
      <c r="D916">
        <v>-270356988479.4231</v>
      </c>
      <c r="E916">
        <v>0.1143374180777036</v>
      </c>
      <c r="F916">
        <v>0.92668752449678671</v>
      </c>
      <c r="G916">
        <v>27.349504964213281</v>
      </c>
      <c r="H916">
        <v>1.834882413450013</v>
      </c>
      <c r="I916">
        <v>0.2158738831206462</v>
      </c>
      <c r="J916">
        <v>9.6215237213118629E-2</v>
      </c>
      <c r="K916">
        <v>0.24871644729555381</v>
      </c>
      <c r="L916">
        <v>0.45021425033077911</v>
      </c>
      <c r="M916">
        <v>17</v>
      </c>
      <c r="N916">
        <v>0</v>
      </c>
      <c r="O916">
        <v>0</v>
      </c>
      <c r="P916">
        <v>0.68500000000000005</v>
      </c>
      <c r="Q916">
        <v>3.5499999999999997E-2</v>
      </c>
      <c r="R916">
        <v>0</v>
      </c>
      <c r="S916">
        <v>0.68500000000000005</v>
      </c>
      <c r="T916">
        <v>0.68500000000000005</v>
      </c>
      <c r="U916">
        <v>5</v>
      </c>
      <c r="V916">
        <v>0</v>
      </c>
      <c r="W916">
        <v>0</v>
      </c>
      <c r="X916">
        <v>0</v>
      </c>
      <c r="Y916">
        <v>0.48099999999999998</v>
      </c>
      <c r="Z916">
        <v>1</v>
      </c>
    </row>
    <row r="917" spans="1:26" x14ac:dyDescent="0.2">
      <c r="A917" t="s">
        <v>80</v>
      </c>
      <c r="B917">
        <v>2012</v>
      </c>
      <c r="C917" t="str">
        <f t="shared" si="14"/>
        <v>HVX2012</v>
      </c>
      <c r="D917">
        <v>1.927578411556412E-13</v>
      </c>
      <c r="E917">
        <v>9.2764640453353753E-2</v>
      </c>
      <c r="F917">
        <v>0.59526098870931154</v>
      </c>
      <c r="G917">
        <v>26.472351231575612</v>
      </c>
      <c r="H917">
        <v>2.0561631029827199</v>
      </c>
      <c r="I917">
        <v>0.34773263355500911</v>
      </c>
      <c r="J917">
        <v>0.14306281104121621</v>
      </c>
      <c r="K917">
        <v>0.15120587466315291</v>
      </c>
      <c r="L917">
        <v>0.25364984237318788</v>
      </c>
      <c r="M917">
        <v>4</v>
      </c>
      <c r="N917">
        <v>1</v>
      </c>
      <c r="O917">
        <v>0</v>
      </c>
      <c r="P917">
        <v>0.76549999999999996</v>
      </c>
      <c r="Q917">
        <v>8.0000000000000002E-3</v>
      </c>
      <c r="R917">
        <v>0</v>
      </c>
      <c r="S917">
        <v>0.76549999999999996</v>
      </c>
      <c r="T917">
        <v>0.76549999999999996</v>
      </c>
      <c r="U917">
        <v>5</v>
      </c>
      <c r="V917">
        <v>0</v>
      </c>
      <c r="W917">
        <v>0.2</v>
      </c>
      <c r="X917">
        <v>0</v>
      </c>
      <c r="Y917">
        <v>0.44890000000000002</v>
      </c>
      <c r="Z917">
        <v>1</v>
      </c>
    </row>
    <row r="918" spans="1:26" x14ac:dyDescent="0.2">
      <c r="A918" t="s">
        <v>80</v>
      </c>
      <c r="B918">
        <v>2013</v>
      </c>
      <c r="C918" t="str">
        <f t="shared" si="14"/>
        <v>HVX2013</v>
      </c>
      <c r="D918">
        <v>-1.2999720037963779E-14</v>
      </c>
      <c r="E918">
        <v>-8.1325544255319751E-2</v>
      </c>
      <c r="F918">
        <v>0.89911674660572016</v>
      </c>
      <c r="G918">
        <v>27.715704354720479</v>
      </c>
      <c r="H918">
        <v>2.1058568867741601</v>
      </c>
      <c r="I918">
        <v>0.82602594571768895</v>
      </c>
      <c r="J918">
        <v>2.4672200104648141</v>
      </c>
      <c r="K918">
        <v>6.9590728553337866E-3</v>
      </c>
      <c r="L918">
        <v>0.80620749510957335</v>
      </c>
      <c r="M918">
        <v>5</v>
      </c>
      <c r="N918">
        <v>1</v>
      </c>
      <c r="O918">
        <v>0</v>
      </c>
      <c r="P918">
        <v>0.76549999999999996</v>
      </c>
      <c r="Q918">
        <v>8.6999999999999994E-3</v>
      </c>
      <c r="R918">
        <v>0</v>
      </c>
      <c r="S918">
        <v>0.76549999999999996</v>
      </c>
      <c r="T918">
        <v>0.76549999999999996</v>
      </c>
      <c r="U918">
        <v>5</v>
      </c>
      <c r="V918">
        <v>0</v>
      </c>
      <c r="W918">
        <v>0.2</v>
      </c>
      <c r="X918">
        <v>0</v>
      </c>
      <c r="Y918">
        <v>0.45889999999999997</v>
      </c>
      <c r="Z918">
        <v>1</v>
      </c>
    </row>
    <row r="919" spans="1:26" x14ac:dyDescent="0.2">
      <c r="A919" t="s">
        <v>80</v>
      </c>
      <c r="B919">
        <v>2014</v>
      </c>
      <c r="C919" t="str">
        <f t="shared" si="14"/>
        <v>HVX2014</v>
      </c>
      <c r="D919">
        <v>7.2257926492911388E-15</v>
      </c>
      <c r="E919">
        <v>2.0572986741172881E-2</v>
      </c>
      <c r="F919">
        <v>0.81961243367526837</v>
      </c>
      <c r="G919">
        <v>27.709470582271209</v>
      </c>
      <c r="H919">
        <v>0.76519947214896744</v>
      </c>
      <c r="I919">
        <v>0.62010959982187941</v>
      </c>
      <c r="J919">
        <v>-1.9210398057025731E-3</v>
      </c>
      <c r="K919">
        <v>-6.4608039328101163E-2</v>
      </c>
      <c r="L919">
        <v>0.77767380549134935</v>
      </c>
      <c r="M919">
        <v>6</v>
      </c>
      <c r="N919">
        <v>1</v>
      </c>
      <c r="O919">
        <v>0</v>
      </c>
      <c r="P919">
        <v>0.76549999999999996</v>
      </c>
      <c r="Q919">
        <v>4.0000000000000001E-3</v>
      </c>
      <c r="R919">
        <v>0</v>
      </c>
      <c r="S919">
        <v>0.76549999999999996</v>
      </c>
      <c r="T919">
        <v>0.76549999999999996</v>
      </c>
      <c r="U919">
        <v>5</v>
      </c>
      <c r="V919">
        <v>0</v>
      </c>
      <c r="W919">
        <v>0.2</v>
      </c>
      <c r="X919">
        <v>0</v>
      </c>
      <c r="Y919">
        <v>0.46889999999999998</v>
      </c>
      <c r="Z919">
        <v>1</v>
      </c>
    </row>
    <row r="920" spans="1:26" x14ac:dyDescent="0.2">
      <c r="A920" t="s">
        <v>80</v>
      </c>
      <c r="B920">
        <v>2015</v>
      </c>
      <c r="C920" t="str">
        <f t="shared" si="14"/>
        <v>HVX2015</v>
      </c>
      <c r="D920">
        <v>7.1222241254210214E-15</v>
      </c>
      <c r="E920">
        <v>1.9235425989275461E-2</v>
      </c>
      <c r="F920">
        <v>0.84398524823461463</v>
      </c>
      <c r="G920">
        <v>27.6968582245925</v>
      </c>
      <c r="H920">
        <v>1.0165903496621931</v>
      </c>
      <c r="I920">
        <v>0.60453639551022809</v>
      </c>
      <c r="J920">
        <v>-1.6780849071871051E-2</v>
      </c>
      <c r="K920">
        <v>-4.2254113623752983E-3</v>
      </c>
      <c r="L920">
        <v>0.74400160333166854</v>
      </c>
      <c r="M920">
        <v>7</v>
      </c>
      <c r="N920">
        <v>1</v>
      </c>
      <c r="O920">
        <v>0</v>
      </c>
      <c r="P920">
        <v>0.76549999999999996</v>
      </c>
      <c r="Q920">
        <v>6.8999999999999999E-3</v>
      </c>
      <c r="R920">
        <v>0</v>
      </c>
      <c r="S920">
        <v>0.76549999999999996</v>
      </c>
      <c r="T920">
        <v>0.76549999999999996</v>
      </c>
      <c r="U920">
        <v>5</v>
      </c>
      <c r="V920">
        <v>0</v>
      </c>
      <c r="W920">
        <v>0.2</v>
      </c>
      <c r="X920">
        <v>1</v>
      </c>
      <c r="Y920">
        <v>0.49299999999999999</v>
      </c>
      <c r="Z920">
        <v>1</v>
      </c>
    </row>
    <row r="921" spans="1:26" x14ac:dyDescent="0.2">
      <c r="A921" t="s">
        <v>80</v>
      </c>
      <c r="B921">
        <v>2016</v>
      </c>
      <c r="C921" t="str">
        <f t="shared" si="14"/>
        <v>HVX2016</v>
      </c>
      <c r="D921">
        <v>1.6032152855649321E-14</v>
      </c>
      <c r="E921">
        <v>4.0000479209978478E-2</v>
      </c>
      <c r="F921">
        <v>0.81198907844761681</v>
      </c>
      <c r="G921">
        <v>27.686580278417988</v>
      </c>
      <c r="H921">
        <v>0.89091940757510935</v>
      </c>
      <c r="I921">
        <v>0.57630270793698279</v>
      </c>
      <c r="J921">
        <v>-1.0147495572547349E-2</v>
      </c>
      <c r="K921">
        <v>0.1170818439325254</v>
      </c>
      <c r="L921">
        <v>0.71687769455197758</v>
      </c>
      <c r="M921">
        <v>8</v>
      </c>
      <c r="N921">
        <v>1</v>
      </c>
      <c r="O921">
        <v>0</v>
      </c>
      <c r="P921">
        <v>0.75749999999999995</v>
      </c>
      <c r="Q921">
        <v>6.6E-3</v>
      </c>
      <c r="R921">
        <v>0</v>
      </c>
      <c r="S921">
        <v>0.75749999999999995</v>
      </c>
      <c r="T921">
        <v>0.75749999999999995</v>
      </c>
      <c r="U921">
        <v>5</v>
      </c>
      <c r="V921">
        <v>0</v>
      </c>
      <c r="W921">
        <v>0.2</v>
      </c>
      <c r="X921">
        <v>0</v>
      </c>
      <c r="Y921">
        <v>0.48499999999999999</v>
      </c>
      <c r="Z921">
        <v>1</v>
      </c>
    </row>
    <row r="922" spans="1:26" x14ac:dyDescent="0.2">
      <c r="A922" t="s">
        <v>80</v>
      </c>
      <c r="B922">
        <v>2017</v>
      </c>
      <c r="C922" t="str">
        <f t="shared" si="14"/>
        <v>HVX2017</v>
      </c>
      <c r="D922">
        <v>1.523071342666448E-16</v>
      </c>
      <c r="E922">
        <v>3.6156325695523727E-4</v>
      </c>
      <c r="F922">
        <v>0.74709897329169261</v>
      </c>
      <c r="G922">
        <v>27.659981241463029</v>
      </c>
      <c r="H922">
        <v>0.84475610514452282</v>
      </c>
      <c r="I922">
        <v>0.56637613150454758</v>
      </c>
      <c r="J922">
        <v>-2.6324945633255381E-2</v>
      </c>
      <c r="K922">
        <v>7.9073228285684458E-2</v>
      </c>
      <c r="L922">
        <v>0.71789326925464592</v>
      </c>
      <c r="M922">
        <v>9</v>
      </c>
      <c r="N922">
        <v>0</v>
      </c>
      <c r="O922">
        <v>0</v>
      </c>
      <c r="P922">
        <v>0.75749999999999995</v>
      </c>
      <c r="Q922">
        <v>6.3E-3</v>
      </c>
      <c r="R922">
        <v>0</v>
      </c>
      <c r="S922">
        <v>0.75749999999999995</v>
      </c>
      <c r="T922">
        <v>0.75749999999999995</v>
      </c>
      <c r="U922">
        <v>5</v>
      </c>
      <c r="V922">
        <v>0</v>
      </c>
      <c r="W922">
        <v>0.2</v>
      </c>
      <c r="X922">
        <v>1</v>
      </c>
      <c r="Y922">
        <v>0.48549999999999999</v>
      </c>
      <c r="Z922">
        <v>1</v>
      </c>
    </row>
    <row r="923" spans="1:26" x14ac:dyDescent="0.2">
      <c r="A923" t="s">
        <v>80</v>
      </c>
      <c r="B923">
        <v>2018</v>
      </c>
      <c r="C923" t="str">
        <f t="shared" si="14"/>
        <v>HVX2018</v>
      </c>
      <c r="D923">
        <v>7.8745805655224911E-15</v>
      </c>
      <c r="E923">
        <v>1.5932587041034441E-2</v>
      </c>
      <c r="F923">
        <v>0.71835873436863951</v>
      </c>
      <c r="G923">
        <v>27.574476035239361</v>
      </c>
      <c r="H923">
        <v>0.79639423378118468</v>
      </c>
      <c r="I923">
        <v>0.53292791247640858</v>
      </c>
      <c r="J923">
        <v>-8.1883634659401294E-2</v>
      </c>
      <c r="K923">
        <v>6.5521514699593154E-3</v>
      </c>
      <c r="L923">
        <v>0.73188541043521971</v>
      </c>
      <c r="M923">
        <v>10</v>
      </c>
      <c r="N923">
        <v>0</v>
      </c>
      <c r="O923">
        <v>0</v>
      </c>
      <c r="P923">
        <v>0.75749999999999995</v>
      </c>
      <c r="Q923">
        <v>1.4E-3</v>
      </c>
      <c r="R923">
        <v>0</v>
      </c>
      <c r="S923">
        <v>0.75749999999999995</v>
      </c>
      <c r="T923">
        <v>0.75749999999999995</v>
      </c>
      <c r="U923">
        <v>5</v>
      </c>
      <c r="V923">
        <v>0</v>
      </c>
      <c r="W923">
        <v>0.2</v>
      </c>
      <c r="X923">
        <v>1</v>
      </c>
      <c r="Y923">
        <v>0.49270000000000003</v>
      </c>
      <c r="Z923">
        <v>1</v>
      </c>
    </row>
    <row r="924" spans="1:26" x14ac:dyDescent="0.2">
      <c r="A924" t="s">
        <v>80</v>
      </c>
      <c r="B924">
        <v>2019</v>
      </c>
      <c r="C924" t="str">
        <f t="shared" si="14"/>
        <v>HVX2019</v>
      </c>
      <c r="D924">
        <v>6.8272041879569893E-15</v>
      </c>
      <c r="E924">
        <v>1.16558613083426E-2</v>
      </c>
      <c r="F924">
        <v>0.64262403780493327</v>
      </c>
      <c r="G924">
        <v>27.483083268119319</v>
      </c>
      <c r="H924">
        <v>0.71298992190452093</v>
      </c>
      <c r="I924">
        <v>0.49481560160647847</v>
      </c>
      <c r="J924">
        <v>-8.7408419691066039E-2</v>
      </c>
      <c r="K924">
        <v>0.10207694461395959</v>
      </c>
      <c r="L924">
        <v>0.76165489832465871</v>
      </c>
      <c r="M924">
        <v>11</v>
      </c>
      <c r="N924">
        <v>0</v>
      </c>
      <c r="O924">
        <v>1</v>
      </c>
      <c r="P924">
        <v>0.75749999999999995</v>
      </c>
      <c r="Q924">
        <v>1E-3</v>
      </c>
      <c r="R924">
        <v>0</v>
      </c>
      <c r="S924">
        <v>0.75749999999999995</v>
      </c>
      <c r="T924">
        <v>0.75749999999999995</v>
      </c>
      <c r="U924">
        <v>5</v>
      </c>
      <c r="V924">
        <v>0</v>
      </c>
      <c r="W924">
        <v>0.2</v>
      </c>
      <c r="X924">
        <v>1</v>
      </c>
      <c r="Y924">
        <v>0.50639999999999996</v>
      </c>
      <c r="Z924">
        <v>1</v>
      </c>
    </row>
    <row r="925" spans="1:26" x14ac:dyDescent="0.2">
      <c r="A925" t="s">
        <v>80</v>
      </c>
      <c r="B925">
        <v>2020</v>
      </c>
      <c r="C925" t="str">
        <f t="shared" si="14"/>
        <v>HVX2020</v>
      </c>
      <c r="D925">
        <v>7.1362024936943609E-15</v>
      </c>
      <c r="E925">
        <v>1.0147666105894231E-2</v>
      </c>
      <c r="F925">
        <v>0.62292504012294081</v>
      </c>
      <c r="G925">
        <v>27.395618681525441</v>
      </c>
      <c r="H925">
        <v>0.5900109941488898</v>
      </c>
      <c r="I925">
        <v>0.44426593633242839</v>
      </c>
      <c r="J925">
        <v>-8.3748681343597475E-2</v>
      </c>
      <c r="K925">
        <v>5.1655257053821187E-2</v>
      </c>
      <c r="L925">
        <v>0.76906263830016142</v>
      </c>
      <c r="M925">
        <v>12</v>
      </c>
      <c r="N925">
        <v>0</v>
      </c>
      <c r="O925">
        <v>1</v>
      </c>
      <c r="P925">
        <v>0.75749999999999995</v>
      </c>
      <c r="Q925">
        <v>0.37940000000000002</v>
      </c>
      <c r="R925">
        <v>0</v>
      </c>
      <c r="S925">
        <v>0.75749999999999995</v>
      </c>
      <c r="T925">
        <v>0.75749999999999995</v>
      </c>
      <c r="U925">
        <v>5</v>
      </c>
      <c r="V925">
        <v>0</v>
      </c>
      <c r="W925">
        <v>0.2</v>
      </c>
      <c r="X925">
        <v>0</v>
      </c>
      <c r="Y925">
        <v>0.49299999999999999</v>
      </c>
      <c r="Z925">
        <v>1</v>
      </c>
    </row>
    <row r="926" spans="1:26" x14ac:dyDescent="0.2">
      <c r="A926" t="s">
        <v>80</v>
      </c>
      <c r="B926">
        <v>2021</v>
      </c>
      <c r="C926" t="str">
        <f t="shared" si="14"/>
        <v>HVX2021</v>
      </c>
      <c r="D926">
        <v>1.4327363519034541E-15</v>
      </c>
      <c r="E926">
        <v>1.9661164827333199E-3</v>
      </c>
      <c r="F926">
        <v>0.86741355438641043</v>
      </c>
      <c r="G926">
        <v>27.38063914506921</v>
      </c>
      <c r="H926">
        <v>0.43062496513862342</v>
      </c>
      <c r="I926">
        <v>0.43269380287885262</v>
      </c>
      <c r="J926">
        <v>-1.486790130938165E-2</v>
      </c>
      <c r="K926">
        <v>3.3075961795086921E-2</v>
      </c>
      <c r="L926">
        <v>0.74252145705901706</v>
      </c>
      <c r="M926">
        <v>13</v>
      </c>
      <c r="N926">
        <v>0</v>
      </c>
      <c r="O926">
        <v>0</v>
      </c>
      <c r="P926">
        <v>0.75749999999999995</v>
      </c>
      <c r="Q926">
        <v>0</v>
      </c>
      <c r="R926">
        <v>0</v>
      </c>
      <c r="S926">
        <v>0.75749999999999995</v>
      </c>
      <c r="T926">
        <v>0.75749999999999995</v>
      </c>
      <c r="U926">
        <v>5</v>
      </c>
      <c r="V926">
        <v>0</v>
      </c>
      <c r="W926">
        <v>0</v>
      </c>
      <c r="X926">
        <v>0</v>
      </c>
      <c r="Y926">
        <v>0.50090000000000001</v>
      </c>
      <c r="Z926">
        <v>1</v>
      </c>
    </row>
    <row r="927" spans="1:26" x14ac:dyDescent="0.2">
      <c r="A927" t="s">
        <v>80</v>
      </c>
      <c r="B927">
        <v>2022</v>
      </c>
      <c r="C927" t="str">
        <f t="shared" si="14"/>
        <v>HVX2022</v>
      </c>
      <c r="D927">
        <v>3.1108356777161951E-15</v>
      </c>
      <c r="E927">
        <v>4.176790243751595E-3</v>
      </c>
      <c r="F927">
        <v>0.57809531909458933</v>
      </c>
      <c r="G927">
        <v>27.371820689054161</v>
      </c>
      <c r="H927">
        <v>0.50043179168649021</v>
      </c>
      <c r="I927">
        <v>0.42526838140136158</v>
      </c>
      <c r="J927">
        <v>-8.7796874750578624E-3</v>
      </c>
      <c r="K927">
        <v>0.14146686366293659</v>
      </c>
      <c r="L927">
        <v>0.68635274017162551</v>
      </c>
      <c r="M927">
        <v>14</v>
      </c>
      <c r="N927">
        <v>0</v>
      </c>
      <c r="O927">
        <v>0</v>
      </c>
      <c r="P927">
        <v>0.75749999999999995</v>
      </c>
      <c r="Q927">
        <v>4.0000000000000002E-4</v>
      </c>
      <c r="R927">
        <v>0</v>
      </c>
      <c r="S927">
        <v>0.75749999999999995</v>
      </c>
      <c r="T927">
        <v>0.75749999999999995</v>
      </c>
      <c r="U927">
        <v>5</v>
      </c>
      <c r="V927">
        <v>0</v>
      </c>
      <c r="W927">
        <v>0.2</v>
      </c>
      <c r="X927">
        <v>0</v>
      </c>
      <c r="Y927">
        <v>0.501</v>
      </c>
      <c r="Z927">
        <v>1</v>
      </c>
    </row>
    <row r="928" spans="1:26" x14ac:dyDescent="0.2">
      <c r="A928" t="s">
        <v>80</v>
      </c>
      <c r="B928">
        <v>2023</v>
      </c>
      <c r="C928" t="str">
        <f t="shared" si="14"/>
        <v>HVX2023</v>
      </c>
      <c r="D928">
        <v>577597347404.90857</v>
      </c>
      <c r="E928">
        <v>-0.1145307328905473</v>
      </c>
      <c r="F928">
        <v>0.3666844713970171</v>
      </c>
      <c r="G928">
        <v>27.254146833434849</v>
      </c>
      <c r="H928">
        <v>0.59242628052790092</v>
      </c>
      <c r="I928">
        <v>0.18387713533751771</v>
      </c>
      <c r="J928">
        <v>-0.1110140568911745</v>
      </c>
      <c r="K928">
        <v>-2.5511413231431211E-2</v>
      </c>
      <c r="L928">
        <v>0.70153049706641335</v>
      </c>
      <c r="M928">
        <v>15</v>
      </c>
      <c r="N928">
        <v>0</v>
      </c>
      <c r="O928">
        <v>0</v>
      </c>
      <c r="P928">
        <v>0.75749999999999995</v>
      </c>
      <c r="Q928">
        <v>4.0000000000000002E-4</v>
      </c>
      <c r="R928">
        <v>0</v>
      </c>
      <c r="S928">
        <v>0.75749999999999995</v>
      </c>
      <c r="T928">
        <v>0.75749999999999995</v>
      </c>
      <c r="U928">
        <v>5</v>
      </c>
      <c r="V928">
        <v>0</v>
      </c>
      <c r="W928">
        <v>0.2</v>
      </c>
      <c r="X928">
        <v>0</v>
      </c>
      <c r="Y928">
        <v>0.501</v>
      </c>
      <c r="Z928">
        <v>1</v>
      </c>
    </row>
    <row r="929" spans="1:26" x14ac:dyDescent="0.2">
      <c r="A929" t="s">
        <v>81</v>
      </c>
      <c r="B929">
        <v>2012</v>
      </c>
      <c r="C929" t="str">
        <f t="shared" si="14"/>
        <v>IDI2012</v>
      </c>
      <c r="D929">
        <v>1.6970313132586458E-14</v>
      </c>
      <c r="E929">
        <v>6.7971682707371528E-2</v>
      </c>
      <c r="F929">
        <v>0.81455531054556918</v>
      </c>
      <c r="G929">
        <v>28.015162783591549</v>
      </c>
      <c r="H929">
        <v>1.0753568484456979</v>
      </c>
      <c r="I929">
        <v>0.63340001658090117</v>
      </c>
      <c r="J929">
        <v>3.4472605857378551E-3</v>
      </c>
      <c r="K929">
        <v>1.093646252954476E-2</v>
      </c>
      <c r="L929">
        <v>0.24050229259220701</v>
      </c>
      <c r="M929">
        <v>9</v>
      </c>
      <c r="N929">
        <v>0</v>
      </c>
      <c r="O929">
        <v>0</v>
      </c>
      <c r="P929">
        <v>0.51259999999999994</v>
      </c>
      <c r="Q929">
        <v>0.16850000000000001</v>
      </c>
      <c r="R929">
        <v>0</v>
      </c>
      <c r="S929">
        <v>0</v>
      </c>
      <c r="T929">
        <v>0.38290000000000002</v>
      </c>
      <c r="U929">
        <v>7</v>
      </c>
      <c r="V929">
        <v>0</v>
      </c>
      <c r="W929">
        <v>0</v>
      </c>
      <c r="X929">
        <v>0</v>
      </c>
      <c r="Y929">
        <v>0.39429999999999998</v>
      </c>
      <c r="Z929">
        <v>0.7142857142857143</v>
      </c>
    </row>
    <row r="930" spans="1:26" x14ac:dyDescent="0.2">
      <c r="A930" t="s">
        <v>81</v>
      </c>
      <c r="B930">
        <v>2013</v>
      </c>
      <c r="C930" t="str">
        <f t="shared" si="14"/>
        <v>IDI2013</v>
      </c>
      <c r="D930">
        <v>1.2065480534083361E-14</v>
      </c>
      <c r="E930">
        <v>7.1165385953076546E-2</v>
      </c>
      <c r="F930">
        <v>0.83533532422559353</v>
      </c>
      <c r="G930">
        <v>28.243833146086331</v>
      </c>
      <c r="H930">
        <v>1.11340221370902</v>
      </c>
      <c r="I930">
        <v>0.68709197787535803</v>
      </c>
      <c r="J930">
        <v>0.25692764022133502</v>
      </c>
      <c r="K930">
        <v>-1.9195900873283329E-2</v>
      </c>
      <c r="L930">
        <v>0.29643941020015258</v>
      </c>
      <c r="M930">
        <v>10</v>
      </c>
      <c r="N930">
        <v>0</v>
      </c>
      <c r="O930">
        <v>0</v>
      </c>
      <c r="P930">
        <v>0.51259999999999994</v>
      </c>
      <c r="Q930">
        <v>0.16850000000000001</v>
      </c>
      <c r="R930">
        <v>0</v>
      </c>
      <c r="S930">
        <v>0</v>
      </c>
      <c r="T930">
        <v>0.38290000000000002</v>
      </c>
      <c r="U930">
        <v>8</v>
      </c>
      <c r="V930">
        <v>0</v>
      </c>
      <c r="W930">
        <v>0.125</v>
      </c>
      <c r="X930">
        <v>0</v>
      </c>
      <c r="Y930">
        <v>0.39689999999999998</v>
      </c>
      <c r="Z930">
        <v>0.625</v>
      </c>
    </row>
    <row r="931" spans="1:26" x14ac:dyDescent="0.2">
      <c r="A931" t="s">
        <v>81</v>
      </c>
      <c r="B931">
        <v>2014</v>
      </c>
      <c r="C931" t="str">
        <f t="shared" si="14"/>
        <v>IDI2014</v>
      </c>
      <c r="D931">
        <v>2.3763009804828209E-14</v>
      </c>
      <c r="E931">
        <v>0.14400424685225971</v>
      </c>
      <c r="F931">
        <v>0.9399311895043414</v>
      </c>
      <c r="G931">
        <v>28.29918496743527</v>
      </c>
      <c r="H931">
        <v>0.88600872119269747</v>
      </c>
      <c r="I931">
        <v>0.67811108515263152</v>
      </c>
      <c r="J931">
        <v>5.6912393615808243E-2</v>
      </c>
      <c r="K931">
        <v>-9.8050849700957524E-2</v>
      </c>
      <c r="L931">
        <v>0.28939117469482067</v>
      </c>
      <c r="M931">
        <v>11</v>
      </c>
      <c r="N931">
        <v>0</v>
      </c>
      <c r="O931">
        <v>0</v>
      </c>
      <c r="P931">
        <v>0.22040000000000001</v>
      </c>
      <c r="Q931">
        <v>7.4900000000000008E-2</v>
      </c>
      <c r="R931">
        <v>0</v>
      </c>
      <c r="S931">
        <v>0</v>
      </c>
      <c r="T931">
        <v>0.22040000000000001</v>
      </c>
      <c r="U931">
        <v>8</v>
      </c>
      <c r="V931">
        <v>0</v>
      </c>
      <c r="W931">
        <v>0.125</v>
      </c>
      <c r="X931">
        <v>0</v>
      </c>
      <c r="Y931">
        <v>0.40689999999999998</v>
      </c>
      <c r="Z931">
        <v>0.625</v>
      </c>
    </row>
    <row r="932" spans="1:26" x14ac:dyDescent="0.2">
      <c r="A932" t="s">
        <v>81</v>
      </c>
      <c r="B932">
        <v>2015</v>
      </c>
      <c r="C932" t="str">
        <f t="shared" si="14"/>
        <v>IDI2015</v>
      </c>
      <c r="D932">
        <v>8.5977774288691414E-15</v>
      </c>
      <c r="E932">
        <v>8.5308998915105461E-2</v>
      </c>
      <c r="F932">
        <v>0.89504848110251711</v>
      </c>
      <c r="G932">
        <v>28.8781135752061</v>
      </c>
      <c r="H932">
        <v>0.95374207173346959</v>
      </c>
      <c r="I932">
        <v>0.64925077008741761</v>
      </c>
      <c r="J932">
        <v>0.78412590776844082</v>
      </c>
      <c r="K932">
        <v>-5.5301686067202621E-2</v>
      </c>
      <c r="L932">
        <v>0.16848110242148531</v>
      </c>
      <c r="M932">
        <v>12</v>
      </c>
      <c r="N932">
        <v>0</v>
      </c>
      <c r="O932">
        <v>0</v>
      </c>
      <c r="P932">
        <v>0.44800000000000001</v>
      </c>
      <c r="Q932">
        <v>0.12909999999999999</v>
      </c>
      <c r="R932">
        <v>0</v>
      </c>
      <c r="S932">
        <v>0</v>
      </c>
      <c r="T932">
        <v>0.39290000000000003</v>
      </c>
      <c r="U932">
        <v>9</v>
      </c>
      <c r="V932">
        <v>0</v>
      </c>
      <c r="W932">
        <v>0.1111111111111111</v>
      </c>
      <c r="X932">
        <v>1</v>
      </c>
      <c r="Y932">
        <v>0.41120000000000001</v>
      </c>
      <c r="Z932">
        <v>0.66666666666666663</v>
      </c>
    </row>
    <row r="933" spans="1:26" x14ac:dyDescent="0.2">
      <c r="A933" t="s">
        <v>81</v>
      </c>
      <c r="B933">
        <v>2016</v>
      </c>
      <c r="C933" t="str">
        <f t="shared" si="14"/>
        <v>IDI2016</v>
      </c>
      <c r="D933">
        <v>3.8566856488736872E-15</v>
      </c>
      <c r="E933">
        <v>4.6280570915809408E-2</v>
      </c>
      <c r="F933">
        <v>0.72067688418508791</v>
      </c>
      <c r="G933">
        <v>29.256447213619111</v>
      </c>
      <c r="H933">
        <v>1.373543001819838</v>
      </c>
      <c r="I933">
        <v>0.57662118892726244</v>
      </c>
      <c r="J933">
        <v>0.45984992364529842</v>
      </c>
      <c r="K933">
        <v>-4.7332169726032582E-2</v>
      </c>
      <c r="L933">
        <v>0.14602656891010199</v>
      </c>
      <c r="M933">
        <v>13</v>
      </c>
      <c r="N933">
        <v>0</v>
      </c>
      <c r="O933">
        <v>0</v>
      </c>
      <c r="P933">
        <v>0.44800000000000001</v>
      </c>
      <c r="Q933">
        <v>0.1404</v>
      </c>
      <c r="R933">
        <v>0</v>
      </c>
      <c r="S933">
        <v>0</v>
      </c>
      <c r="T933">
        <v>0.39290000000000003</v>
      </c>
      <c r="U933">
        <v>9</v>
      </c>
      <c r="V933">
        <v>0</v>
      </c>
      <c r="W933">
        <v>0.1111111111111111</v>
      </c>
      <c r="X933">
        <v>1</v>
      </c>
      <c r="Y933">
        <v>0.42120000000000002</v>
      </c>
      <c r="Z933">
        <v>1</v>
      </c>
    </row>
    <row r="934" spans="1:26" x14ac:dyDescent="0.2">
      <c r="A934" t="s">
        <v>81</v>
      </c>
      <c r="B934">
        <v>2017</v>
      </c>
      <c r="C934" t="str">
        <f t="shared" si="14"/>
        <v>IDI2017</v>
      </c>
      <c r="D934">
        <v>1.041847789089379E-14</v>
      </c>
      <c r="E934">
        <v>0.15439026564785549</v>
      </c>
      <c r="F934">
        <v>0.96425249454168627</v>
      </c>
      <c r="G934">
        <v>29.377939286049251</v>
      </c>
      <c r="H934">
        <v>1.689522024471936</v>
      </c>
      <c r="I934">
        <v>0.61286602964708348</v>
      </c>
      <c r="J934">
        <v>0.12918041423304771</v>
      </c>
      <c r="K934">
        <v>7.5232174234086291E-2</v>
      </c>
      <c r="L934">
        <v>0.1892486659161807</v>
      </c>
      <c r="M934">
        <v>14</v>
      </c>
      <c r="N934">
        <v>0</v>
      </c>
      <c r="O934">
        <v>0</v>
      </c>
      <c r="P934">
        <v>0.44800000000000001</v>
      </c>
      <c r="Q934">
        <v>0.1212</v>
      </c>
      <c r="R934">
        <v>0</v>
      </c>
      <c r="S934">
        <v>0</v>
      </c>
      <c r="T934">
        <v>0.39290000000000003</v>
      </c>
      <c r="U934">
        <v>9</v>
      </c>
      <c r="V934">
        <v>0</v>
      </c>
      <c r="W934">
        <v>0.1111111111111111</v>
      </c>
      <c r="X934">
        <v>1</v>
      </c>
      <c r="Y934">
        <v>0.43120000000000003</v>
      </c>
      <c r="Z934">
        <v>0.66666666666666663</v>
      </c>
    </row>
    <row r="935" spans="1:26" x14ac:dyDescent="0.2">
      <c r="A935" t="s">
        <v>81</v>
      </c>
      <c r="B935">
        <v>2018</v>
      </c>
      <c r="C935" t="str">
        <f t="shared" si="14"/>
        <v>IDI2018</v>
      </c>
      <c r="D935">
        <v>1.470120417556032E-14</v>
      </c>
      <c r="E935">
        <v>0.24163465633084749</v>
      </c>
      <c r="F935">
        <v>0.81185428754463251</v>
      </c>
      <c r="G935">
        <v>29.520760739650331</v>
      </c>
      <c r="H935">
        <v>1.1239519838622409</v>
      </c>
      <c r="I935">
        <v>0.5973783009737097</v>
      </c>
      <c r="J935">
        <v>0.15352382575327489</v>
      </c>
      <c r="K935">
        <v>3.2513416590056583E-2</v>
      </c>
      <c r="L935">
        <v>0.14152318038267109</v>
      </c>
      <c r="M935">
        <v>15</v>
      </c>
      <c r="N935">
        <v>0</v>
      </c>
      <c r="O935">
        <v>0</v>
      </c>
      <c r="P935">
        <v>0.5665</v>
      </c>
      <c r="Q935">
        <v>6.0199999999999997E-2</v>
      </c>
      <c r="R935">
        <v>0</v>
      </c>
      <c r="S935">
        <v>0</v>
      </c>
      <c r="T935">
        <v>0.51139999999999997</v>
      </c>
      <c r="U935">
        <v>9</v>
      </c>
      <c r="V935">
        <v>0</v>
      </c>
      <c r="W935">
        <v>0.1111111111111111</v>
      </c>
      <c r="X935">
        <v>1</v>
      </c>
      <c r="Y935">
        <v>0.44119999999999998</v>
      </c>
      <c r="Z935">
        <v>0.66666666666666663</v>
      </c>
    </row>
    <row r="936" spans="1:26" x14ac:dyDescent="0.2">
      <c r="A936" t="s">
        <v>81</v>
      </c>
      <c r="B936">
        <v>2019</v>
      </c>
      <c r="C936" t="str">
        <f t="shared" si="14"/>
        <v>IDI2019</v>
      </c>
      <c r="D936">
        <v>5.8047203230213973E-15</v>
      </c>
      <c r="E936">
        <v>0.1127333477824837</v>
      </c>
      <c r="F936">
        <v>0.77060100774291629</v>
      </c>
      <c r="G936">
        <v>29.645066127348642</v>
      </c>
      <c r="H936">
        <v>1.198976936947538</v>
      </c>
      <c r="I936">
        <v>0.61415086550494968</v>
      </c>
      <c r="J936">
        <v>0.13236162751267361</v>
      </c>
      <c r="K936">
        <v>-5.6801883572044553E-3</v>
      </c>
      <c r="L936">
        <v>0.1426059179956049</v>
      </c>
      <c r="M936">
        <v>16</v>
      </c>
      <c r="N936">
        <v>0</v>
      </c>
      <c r="O936">
        <v>1</v>
      </c>
      <c r="P936">
        <v>0.5673999999999999</v>
      </c>
      <c r="Q936">
        <v>5.6800000000000003E-2</v>
      </c>
      <c r="R936">
        <v>0</v>
      </c>
      <c r="S936">
        <v>0</v>
      </c>
      <c r="T936">
        <v>0.51229999999999998</v>
      </c>
      <c r="U936">
        <v>3</v>
      </c>
      <c r="V936">
        <v>0</v>
      </c>
      <c r="W936">
        <v>0</v>
      </c>
      <c r="X936">
        <v>1</v>
      </c>
      <c r="Y936">
        <v>0.44330000000000003</v>
      </c>
      <c r="Z936">
        <v>1</v>
      </c>
    </row>
    <row r="937" spans="1:26" x14ac:dyDescent="0.2">
      <c r="A937" t="s">
        <v>81</v>
      </c>
      <c r="B937">
        <v>2020</v>
      </c>
      <c r="C937" t="str">
        <f t="shared" si="14"/>
        <v>IDI2020</v>
      </c>
      <c r="D937">
        <v>1.8005546388743969E-15</v>
      </c>
      <c r="E937">
        <v>3.5726778585964937E-2</v>
      </c>
      <c r="F937">
        <v>0.82786681259405448</v>
      </c>
      <c r="G937">
        <v>29.674010786492559</v>
      </c>
      <c r="H937">
        <v>1.2072551378808181</v>
      </c>
      <c r="I937">
        <v>0.6112489394296059</v>
      </c>
      <c r="J937">
        <v>2.936762681313532E-2</v>
      </c>
      <c r="K937">
        <v>9.433644273927776E-3</v>
      </c>
      <c r="L937">
        <v>0.21095613737495161</v>
      </c>
      <c r="M937">
        <v>17</v>
      </c>
      <c r="N937">
        <v>0</v>
      </c>
      <c r="O937">
        <v>1</v>
      </c>
      <c r="P937">
        <v>0.5673999999999999</v>
      </c>
      <c r="Q937">
        <v>5.6800000000000003E-2</v>
      </c>
      <c r="R937">
        <v>0</v>
      </c>
      <c r="S937">
        <v>0</v>
      </c>
      <c r="T937">
        <v>0.51229999999999998</v>
      </c>
      <c r="U937">
        <v>3</v>
      </c>
      <c r="V937">
        <v>0</v>
      </c>
      <c r="W937">
        <v>0</v>
      </c>
      <c r="X937">
        <v>1</v>
      </c>
      <c r="Y937">
        <v>0.44579999999999997</v>
      </c>
      <c r="Z937">
        <v>1</v>
      </c>
    </row>
    <row r="938" spans="1:26" x14ac:dyDescent="0.2">
      <c r="A938" t="s">
        <v>81</v>
      </c>
      <c r="B938">
        <v>2021</v>
      </c>
      <c r="C938" t="str">
        <f t="shared" si="14"/>
        <v>IDI2021</v>
      </c>
      <c r="D938">
        <v>2.5113195516198001E-15</v>
      </c>
      <c r="E938">
        <v>4.5598380211224879E-2</v>
      </c>
      <c r="F938">
        <v>1.066152340405097</v>
      </c>
      <c r="G938">
        <v>29.653079609910758</v>
      </c>
      <c r="H938">
        <v>1.272057302623566</v>
      </c>
      <c r="I938">
        <v>0.58397310419950099</v>
      </c>
      <c r="J938">
        <v>-2.0713639915063808E-2</v>
      </c>
      <c r="K938">
        <v>4.3619717922615472E-2</v>
      </c>
      <c r="L938">
        <v>0.20753767369094761</v>
      </c>
      <c r="M938">
        <v>18</v>
      </c>
      <c r="N938">
        <v>0</v>
      </c>
      <c r="O938">
        <v>0</v>
      </c>
      <c r="P938">
        <v>0.51229999999999998</v>
      </c>
      <c r="Q938">
        <v>4.5699999999999998E-2</v>
      </c>
      <c r="R938">
        <v>0</v>
      </c>
      <c r="S938">
        <v>0</v>
      </c>
      <c r="T938">
        <v>0.51229999999999998</v>
      </c>
      <c r="U938">
        <v>3</v>
      </c>
      <c r="V938">
        <v>0</v>
      </c>
      <c r="W938">
        <v>0</v>
      </c>
      <c r="X938">
        <v>1</v>
      </c>
      <c r="Y938">
        <v>0.45579999999999998</v>
      </c>
      <c r="Z938">
        <v>1</v>
      </c>
    </row>
    <row r="939" spans="1:26" x14ac:dyDescent="0.2">
      <c r="A939" t="s">
        <v>81</v>
      </c>
      <c r="B939">
        <v>2022</v>
      </c>
      <c r="C939" t="str">
        <f t="shared" si="14"/>
        <v>IDI2022</v>
      </c>
      <c r="D939">
        <v>8.6170198210748646E-15</v>
      </c>
      <c r="E939">
        <v>0.16728347793014059</v>
      </c>
      <c r="F939">
        <v>0.8905143655947555</v>
      </c>
      <c r="G939">
        <v>29.72092131689633</v>
      </c>
      <c r="H939">
        <v>1.339997250064817</v>
      </c>
      <c r="I939">
        <v>0.58357560086046578</v>
      </c>
      <c r="J939">
        <v>7.0195890536747019E-2</v>
      </c>
      <c r="K939">
        <v>8.0716496318624972E-2</v>
      </c>
      <c r="L939">
        <v>0.17739375287518161</v>
      </c>
      <c r="M939">
        <v>19</v>
      </c>
      <c r="N939">
        <v>0</v>
      </c>
      <c r="O939">
        <v>0</v>
      </c>
      <c r="P939">
        <v>0.56499999999999995</v>
      </c>
      <c r="Q939">
        <v>5.3400000000000003E-2</v>
      </c>
      <c r="R939">
        <v>0</v>
      </c>
      <c r="S939">
        <v>0</v>
      </c>
      <c r="T939">
        <v>0.51229999999999998</v>
      </c>
      <c r="U939">
        <v>4</v>
      </c>
      <c r="V939">
        <v>0</v>
      </c>
      <c r="W939">
        <v>0</v>
      </c>
      <c r="X939">
        <v>1</v>
      </c>
      <c r="Y939">
        <v>0.47920000000000001</v>
      </c>
      <c r="Z939">
        <v>1</v>
      </c>
    </row>
    <row r="940" spans="1:26" x14ac:dyDescent="0.2">
      <c r="A940" t="s">
        <v>81</v>
      </c>
      <c r="B940">
        <v>2023</v>
      </c>
      <c r="C940" t="str">
        <f t="shared" si="14"/>
        <v>IDI2023</v>
      </c>
      <c r="D940">
        <v>3067152850433.542</v>
      </c>
      <c r="E940">
        <v>1.899751525093759E-2</v>
      </c>
      <c r="F940">
        <v>0.85529246755305099</v>
      </c>
      <c r="G940">
        <v>29.744555855927619</v>
      </c>
      <c r="H940">
        <v>1.204513636079992</v>
      </c>
      <c r="I940">
        <v>0.53352157521400967</v>
      </c>
      <c r="J940">
        <v>2.391604815346304E-2</v>
      </c>
      <c r="K940">
        <v>4.0769861241226307E-2</v>
      </c>
      <c r="L940">
        <v>0.1616060889008418</v>
      </c>
      <c r="M940">
        <v>20</v>
      </c>
      <c r="N940">
        <v>0</v>
      </c>
      <c r="O940">
        <v>0</v>
      </c>
      <c r="P940">
        <v>0.56499999999999995</v>
      </c>
      <c r="Q940">
        <v>5.3400000000000003E-2</v>
      </c>
      <c r="R940">
        <v>0</v>
      </c>
      <c r="S940">
        <v>0</v>
      </c>
      <c r="T940">
        <v>0.51229999999999998</v>
      </c>
      <c r="U940">
        <v>4</v>
      </c>
      <c r="V940">
        <v>0</v>
      </c>
      <c r="W940">
        <v>0</v>
      </c>
      <c r="X940">
        <v>1</v>
      </c>
      <c r="Y940">
        <v>0.47920000000000001</v>
      </c>
      <c r="Z940">
        <v>1</v>
      </c>
    </row>
    <row r="941" spans="1:26" x14ac:dyDescent="0.2">
      <c r="A941" t="s">
        <v>82</v>
      </c>
      <c r="B941">
        <v>2012</v>
      </c>
      <c r="C941" t="str">
        <f t="shared" si="14"/>
        <v>IMP2012</v>
      </c>
      <c r="D941">
        <v>1.045480886253958E-13</v>
      </c>
      <c r="E941">
        <v>0.1086748386285061</v>
      </c>
      <c r="F941">
        <v>0.84324969929641935</v>
      </c>
      <c r="G941">
        <v>27.482069564334079</v>
      </c>
      <c r="H941">
        <v>4.8588834665344089</v>
      </c>
      <c r="I941">
        <v>0.17110741148910549</v>
      </c>
      <c r="J941">
        <v>8.1476794136889227E-2</v>
      </c>
      <c r="K941">
        <v>0.1404131467812956</v>
      </c>
      <c r="L941">
        <v>0.2334389550010377</v>
      </c>
      <c r="M941">
        <v>11</v>
      </c>
      <c r="N941">
        <v>1</v>
      </c>
      <c r="O941">
        <v>0</v>
      </c>
      <c r="P941">
        <v>0.56920000000000004</v>
      </c>
      <c r="Q941">
        <v>1.67E-2</v>
      </c>
      <c r="R941">
        <v>0.2409</v>
      </c>
      <c r="S941">
        <v>0.27429999999999999</v>
      </c>
      <c r="T941">
        <v>0.56920000000000004</v>
      </c>
      <c r="U941">
        <v>7</v>
      </c>
      <c r="V941">
        <v>1</v>
      </c>
      <c r="W941">
        <v>0.42857142857142849</v>
      </c>
      <c r="X941">
        <v>1</v>
      </c>
      <c r="Y941">
        <v>0.46089999999999998</v>
      </c>
      <c r="Z941">
        <v>1</v>
      </c>
    </row>
    <row r="942" spans="1:26" x14ac:dyDescent="0.2">
      <c r="A942" t="s">
        <v>82</v>
      </c>
      <c r="B942">
        <v>2013</v>
      </c>
      <c r="C942" t="str">
        <f t="shared" si="14"/>
        <v>IMP2013</v>
      </c>
      <c r="D942">
        <v>8.0124808724296334E-14</v>
      </c>
      <c r="E942">
        <v>8.3521300101904741E-2</v>
      </c>
      <c r="F942">
        <v>0.86903725801279319</v>
      </c>
      <c r="G942">
        <v>27.491575588913321</v>
      </c>
      <c r="H942">
        <v>3.452073982537994</v>
      </c>
      <c r="I942">
        <v>0.16553267293998111</v>
      </c>
      <c r="J942">
        <v>-2.8248631824486999E-2</v>
      </c>
      <c r="K942">
        <v>0.15281241557782771</v>
      </c>
      <c r="L942">
        <v>0.21998528171642689</v>
      </c>
      <c r="M942">
        <v>12</v>
      </c>
      <c r="N942">
        <v>1</v>
      </c>
      <c r="O942">
        <v>0</v>
      </c>
      <c r="P942">
        <v>0.53449999999999998</v>
      </c>
      <c r="Q942">
        <v>3.1600000000000003E-2</v>
      </c>
      <c r="R942">
        <v>0.26019999999999999</v>
      </c>
      <c r="S942">
        <v>0.27429999999999999</v>
      </c>
      <c r="T942">
        <v>0.53449999999999998</v>
      </c>
      <c r="U942">
        <v>9</v>
      </c>
      <c r="V942">
        <v>0</v>
      </c>
      <c r="W942">
        <v>0.33333333333333331</v>
      </c>
      <c r="X942">
        <v>1</v>
      </c>
      <c r="Y942">
        <v>0.47670000000000001</v>
      </c>
      <c r="Z942">
        <v>1</v>
      </c>
    </row>
    <row r="943" spans="1:26" x14ac:dyDescent="0.2">
      <c r="A943" t="s">
        <v>82</v>
      </c>
      <c r="B943">
        <v>2014</v>
      </c>
      <c r="C943" t="str">
        <f t="shared" si="14"/>
        <v>IMP2014</v>
      </c>
      <c r="D943">
        <v>8.092711307627718E-14</v>
      </c>
      <c r="E943">
        <v>0.1076760633589729</v>
      </c>
      <c r="F943">
        <v>1.2944849787689221</v>
      </c>
      <c r="G943">
        <v>27.66013188893843</v>
      </c>
      <c r="H943">
        <v>4.6793304431202509</v>
      </c>
      <c r="I943">
        <v>0.22621995278733029</v>
      </c>
      <c r="J943">
        <v>0.1835948613894951</v>
      </c>
      <c r="K943">
        <v>2.1796740576035499E-2</v>
      </c>
      <c r="L943">
        <v>0.17196472710380059</v>
      </c>
      <c r="M943">
        <v>13</v>
      </c>
      <c r="N943">
        <v>1</v>
      </c>
      <c r="O943">
        <v>0</v>
      </c>
      <c r="P943">
        <v>0.62409999999999999</v>
      </c>
      <c r="Q943">
        <v>1.9699999999999999E-2</v>
      </c>
      <c r="R943">
        <v>0.27189999999999998</v>
      </c>
      <c r="S943">
        <v>0.26129999999999998</v>
      </c>
      <c r="T943">
        <v>0.62409999999999999</v>
      </c>
      <c r="U943">
        <v>8</v>
      </c>
      <c r="V943">
        <v>0</v>
      </c>
      <c r="W943">
        <v>0.25</v>
      </c>
      <c r="X943">
        <v>1</v>
      </c>
      <c r="Y943">
        <v>0.48499999999999999</v>
      </c>
      <c r="Z943">
        <v>1</v>
      </c>
    </row>
    <row r="944" spans="1:26" x14ac:dyDescent="0.2">
      <c r="A944" t="s">
        <v>82</v>
      </c>
      <c r="B944">
        <v>2015</v>
      </c>
      <c r="C944" t="str">
        <f t="shared" si="14"/>
        <v>IMP2015</v>
      </c>
      <c r="D944">
        <v>7.7812002149575289E-14</v>
      </c>
      <c r="E944">
        <v>0.1024551604424952</v>
      </c>
      <c r="F944">
        <v>1.1633712888383421</v>
      </c>
      <c r="G944">
        <v>27.71968631067006</v>
      </c>
      <c r="H944">
        <v>3.5905348064522959</v>
      </c>
      <c r="I944">
        <v>0.17011186174867271</v>
      </c>
      <c r="J944">
        <v>6.1363520648512138E-2</v>
      </c>
      <c r="K944">
        <v>4.8941602911226768E-2</v>
      </c>
      <c r="L944">
        <v>0.1896840198125124</v>
      </c>
      <c r="M944">
        <v>14</v>
      </c>
      <c r="N944">
        <v>1</v>
      </c>
      <c r="O944">
        <v>0</v>
      </c>
      <c r="P944">
        <v>0.59789999999999999</v>
      </c>
      <c r="Q944">
        <v>1.7999999999999999E-2</v>
      </c>
      <c r="R944">
        <v>0.26950000000000002</v>
      </c>
      <c r="S944">
        <v>0.23749999999999999</v>
      </c>
      <c r="T944">
        <v>0.59789999999999999</v>
      </c>
      <c r="U944">
        <v>8</v>
      </c>
      <c r="V944">
        <v>0</v>
      </c>
      <c r="W944">
        <v>0.125</v>
      </c>
      <c r="X944">
        <v>1</v>
      </c>
      <c r="Y944">
        <v>0.47499999999999998</v>
      </c>
      <c r="Z944">
        <v>1</v>
      </c>
    </row>
    <row r="945" spans="1:26" x14ac:dyDescent="0.2">
      <c r="A945" t="s">
        <v>82</v>
      </c>
      <c r="B945">
        <v>2016</v>
      </c>
      <c r="C945" t="str">
        <f t="shared" si="14"/>
        <v>IMP2016</v>
      </c>
      <c r="D945">
        <v>7.5719333572791681E-14</v>
      </c>
      <c r="E945">
        <v>0.1080858755120658</v>
      </c>
      <c r="F945">
        <v>1.5895268913299681</v>
      </c>
      <c r="G945">
        <v>27.775852825079621</v>
      </c>
      <c r="H945">
        <v>4.7603300865801712</v>
      </c>
      <c r="I945">
        <v>0.19027518252216369</v>
      </c>
      <c r="J945">
        <v>5.7773803653322409E-2</v>
      </c>
      <c r="K945">
        <v>8.4083488597023567E-2</v>
      </c>
      <c r="L945">
        <v>0.23818352577228921</v>
      </c>
      <c r="M945">
        <v>15</v>
      </c>
      <c r="N945">
        <v>1</v>
      </c>
      <c r="O945">
        <v>0</v>
      </c>
      <c r="P945">
        <v>0.55649999999999999</v>
      </c>
      <c r="Q945">
        <v>1.77E-2</v>
      </c>
      <c r="R945">
        <v>0.2281</v>
      </c>
      <c r="S945">
        <v>0.23749999999999999</v>
      </c>
      <c r="T945">
        <v>0.55649999999999999</v>
      </c>
      <c r="U945">
        <v>8</v>
      </c>
      <c r="V945">
        <v>0</v>
      </c>
      <c r="W945">
        <v>0.125</v>
      </c>
      <c r="X945">
        <v>1</v>
      </c>
      <c r="Y945">
        <v>0.47539999999999999</v>
      </c>
      <c r="Z945">
        <v>1</v>
      </c>
    </row>
    <row r="946" spans="1:26" x14ac:dyDescent="0.2">
      <c r="A946" t="s">
        <v>82</v>
      </c>
      <c r="B946">
        <v>2017</v>
      </c>
      <c r="C946" t="str">
        <f t="shared" si="14"/>
        <v>IMP2017</v>
      </c>
      <c r="D946">
        <v>3.7307295648582682E-14</v>
      </c>
      <c r="E946">
        <v>8.4110113612709578E-2</v>
      </c>
      <c r="F946">
        <v>1.811858275634727</v>
      </c>
      <c r="G946">
        <v>28.20404990595058</v>
      </c>
      <c r="H946">
        <v>3.63940831791284</v>
      </c>
      <c r="I946">
        <v>0.21330065118930669</v>
      </c>
      <c r="J946">
        <v>0.53448846949313777</v>
      </c>
      <c r="K946">
        <v>6.0549790266766483E-2</v>
      </c>
      <c r="L946">
        <v>0.34902356034553972</v>
      </c>
      <c r="M946">
        <v>16</v>
      </c>
      <c r="N946">
        <v>1</v>
      </c>
      <c r="O946">
        <v>0</v>
      </c>
      <c r="P946">
        <v>0.53769999999999996</v>
      </c>
      <c r="Q946">
        <v>3.2199999999999999E-2</v>
      </c>
      <c r="R946">
        <v>0.24160000000000001</v>
      </c>
      <c r="S946">
        <v>0.22869999999999999</v>
      </c>
      <c r="T946">
        <v>0.53769999999999996</v>
      </c>
      <c r="U946">
        <v>8</v>
      </c>
      <c r="V946">
        <v>0</v>
      </c>
      <c r="W946">
        <v>0.125</v>
      </c>
      <c r="X946">
        <v>1</v>
      </c>
      <c r="Y946">
        <v>0.4854</v>
      </c>
      <c r="Z946">
        <v>1</v>
      </c>
    </row>
    <row r="947" spans="1:26" x14ac:dyDescent="0.2">
      <c r="A947" t="s">
        <v>82</v>
      </c>
      <c r="B947">
        <v>2018</v>
      </c>
      <c r="C947" t="str">
        <f t="shared" si="14"/>
        <v>IMP2018</v>
      </c>
      <c r="D947">
        <v>4.4055014752772493E-14</v>
      </c>
      <c r="E947">
        <v>9.2171928379251505E-2</v>
      </c>
      <c r="F947">
        <v>1.8476443588702469</v>
      </c>
      <c r="G947">
        <v>28.20439704847573</v>
      </c>
      <c r="H947">
        <v>2.8428912363867189</v>
      </c>
      <c r="I947">
        <v>0.1519710452603909</v>
      </c>
      <c r="J947">
        <v>3.4720278609401412E-4</v>
      </c>
      <c r="K947">
        <v>8.1235580328917589E-2</v>
      </c>
      <c r="L947">
        <v>0.44541835505452482</v>
      </c>
      <c r="M947">
        <v>17</v>
      </c>
      <c r="N947">
        <v>1</v>
      </c>
      <c r="O947">
        <v>0</v>
      </c>
      <c r="P947">
        <v>0.38890000000000002</v>
      </c>
      <c r="Q947">
        <v>2.93E-2</v>
      </c>
      <c r="R947">
        <v>0.16020000000000001</v>
      </c>
      <c r="S947">
        <v>0.22869999999999999</v>
      </c>
      <c r="T947">
        <v>0.38890000000000002</v>
      </c>
      <c r="U947">
        <v>8</v>
      </c>
      <c r="V947">
        <v>0</v>
      </c>
      <c r="W947">
        <v>0.25</v>
      </c>
      <c r="X947">
        <v>1</v>
      </c>
      <c r="Y947">
        <v>0.48170000000000002</v>
      </c>
      <c r="Z947">
        <v>1</v>
      </c>
    </row>
    <row r="948" spans="1:26" x14ac:dyDescent="0.2">
      <c r="A948" t="s">
        <v>82</v>
      </c>
      <c r="B948">
        <v>2019</v>
      </c>
      <c r="C948" t="str">
        <f t="shared" si="14"/>
        <v>IMP2019</v>
      </c>
      <c r="D948">
        <v>4.759207700664154E-14</v>
      </c>
      <c r="E948">
        <v>0.1041681986197297</v>
      </c>
      <c r="F948">
        <v>1.4394300842505321</v>
      </c>
      <c r="G948">
        <v>28.244678190202929</v>
      </c>
      <c r="H948">
        <v>3.5298976639170871</v>
      </c>
      <c r="I948">
        <v>0.1560681338307317</v>
      </c>
      <c r="J948">
        <v>4.1103430668179231E-2</v>
      </c>
      <c r="K948">
        <v>3.9880190536620473E-2</v>
      </c>
      <c r="L948">
        <v>0.4851626790403305</v>
      </c>
      <c r="M948">
        <v>18</v>
      </c>
      <c r="N948">
        <v>1</v>
      </c>
      <c r="O948">
        <v>1</v>
      </c>
      <c r="P948">
        <v>0.43040000000000012</v>
      </c>
      <c r="Q948">
        <v>2.9000000000000001E-2</v>
      </c>
      <c r="R948">
        <v>0.20169999999999999</v>
      </c>
      <c r="S948">
        <v>0.22869999999999999</v>
      </c>
      <c r="T948">
        <v>0.43040000000000012</v>
      </c>
      <c r="U948">
        <v>8</v>
      </c>
      <c r="V948">
        <v>0</v>
      </c>
      <c r="W948">
        <v>0.25</v>
      </c>
      <c r="X948">
        <v>1</v>
      </c>
      <c r="Y948">
        <v>0.49170000000000003</v>
      </c>
      <c r="Z948">
        <v>1</v>
      </c>
    </row>
    <row r="949" spans="1:26" x14ac:dyDescent="0.2">
      <c r="A949" t="s">
        <v>82</v>
      </c>
      <c r="B949">
        <v>2020</v>
      </c>
      <c r="C949" t="str">
        <f t="shared" si="14"/>
        <v>IMP2020</v>
      </c>
      <c r="D949">
        <v>4.7711246726988079E-14</v>
      </c>
      <c r="E949">
        <v>0.12117801466077149</v>
      </c>
      <c r="F949">
        <v>1.9650209353546171</v>
      </c>
      <c r="G949">
        <v>28.37126906627736</v>
      </c>
      <c r="H949">
        <v>2.9710157217553901</v>
      </c>
      <c r="I949">
        <v>0.174565660530592</v>
      </c>
      <c r="J949">
        <v>0.13495258652545861</v>
      </c>
      <c r="K949">
        <v>3.8034669000139708E-2</v>
      </c>
      <c r="L949">
        <v>0.45273889849654297</v>
      </c>
      <c r="M949">
        <v>19</v>
      </c>
      <c r="N949">
        <v>1</v>
      </c>
      <c r="O949">
        <v>1</v>
      </c>
      <c r="P949">
        <v>0.61180000000000001</v>
      </c>
      <c r="Q949">
        <v>3.3000000000000002E-2</v>
      </c>
      <c r="R949">
        <v>0.39150000000000001</v>
      </c>
      <c r="S949">
        <v>0.2203</v>
      </c>
      <c r="T949">
        <v>0.61180000000000001</v>
      </c>
      <c r="U949">
        <v>7</v>
      </c>
      <c r="V949">
        <v>0</v>
      </c>
      <c r="W949">
        <v>0.2857142857142857</v>
      </c>
      <c r="X949">
        <v>1</v>
      </c>
      <c r="Y949">
        <v>0.4975</v>
      </c>
      <c r="Z949">
        <v>1</v>
      </c>
    </row>
    <row r="950" spans="1:26" x14ac:dyDescent="0.2">
      <c r="A950" t="s">
        <v>82</v>
      </c>
      <c r="B950">
        <v>2021</v>
      </c>
      <c r="C950" t="str">
        <f t="shared" si="14"/>
        <v>IMP2021</v>
      </c>
      <c r="D950">
        <v>3.5911027408973343E-14</v>
      </c>
      <c r="E950">
        <v>0.1053799679692158</v>
      </c>
      <c r="F950">
        <v>2.4784667736673911</v>
      </c>
      <c r="G950">
        <v>28.461623343201321</v>
      </c>
      <c r="H950">
        <v>2.8304543624438421</v>
      </c>
      <c r="I950">
        <v>0.21801984426732279</v>
      </c>
      <c r="J950">
        <v>9.4561993078907461E-2</v>
      </c>
      <c r="K950">
        <v>0.1067621786394628</v>
      </c>
      <c r="L950">
        <v>0.41647290098442907</v>
      </c>
      <c r="M950">
        <v>20</v>
      </c>
      <c r="N950">
        <v>1</v>
      </c>
      <c r="O950">
        <v>0</v>
      </c>
      <c r="P950">
        <v>0.66610000000000003</v>
      </c>
      <c r="Q950">
        <v>2.0500000000000001E-2</v>
      </c>
      <c r="R950">
        <v>0.44579999999999997</v>
      </c>
      <c r="S950">
        <v>0.2203</v>
      </c>
      <c r="T950">
        <v>0.66610000000000003</v>
      </c>
      <c r="U950">
        <v>7</v>
      </c>
      <c r="V950">
        <v>0</v>
      </c>
      <c r="W950">
        <v>0.2857142857142857</v>
      </c>
      <c r="X950">
        <v>1</v>
      </c>
      <c r="Y950">
        <v>0.50749999999999995</v>
      </c>
      <c r="Z950">
        <v>1</v>
      </c>
    </row>
    <row r="951" spans="1:26" x14ac:dyDescent="0.2">
      <c r="A951" t="s">
        <v>82</v>
      </c>
      <c r="B951">
        <v>2022</v>
      </c>
      <c r="C951" t="str">
        <f t="shared" si="14"/>
        <v>IMP2022</v>
      </c>
      <c r="D951">
        <v>4.3117277357120691E-14</v>
      </c>
      <c r="E951">
        <v>0.1179976691082454</v>
      </c>
      <c r="F951">
        <v>1.9307132822083859</v>
      </c>
      <c r="G951">
        <v>28.453855119029338</v>
      </c>
      <c r="H951">
        <v>2.8786829269757481</v>
      </c>
      <c r="I951">
        <v>0.16798689269377379</v>
      </c>
      <c r="J951">
        <v>-7.7381294964087299E-3</v>
      </c>
      <c r="K951">
        <v>0.17409176907496771</v>
      </c>
      <c r="L951">
        <v>0.43762628466336728</v>
      </c>
      <c r="M951">
        <v>21</v>
      </c>
      <c r="N951">
        <v>1</v>
      </c>
      <c r="O951">
        <v>0</v>
      </c>
      <c r="P951">
        <v>0.86809999999999998</v>
      </c>
      <c r="Q951">
        <v>1.47E-2</v>
      </c>
      <c r="R951">
        <v>0.47670000000000001</v>
      </c>
      <c r="S951">
        <v>0.2203</v>
      </c>
      <c r="T951">
        <v>0.86809999999999998</v>
      </c>
      <c r="U951">
        <v>6</v>
      </c>
      <c r="V951">
        <v>0</v>
      </c>
      <c r="W951">
        <v>0.33333333333333331</v>
      </c>
      <c r="X951">
        <v>1</v>
      </c>
      <c r="Y951">
        <v>0.53200000000000003</v>
      </c>
      <c r="Z951">
        <v>1</v>
      </c>
    </row>
    <row r="952" spans="1:26" x14ac:dyDescent="0.2">
      <c r="A952" t="s">
        <v>82</v>
      </c>
      <c r="B952">
        <v>2023</v>
      </c>
      <c r="C952" t="str">
        <f t="shared" si="14"/>
        <v>IMP2023</v>
      </c>
      <c r="D952">
        <v>1553855940726.5681</v>
      </c>
      <c r="E952">
        <v>0.12784092629289051</v>
      </c>
      <c r="F952">
        <v>1.65822333128512</v>
      </c>
      <c r="G952">
        <v>28.503408091662308</v>
      </c>
      <c r="H952">
        <v>2.8851307067596652</v>
      </c>
      <c r="I952">
        <v>2.0655987619216581E-2</v>
      </c>
      <c r="J952">
        <v>5.0801254449706512E-2</v>
      </c>
      <c r="K952">
        <v>-7.4051636370699404E-3</v>
      </c>
      <c r="L952">
        <v>0.37981608339063189</v>
      </c>
      <c r="M952">
        <v>22</v>
      </c>
      <c r="N952">
        <v>0</v>
      </c>
      <c r="O952">
        <v>0</v>
      </c>
      <c r="P952">
        <v>0.86809999999999998</v>
      </c>
      <c r="Q952">
        <v>1.47E-2</v>
      </c>
      <c r="R952">
        <v>0.47670000000000001</v>
      </c>
      <c r="S952">
        <v>0.2203</v>
      </c>
      <c r="T952">
        <v>0.86809999999999998</v>
      </c>
      <c r="U952">
        <v>6</v>
      </c>
      <c r="V952">
        <v>0</v>
      </c>
      <c r="W952">
        <v>0.33333333333333331</v>
      </c>
      <c r="X952">
        <v>1</v>
      </c>
      <c r="Y952">
        <v>0.53200000000000003</v>
      </c>
      <c r="Z952">
        <v>1</v>
      </c>
    </row>
    <row r="953" spans="1:26" x14ac:dyDescent="0.2">
      <c r="A953" t="s">
        <v>83</v>
      </c>
      <c r="B953">
        <v>2012</v>
      </c>
      <c r="C953" t="str">
        <f t="shared" si="14"/>
        <v>INN2012</v>
      </c>
      <c r="D953">
        <v>6.3019494984932771E-13</v>
      </c>
      <c r="E953">
        <v>0.21565385940144111</v>
      </c>
      <c r="F953">
        <v>0.84434766037855358</v>
      </c>
      <c r="G953">
        <v>26.141213277471518</v>
      </c>
      <c r="H953">
        <v>1.299902807852362</v>
      </c>
      <c r="I953">
        <v>0.34127770851050349</v>
      </c>
      <c r="J953">
        <v>0.13842658032939781</v>
      </c>
      <c r="K953">
        <v>0.28001875123490111</v>
      </c>
      <c r="L953">
        <v>0.53942735871526259</v>
      </c>
      <c r="M953">
        <v>10</v>
      </c>
      <c r="N953">
        <v>0</v>
      </c>
      <c r="O953">
        <v>0</v>
      </c>
      <c r="P953">
        <v>0.31680000000000003</v>
      </c>
      <c r="Q953">
        <v>0.22900000000000001</v>
      </c>
      <c r="R953">
        <v>0</v>
      </c>
      <c r="S953">
        <v>0.1875</v>
      </c>
      <c r="T953">
        <v>0.1875</v>
      </c>
      <c r="U953">
        <v>5</v>
      </c>
      <c r="V953">
        <v>1</v>
      </c>
      <c r="W953">
        <v>0.4</v>
      </c>
      <c r="X953">
        <v>1</v>
      </c>
      <c r="Y953">
        <v>0.503</v>
      </c>
      <c r="Z953">
        <v>1</v>
      </c>
    </row>
    <row r="954" spans="1:26" x14ac:dyDescent="0.2">
      <c r="A954" t="s">
        <v>83</v>
      </c>
      <c r="B954">
        <v>2013</v>
      </c>
      <c r="C954" t="str">
        <f t="shared" si="14"/>
        <v>INN2013</v>
      </c>
      <c r="D954">
        <v>5.6311367912842947E-13</v>
      </c>
      <c r="E954">
        <v>0.2472105347609668</v>
      </c>
      <c r="F954">
        <v>1.1862551571337501</v>
      </c>
      <c r="G954">
        <v>26.33817860509323</v>
      </c>
      <c r="H954">
        <v>1.358383409989915</v>
      </c>
      <c r="I954">
        <v>0.374748510733594</v>
      </c>
      <c r="J954">
        <v>0.21770181935582311</v>
      </c>
      <c r="K954">
        <v>0.14022474521170811</v>
      </c>
      <c r="L954">
        <v>0.35522057317958788</v>
      </c>
      <c r="M954">
        <v>11</v>
      </c>
      <c r="N954">
        <v>0</v>
      </c>
      <c r="O954">
        <v>0</v>
      </c>
      <c r="P954">
        <v>0.31680000000000003</v>
      </c>
      <c r="Q954">
        <v>0.20960000000000001</v>
      </c>
      <c r="R954">
        <v>0</v>
      </c>
      <c r="S954">
        <v>0.1875</v>
      </c>
      <c r="T954">
        <v>0.1875</v>
      </c>
      <c r="U954">
        <v>5</v>
      </c>
      <c r="V954">
        <v>1</v>
      </c>
      <c r="W954">
        <v>0.2</v>
      </c>
      <c r="X954">
        <v>1</v>
      </c>
      <c r="Y954">
        <v>0.50439999999999996</v>
      </c>
      <c r="Z954">
        <v>1</v>
      </c>
    </row>
    <row r="955" spans="1:26" x14ac:dyDescent="0.2">
      <c r="A955" t="s">
        <v>83</v>
      </c>
      <c r="B955">
        <v>2014</v>
      </c>
      <c r="C955" t="str">
        <f t="shared" si="14"/>
        <v>INN2014</v>
      </c>
      <c r="D955">
        <v>3.9779111156054169E-13</v>
      </c>
      <c r="E955">
        <v>0.2069106445006107</v>
      </c>
      <c r="F955">
        <v>1.414385237301359</v>
      </c>
      <c r="G955">
        <v>26.555456481146319</v>
      </c>
      <c r="H955">
        <v>1.7158161584324729</v>
      </c>
      <c r="I955">
        <v>0.34421654498344118</v>
      </c>
      <c r="J955">
        <v>0.2426893677817521</v>
      </c>
      <c r="K955">
        <v>0.16351525154907109</v>
      </c>
      <c r="L955">
        <v>0.47052858625031468</v>
      </c>
      <c r="M955">
        <v>12</v>
      </c>
      <c r="N955">
        <v>0</v>
      </c>
      <c r="O955">
        <v>0</v>
      </c>
      <c r="P955">
        <v>0.35820000000000002</v>
      </c>
      <c r="Q955">
        <v>0.15720000000000001</v>
      </c>
      <c r="R955">
        <v>0</v>
      </c>
      <c r="S955">
        <v>0.1852</v>
      </c>
      <c r="T955">
        <v>0.1852</v>
      </c>
      <c r="U955">
        <v>5</v>
      </c>
      <c r="V955">
        <v>1</v>
      </c>
      <c r="W955">
        <v>0.2</v>
      </c>
      <c r="X955">
        <v>1</v>
      </c>
      <c r="Y955">
        <v>0.51439999999999997</v>
      </c>
      <c r="Z955">
        <v>1</v>
      </c>
    </row>
    <row r="956" spans="1:26" x14ac:dyDescent="0.2">
      <c r="A956" t="s">
        <v>83</v>
      </c>
      <c r="B956">
        <v>2015</v>
      </c>
      <c r="C956" t="str">
        <f t="shared" si="14"/>
        <v>INN2015</v>
      </c>
      <c r="D956">
        <v>3.7282638812880718E-13</v>
      </c>
      <c r="E956">
        <v>0.22866099047113769</v>
      </c>
      <c r="F956">
        <v>1.3151769657427339</v>
      </c>
      <c r="G956">
        <v>26.709227829545998</v>
      </c>
      <c r="H956">
        <v>1.5804696722287019</v>
      </c>
      <c r="I956">
        <v>0.35138822981197088</v>
      </c>
      <c r="J956">
        <v>0.16622419726107501</v>
      </c>
      <c r="K956">
        <v>0.23871446398857499</v>
      </c>
      <c r="L956">
        <v>0.36986692161336421</v>
      </c>
      <c r="M956">
        <v>13</v>
      </c>
      <c r="N956">
        <v>0</v>
      </c>
      <c r="O956">
        <v>0</v>
      </c>
      <c r="P956">
        <v>0.30209999999999998</v>
      </c>
      <c r="Q956">
        <v>0.26219999999999999</v>
      </c>
      <c r="R956">
        <v>0</v>
      </c>
      <c r="S956">
        <v>0</v>
      </c>
      <c r="T956">
        <v>7.9100000000000004E-2</v>
      </c>
      <c r="U956">
        <v>5</v>
      </c>
      <c r="V956">
        <v>1</v>
      </c>
      <c r="W956">
        <v>0.2</v>
      </c>
      <c r="X956">
        <v>1</v>
      </c>
      <c r="Y956">
        <v>0.52439999999999998</v>
      </c>
      <c r="Z956">
        <v>1</v>
      </c>
    </row>
    <row r="957" spans="1:26" x14ac:dyDescent="0.2">
      <c r="A957" t="s">
        <v>83</v>
      </c>
      <c r="B957">
        <v>2016</v>
      </c>
      <c r="C957" t="str">
        <f t="shared" si="14"/>
        <v>INN2016</v>
      </c>
      <c r="D957">
        <v>2.9522585524832631E-13</v>
      </c>
      <c r="E957">
        <v>0.23622491076828589</v>
      </c>
      <c r="F957">
        <v>1.814523400290289</v>
      </c>
      <c r="G957">
        <v>26.920481721318449</v>
      </c>
      <c r="H957">
        <v>1.7808704155105719</v>
      </c>
      <c r="I957">
        <v>0.38589114797400148</v>
      </c>
      <c r="J957">
        <v>0.23522592895326991</v>
      </c>
      <c r="K957">
        <v>0.29798926363483857</v>
      </c>
      <c r="L957">
        <v>0.49245508017554562</v>
      </c>
      <c r="M957">
        <v>14</v>
      </c>
      <c r="N957">
        <v>0</v>
      </c>
      <c r="O957">
        <v>0</v>
      </c>
      <c r="P957">
        <v>0.221</v>
      </c>
      <c r="Q957">
        <v>0.31209999999999999</v>
      </c>
      <c r="R957">
        <v>0</v>
      </c>
      <c r="S957">
        <v>0</v>
      </c>
      <c r="T957">
        <v>0</v>
      </c>
      <c r="U957">
        <v>5</v>
      </c>
      <c r="V957">
        <v>1</v>
      </c>
      <c r="W957">
        <v>0.2</v>
      </c>
      <c r="X957">
        <v>1</v>
      </c>
      <c r="Y957">
        <v>0.51900000000000002</v>
      </c>
      <c r="Z957">
        <v>1</v>
      </c>
    </row>
    <row r="958" spans="1:26" x14ac:dyDescent="0.2">
      <c r="A958" t="s">
        <v>83</v>
      </c>
      <c r="B958">
        <v>2017</v>
      </c>
      <c r="C958" t="str">
        <f t="shared" si="14"/>
        <v>INN2017</v>
      </c>
      <c r="D958">
        <v>2.3665772332226272E-13</v>
      </c>
      <c r="E958">
        <v>0.2090557812834585</v>
      </c>
      <c r="F958">
        <v>1.681605891505549</v>
      </c>
      <c r="G958">
        <v>27.041093820088179</v>
      </c>
      <c r="H958">
        <v>1.407215758593898</v>
      </c>
      <c r="I958">
        <v>0.37243844452559988</v>
      </c>
      <c r="J958">
        <v>0.12818720227496061</v>
      </c>
      <c r="K958">
        <v>0.24054546983397229</v>
      </c>
      <c r="L958">
        <v>0.39814612997465421</v>
      </c>
      <c r="M958">
        <v>15</v>
      </c>
      <c r="N958">
        <v>0</v>
      </c>
      <c r="O958">
        <v>0</v>
      </c>
      <c r="P958">
        <v>0.221</v>
      </c>
      <c r="Q958">
        <v>0.31209999999999999</v>
      </c>
      <c r="R958">
        <v>0</v>
      </c>
      <c r="S958">
        <v>0</v>
      </c>
      <c r="T958">
        <v>0</v>
      </c>
      <c r="U958">
        <v>5</v>
      </c>
      <c r="V958">
        <v>1</v>
      </c>
      <c r="W958">
        <v>0.2</v>
      </c>
      <c r="X958">
        <v>1</v>
      </c>
      <c r="Y958">
        <v>0.52900000000000003</v>
      </c>
      <c r="Z958">
        <v>1</v>
      </c>
    </row>
    <row r="959" spans="1:26" x14ac:dyDescent="0.2">
      <c r="A959" t="s">
        <v>83</v>
      </c>
      <c r="B959">
        <v>2018</v>
      </c>
      <c r="C959" t="str">
        <f t="shared" si="14"/>
        <v>INN2018</v>
      </c>
      <c r="D959">
        <v>1.795486285917316E-13</v>
      </c>
      <c r="E959">
        <v>0.1709845254229922</v>
      </c>
      <c r="F959">
        <v>1.1038144536404051</v>
      </c>
      <c r="G959">
        <v>27.205998723486921</v>
      </c>
      <c r="H959">
        <v>1.6167069287013931</v>
      </c>
      <c r="I959">
        <v>0.31350021546477902</v>
      </c>
      <c r="J959">
        <v>0.17928096776691649</v>
      </c>
      <c r="K959">
        <v>0.17433495084757869</v>
      </c>
      <c r="L959">
        <v>0.33520660080696779</v>
      </c>
      <c r="M959">
        <v>16</v>
      </c>
      <c r="N959">
        <v>0</v>
      </c>
      <c r="O959">
        <v>0</v>
      </c>
      <c r="P959">
        <v>0.21360000000000001</v>
      </c>
      <c r="Q959">
        <v>0.27579999999999999</v>
      </c>
      <c r="R959">
        <v>0</v>
      </c>
      <c r="S959">
        <v>0</v>
      </c>
      <c r="T959">
        <v>0</v>
      </c>
      <c r="U959">
        <v>5</v>
      </c>
      <c r="V959">
        <v>1</v>
      </c>
      <c r="W959">
        <v>0.2</v>
      </c>
      <c r="X959">
        <v>1</v>
      </c>
      <c r="Y959">
        <v>0.54299999999999993</v>
      </c>
      <c r="Z959">
        <v>1</v>
      </c>
    </row>
    <row r="960" spans="1:26" x14ac:dyDescent="0.2">
      <c r="A960" t="s">
        <v>83</v>
      </c>
      <c r="B960">
        <v>2019</v>
      </c>
      <c r="C960" t="str">
        <f t="shared" si="14"/>
        <v>INN2019</v>
      </c>
      <c r="D960">
        <v>1.3677271497377451E-13</v>
      </c>
      <c r="E960">
        <v>0.17375950509211899</v>
      </c>
      <c r="F960">
        <v>1.0418199130131569</v>
      </c>
      <c r="G960">
        <v>27.398351428079209</v>
      </c>
      <c r="H960">
        <v>2.106881518256682</v>
      </c>
      <c r="I960">
        <v>0.37625979972071533</v>
      </c>
      <c r="J960">
        <v>0.21209795409567039</v>
      </c>
      <c r="K960">
        <v>0.12643525684772949</v>
      </c>
      <c r="L960">
        <v>0.40573156631559609</v>
      </c>
      <c r="M960">
        <v>17</v>
      </c>
      <c r="N960">
        <v>0</v>
      </c>
      <c r="O960">
        <v>1</v>
      </c>
      <c r="P960">
        <v>0.26369999999999999</v>
      </c>
      <c r="Q960">
        <v>0.2727</v>
      </c>
      <c r="R960">
        <v>0</v>
      </c>
      <c r="S960">
        <v>0</v>
      </c>
      <c r="T960">
        <v>0</v>
      </c>
      <c r="U960">
        <v>5</v>
      </c>
      <c r="V960">
        <v>1</v>
      </c>
      <c r="W960">
        <v>0.2</v>
      </c>
      <c r="X960">
        <v>1</v>
      </c>
      <c r="Y960">
        <v>0.56889999999999996</v>
      </c>
      <c r="Z960">
        <v>1</v>
      </c>
    </row>
    <row r="961" spans="1:26" x14ac:dyDescent="0.2">
      <c r="A961" t="s">
        <v>83</v>
      </c>
      <c r="B961">
        <v>2020</v>
      </c>
      <c r="C961" t="str">
        <f t="shared" si="14"/>
        <v>INN2020</v>
      </c>
      <c r="D961">
        <v>1.0414647887870311E-13</v>
      </c>
      <c r="E961">
        <v>0.12932235125474451</v>
      </c>
      <c r="F961">
        <v>1.1368459940657181</v>
      </c>
      <c r="G961">
        <v>27.411064791396559</v>
      </c>
      <c r="H961">
        <v>1.575464958111459</v>
      </c>
      <c r="I961">
        <v>0.35368359232102747</v>
      </c>
      <c r="J961">
        <v>1.2793310202046101E-2</v>
      </c>
      <c r="K961">
        <v>0.20135642625722089</v>
      </c>
      <c r="L961">
        <v>0.43121285421066402</v>
      </c>
      <c r="M961">
        <v>18</v>
      </c>
      <c r="N961">
        <v>0</v>
      </c>
      <c r="O961">
        <v>1</v>
      </c>
      <c r="P961">
        <v>0.2636</v>
      </c>
      <c r="Q961">
        <v>0.27439999999999998</v>
      </c>
      <c r="R961">
        <v>0</v>
      </c>
      <c r="S961">
        <v>0</v>
      </c>
      <c r="T961">
        <v>0</v>
      </c>
      <c r="U961">
        <v>5</v>
      </c>
      <c r="V961">
        <v>0</v>
      </c>
      <c r="W961">
        <v>0.2</v>
      </c>
      <c r="X961">
        <v>1</v>
      </c>
      <c r="Y961">
        <v>0.54</v>
      </c>
      <c r="Z961">
        <v>1</v>
      </c>
    </row>
    <row r="962" spans="1:26" x14ac:dyDescent="0.2">
      <c r="A962" t="s">
        <v>83</v>
      </c>
      <c r="B962">
        <v>2021</v>
      </c>
      <c r="C962" t="str">
        <f t="shared" si="14"/>
        <v>INN2021</v>
      </c>
      <c r="D962">
        <v>5.6271228614766791E-14</v>
      </c>
      <c r="E962">
        <v>0.1288967878655865</v>
      </c>
      <c r="F962">
        <v>1.1227318874731891</v>
      </c>
      <c r="G962">
        <v>27.746543967413711</v>
      </c>
      <c r="H962">
        <v>1.572029256093862</v>
      </c>
      <c r="I962">
        <v>0.50997838229306902</v>
      </c>
      <c r="J962">
        <v>0.39861207823819261</v>
      </c>
      <c r="K962">
        <v>-5.107316294478579E-2</v>
      </c>
      <c r="L962">
        <v>0.35425857144135281</v>
      </c>
      <c r="M962">
        <v>19</v>
      </c>
      <c r="N962">
        <v>0</v>
      </c>
      <c r="O962">
        <v>0</v>
      </c>
      <c r="P962">
        <v>0.2636</v>
      </c>
      <c r="Q962">
        <v>0.27739999999999998</v>
      </c>
      <c r="R962">
        <v>0</v>
      </c>
      <c r="S962">
        <v>0</v>
      </c>
      <c r="T962">
        <v>0</v>
      </c>
      <c r="U962">
        <v>5</v>
      </c>
      <c r="V962">
        <v>0</v>
      </c>
      <c r="W962">
        <v>0.2</v>
      </c>
      <c r="X962">
        <v>1</v>
      </c>
      <c r="Y962">
        <v>0.55000000000000004</v>
      </c>
      <c r="Z962">
        <v>1</v>
      </c>
    </row>
    <row r="963" spans="1:26" x14ac:dyDescent="0.2">
      <c r="A963" t="s">
        <v>83</v>
      </c>
      <c r="B963">
        <v>2022</v>
      </c>
      <c r="C963" t="str">
        <f t="shared" ref="C963:C1026" si="15">A963&amp;B963</f>
        <v>INN2022</v>
      </c>
      <c r="D963">
        <v>8.3761882044797041E-14</v>
      </c>
      <c r="E963">
        <v>0.13942855323864989</v>
      </c>
      <c r="F963">
        <v>1.1090820998293469</v>
      </c>
      <c r="G963">
        <v>27.62374376333003</v>
      </c>
      <c r="H963">
        <v>1.438327390026783</v>
      </c>
      <c r="I963">
        <v>0.4036047280022752</v>
      </c>
      <c r="J963">
        <v>-0.1155596475200774</v>
      </c>
      <c r="K963">
        <v>0.27760927777434891</v>
      </c>
      <c r="L963">
        <v>0.38600991618603409</v>
      </c>
      <c r="M963">
        <v>20</v>
      </c>
      <c r="N963">
        <v>0</v>
      </c>
      <c r="O963">
        <v>0</v>
      </c>
      <c r="P963">
        <v>0.2636</v>
      </c>
      <c r="Q963">
        <v>0.27739999999999998</v>
      </c>
      <c r="R963">
        <v>0</v>
      </c>
      <c r="S963">
        <v>0</v>
      </c>
      <c r="T963">
        <v>0</v>
      </c>
      <c r="U963">
        <v>5</v>
      </c>
      <c r="V963">
        <v>0</v>
      </c>
      <c r="W963">
        <v>0.2</v>
      </c>
      <c r="X963">
        <v>1</v>
      </c>
      <c r="Y963">
        <v>0.56000000000000005</v>
      </c>
      <c r="Z963">
        <v>1</v>
      </c>
    </row>
    <row r="964" spans="1:26" x14ac:dyDescent="0.2">
      <c r="A964" t="s">
        <v>83</v>
      </c>
      <c r="B964">
        <v>2023</v>
      </c>
      <c r="C964" t="str">
        <f t="shared" si="15"/>
        <v>INN2023</v>
      </c>
      <c r="D964">
        <v>5243364204384.8467</v>
      </c>
      <c r="E964">
        <v>0.1013159328433907</v>
      </c>
      <c r="F964">
        <v>0.80198849825654328</v>
      </c>
      <c r="G964">
        <v>27.716926801905689</v>
      </c>
      <c r="H964">
        <v>1.4973882322812919</v>
      </c>
      <c r="I964">
        <v>0.1011138226921126</v>
      </c>
      <c r="J964">
        <v>9.7662631486261198E-2</v>
      </c>
      <c r="K964">
        <v>0.28016000140212333</v>
      </c>
      <c r="L964">
        <v>0.28142729549334539</v>
      </c>
      <c r="M964">
        <v>21</v>
      </c>
      <c r="N964">
        <v>0</v>
      </c>
      <c r="O964">
        <v>0</v>
      </c>
      <c r="P964">
        <v>0.2636</v>
      </c>
      <c r="Q964">
        <v>0.27739999999999998</v>
      </c>
      <c r="R964">
        <v>0</v>
      </c>
      <c r="S964">
        <v>0</v>
      </c>
      <c r="T964">
        <v>0</v>
      </c>
      <c r="U964">
        <v>5</v>
      </c>
      <c r="V964">
        <v>0</v>
      </c>
      <c r="W964">
        <v>0.2</v>
      </c>
      <c r="X964">
        <v>1</v>
      </c>
      <c r="Y964">
        <v>0.56000000000000005</v>
      </c>
      <c r="Z964">
        <v>1</v>
      </c>
    </row>
    <row r="965" spans="1:26" x14ac:dyDescent="0.2">
      <c r="A965" t="s">
        <v>84</v>
      </c>
      <c r="B965">
        <v>2012</v>
      </c>
      <c r="C965" t="str">
        <f t="shared" si="15"/>
        <v>ITQ2012</v>
      </c>
      <c r="D965">
        <v>1.958280522275438E-14</v>
      </c>
      <c r="E965">
        <v>2.0113665986145411E-2</v>
      </c>
      <c r="F965">
        <v>1.1250736539685811</v>
      </c>
      <c r="G965">
        <v>26.50917302286328</v>
      </c>
      <c r="H965">
        <v>1.4400310112099961</v>
      </c>
      <c r="I965">
        <v>0.68291825898959369</v>
      </c>
      <c r="J965">
        <v>0.17500472936315919</v>
      </c>
      <c r="K965">
        <v>1.7117164953108201E-2</v>
      </c>
      <c r="L965">
        <v>9.3437857596486096E-2</v>
      </c>
      <c r="M965">
        <v>11</v>
      </c>
      <c r="N965">
        <v>0</v>
      </c>
      <c r="O965">
        <v>0</v>
      </c>
      <c r="P965">
        <v>0.15</v>
      </c>
      <c r="Q965">
        <v>0.21199999999999999</v>
      </c>
      <c r="R965">
        <v>0</v>
      </c>
      <c r="S965">
        <v>0</v>
      </c>
      <c r="T965">
        <v>0</v>
      </c>
      <c r="U965">
        <v>5</v>
      </c>
      <c r="V965">
        <v>1</v>
      </c>
      <c r="W965">
        <v>0.2</v>
      </c>
      <c r="X965">
        <v>1</v>
      </c>
      <c r="Y965">
        <v>0.40200000000000002</v>
      </c>
      <c r="Z965">
        <v>0.8</v>
      </c>
    </row>
    <row r="966" spans="1:26" x14ac:dyDescent="0.2">
      <c r="A966" t="s">
        <v>84</v>
      </c>
      <c r="B966">
        <v>2013</v>
      </c>
      <c r="C966" t="str">
        <f t="shared" si="15"/>
        <v>ITQ2013</v>
      </c>
      <c r="D966">
        <v>1.5111886693863611E-14</v>
      </c>
      <c r="E966">
        <v>2.5093423298053561E-2</v>
      </c>
      <c r="F966">
        <v>0.87396087034357506</v>
      </c>
      <c r="G966">
        <v>26.761660711868931</v>
      </c>
      <c r="H966">
        <v>1.347408290363445</v>
      </c>
      <c r="I966">
        <v>0.74753548213659771</v>
      </c>
      <c r="J966">
        <v>0.28722364905418479</v>
      </c>
      <c r="K966">
        <v>4.52068365839709E-2</v>
      </c>
      <c r="L966">
        <v>7.2750072756213299E-2</v>
      </c>
      <c r="M966">
        <v>12</v>
      </c>
      <c r="N966">
        <v>0</v>
      </c>
      <c r="O966">
        <v>0</v>
      </c>
      <c r="P966">
        <v>0.15</v>
      </c>
      <c r="Q966">
        <v>0.21199999999999999</v>
      </c>
      <c r="R966">
        <v>0</v>
      </c>
      <c r="S966">
        <v>0</v>
      </c>
      <c r="T966">
        <v>0</v>
      </c>
      <c r="U966">
        <v>5</v>
      </c>
      <c r="V966">
        <v>1</v>
      </c>
      <c r="W966">
        <v>0.2</v>
      </c>
      <c r="X966">
        <v>1</v>
      </c>
      <c r="Y966">
        <v>0.40270000000000011</v>
      </c>
      <c r="Z966">
        <v>0.8</v>
      </c>
    </row>
    <row r="967" spans="1:26" x14ac:dyDescent="0.2">
      <c r="A967" t="s">
        <v>84</v>
      </c>
      <c r="B967">
        <v>2014</v>
      </c>
      <c r="C967" t="str">
        <f t="shared" si="15"/>
        <v>ITQ2014</v>
      </c>
      <c r="D967">
        <v>1.5268524283462699E-13</v>
      </c>
      <c r="E967">
        <v>0.1077915368296023</v>
      </c>
      <c r="F967">
        <v>1.784699040683555</v>
      </c>
      <c r="G967">
        <v>26.58362280836802</v>
      </c>
      <c r="H967">
        <v>1.2445278004438181</v>
      </c>
      <c r="I967">
        <v>0.50302665637404986</v>
      </c>
      <c r="J967">
        <v>-0.16308929895794241</v>
      </c>
      <c r="K967">
        <v>-0.1089323175993374</v>
      </c>
      <c r="L967">
        <v>8.1359456611767064E-2</v>
      </c>
      <c r="M967">
        <v>13</v>
      </c>
      <c r="N967">
        <v>0</v>
      </c>
      <c r="O967">
        <v>0</v>
      </c>
      <c r="P967">
        <v>7.4999999999999997E-2</v>
      </c>
      <c r="Q967">
        <v>3.2199999999999999E-2</v>
      </c>
      <c r="R967">
        <v>0</v>
      </c>
      <c r="S967">
        <v>0</v>
      </c>
      <c r="T967">
        <v>0</v>
      </c>
      <c r="U967">
        <v>5</v>
      </c>
      <c r="V967">
        <v>1</v>
      </c>
      <c r="W967">
        <v>0.2</v>
      </c>
      <c r="X967">
        <v>1</v>
      </c>
      <c r="Y967">
        <v>0.41270000000000001</v>
      </c>
      <c r="Z967">
        <v>0.8</v>
      </c>
    </row>
    <row r="968" spans="1:26" x14ac:dyDescent="0.2">
      <c r="A968" t="s">
        <v>84</v>
      </c>
      <c r="B968">
        <v>2015</v>
      </c>
      <c r="C968" t="str">
        <f t="shared" si="15"/>
        <v>ITQ2015</v>
      </c>
      <c r="D968">
        <v>8.293980270796738E-14</v>
      </c>
      <c r="E968">
        <v>6.7580203641920591E-2</v>
      </c>
      <c r="F968">
        <v>0.73241661479962805</v>
      </c>
      <c r="G968">
        <v>26.852729553538381</v>
      </c>
      <c r="H968">
        <v>1.8230978385873791</v>
      </c>
      <c r="I968">
        <v>0.43644569594949961</v>
      </c>
      <c r="J968">
        <v>0.30879484111845912</v>
      </c>
      <c r="K968">
        <v>-8.2441467747770822E-2</v>
      </c>
      <c r="L968">
        <v>0.1366328884138078</v>
      </c>
      <c r="M968">
        <v>14</v>
      </c>
      <c r="N968">
        <v>0</v>
      </c>
      <c r="O968">
        <v>0</v>
      </c>
      <c r="P968">
        <v>7.4999999999999997E-2</v>
      </c>
      <c r="Q968">
        <v>7.7499999999999999E-2</v>
      </c>
      <c r="R968">
        <v>0</v>
      </c>
      <c r="S968">
        <v>0</v>
      </c>
      <c r="T968">
        <v>0</v>
      </c>
      <c r="U968">
        <v>5</v>
      </c>
      <c r="V968">
        <v>1</v>
      </c>
      <c r="W968">
        <v>0.4</v>
      </c>
      <c r="X968">
        <v>1</v>
      </c>
      <c r="Y968">
        <v>0.42270000000000002</v>
      </c>
      <c r="Z968">
        <v>0.8</v>
      </c>
    </row>
    <row r="969" spans="1:26" x14ac:dyDescent="0.2">
      <c r="A969" t="s">
        <v>84</v>
      </c>
      <c r="B969">
        <v>2016</v>
      </c>
      <c r="C969" t="str">
        <f t="shared" si="15"/>
        <v>ITQ2016</v>
      </c>
      <c r="D969">
        <v>6.4598656896496848E-15</v>
      </c>
      <c r="E969">
        <v>4.6605494017075691E-3</v>
      </c>
      <c r="F969">
        <v>0.58412602037866646</v>
      </c>
      <c r="G969">
        <v>26.768871481965721</v>
      </c>
      <c r="H969">
        <v>1.9886632687806951</v>
      </c>
      <c r="I969">
        <v>0.41472557899760598</v>
      </c>
      <c r="J969">
        <v>-8.0438241211848172E-2</v>
      </c>
      <c r="K969">
        <v>5.1738533899184487E-2</v>
      </c>
      <c r="L969">
        <v>0.13769103224644089</v>
      </c>
      <c r="M969">
        <v>15</v>
      </c>
      <c r="N969">
        <v>0</v>
      </c>
      <c r="O969">
        <v>0</v>
      </c>
      <c r="P969">
        <v>7.4999999999999997E-2</v>
      </c>
      <c r="Q969">
        <v>7.7499999999999999E-2</v>
      </c>
      <c r="R969">
        <v>0</v>
      </c>
      <c r="S969">
        <v>0</v>
      </c>
      <c r="T969">
        <v>0</v>
      </c>
      <c r="U969">
        <v>5</v>
      </c>
      <c r="V969">
        <v>1</v>
      </c>
      <c r="W969">
        <v>0.4</v>
      </c>
      <c r="X969">
        <v>1</v>
      </c>
      <c r="Y969">
        <v>0.43269999999999997</v>
      </c>
      <c r="Z969">
        <v>0.8</v>
      </c>
    </row>
    <row r="970" spans="1:26" x14ac:dyDescent="0.2">
      <c r="A970" t="s">
        <v>84</v>
      </c>
      <c r="B970">
        <v>2017</v>
      </c>
      <c r="C970" t="str">
        <f t="shared" si="15"/>
        <v>ITQ2017</v>
      </c>
      <c r="D970">
        <v>2.2164023210167479E-14</v>
      </c>
      <c r="E970">
        <v>1.6167352883920499E-2</v>
      </c>
      <c r="F970">
        <v>0.58036416719862327</v>
      </c>
      <c r="G970">
        <v>26.78240406215825</v>
      </c>
      <c r="H970">
        <v>2.068481518074599</v>
      </c>
      <c r="I970">
        <v>0.41324070939507351</v>
      </c>
      <c r="J970">
        <v>1.362455999556467E-2</v>
      </c>
      <c r="K970">
        <v>8.5302043427537805E-2</v>
      </c>
      <c r="L970">
        <v>0.16736765313102031</v>
      </c>
      <c r="M970">
        <v>16</v>
      </c>
      <c r="N970">
        <v>0</v>
      </c>
      <c r="O970">
        <v>0</v>
      </c>
      <c r="P970">
        <v>7.4999999999999997E-2</v>
      </c>
      <c r="Q970">
        <v>0.12690000000000001</v>
      </c>
      <c r="R970">
        <v>0</v>
      </c>
      <c r="S970">
        <v>0</v>
      </c>
      <c r="T970">
        <v>0</v>
      </c>
      <c r="U970">
        <v>5</v>
      </c>
      <c r="V970">
        <v>1</v>
      </c>
      <c r="W970">
        <v>0.2</v>
      </c>
      <c r="X970">
        <v>1</v>
      </c>
      <c r="Y970">
        <v>0.39</v>
      </c>
      <c r="Z970">
        <v>1</v>
      </c>
    </row>
    <row r="971" spans="1:26" x14ac:dyDescent="0.2">
      <c r="A971" t="s">
        <v>84</v>
      </c>
      <c r="B971">
        <v>2018</v>
      </c>
      <c r="C971" t="str">
        <f t="shared" si="15"/>
        <v>ITQ2018</v>
      </c>
      <c r="D971">
        <v>3.6793198038510692E-14</v>
      </c>
      <c r="E971">
        <v>2.6920137847199769E-2</v>
      </c>
      <c r="F971">
        <v>0.59295435127568941</v>
      </c>
      <c r="G971">
        <v>26.797163314139031</v>
      </c>
      <c r="H971">
        <v>1.958493788238854</v>
      </c>
      <c r="I971">
        <v>0.40632273666623198</v>
      </c>
      <c r="J971">
        <v>1.4868707571539019E-2</v>
      </c>
      <c r="K971">
        <v>1.935805535568929E-2</v>
      </c>
      <c r="L971">
        <v>0.15769828543834491</v>
      </c>
      <c r="M971">
        <v>17</v>
      </c>
      <c r="N971">
        <v>0</v>
      </c>
      <c r="O971">
        <v>0</v>
      </c>
      <c r="P971">
        <v>7.4999999999999997E-2</v>
      </c>
      <c r="Q971">
        <v>9.6999999999999989E-2</v>
      </c>
      <c r="R971">
        <v>0</v>
      </c>
      <c r="S971">
        <v>0</v>
      </c>
      <c r="T971">
        <v>0</v>
      </c>
      <c r="U971">
        <v>3</v>
      </c>
      <c r="V971">
        <v>1</v>
      </c>
      <c r="W971">
        <v>0</v>
      </c>
      <c r="X971">
        <v>1</v>
      </c>
      <c r="Y971">
        <v>0.38669999999999999</v>
      </c>
      <c r="Z971">
        <v>1</v>
      </c>
    </row>
    <row r="972" spans="1:26" x14ac:dyDescent="0.2">
      <c r="A972" t="s">
        <v>84</v>
      </c>
      <c r="B972">
        <v>2019</v>
      </c>
      <c r="C972" t="str">
        <f t="shared" si="15"/>
        <v>ITQ2019</v>
      </c>
      <c r="D972">
        <v>4.5441772572743674E-15</v>
      </c>
      <c r="E972">
        <v>2.8981131586227021E-3</v>
      </c>
      <c r="F972">
        <v>0.48128874307698988</v>
      </c>
      <c r="G972">
        <v>26.729044589388721</v>
      </c>
      <c r="H972">
        <v>2.0186938860868562</v>
      </c>
      <c r="I972">
        <v>0.36376655243993428</v>
      </c>
      <c r="J972">
        <v>-6.5850439680026573E-2</v>
      </c>
      <c r="K972">
        <v>2.9047489016230089E-2</v>
      </c>
      <c r="L972">
        <v>0.14386402073541851</v>
      </c>
      <c r="M972">
        <v>18</v>
      </c>
      <c r="N972">
        <v>0</v>
      </c>
      <c r="O972">
        <v>1</v>
      </c>
      <c r="P972">
        <v>7.4999999999999997E-2</v>
      </c>
      <c r="Q972">
        <v>0.10150000000000001</v>
      </c>
      <c r="R972">
        <v>0</v>
      </c>
      <c r="S972">
        <v>0</v>
      </c>
      <c r="T972">
        <v>0</v>
      </c>
      <c r="U972">
        <v>3</v>
      </c>
      <c r="V972">
        <v>1</v>
      </c>
      <c r="W972">
        <v>0</v>
      </c>
      <c r="X972">
        <v>1</v>
      </c>
      <c r="Y972">
        <v>0.3967</v>
      </c>
      <c r="Z972">
        <v>1</v>
      </c>
    </row>
    <row r="973" spans="1:26" x14ac:dyDescent="0.2">
      <c r="A973" t="s">
        <v>84</v>
      </c>
      <c r="B973">
        <v>2020</v>
      </c>
      <c r="C973" t="str">
        <f t="shared" si="15"/>
        <v>ITQ2020</v>
      </c>
      <c r="D973">
        <v>1.308767803824869E-14</v>
      </c>
      <c r="E973">
        <v>7.4380544668978098E-3</v>
      </c>
      <c r="F973">
        <v>0.51045402586075117</v>
      </c>
      <c r="G973">
        <v>26.66508192229557</v>
      </c>
      <c r="H973">
        <v>2.2896247466311448</v>
      </c>
      <c r="I973">
        <v>0.3302677893611633</v>
      </c>
      <c r="J973">
        <v>-6.195998136232294E-2</v>
      </c>
      <c r="K973">
        <v>4.8659174598018273E-2</v>
      </c>
      <c r="L973">
        <v>0.15288470815679639</v>
      </c>
      <c r="M973">
        <v>19</v>
      </c>
      <c r="N973">
        <v>0</v>
      </c>
      <c r="O973">
        <v>1</v>
      </c>
      <c r="P973">
        <v>0.1169</v>
      </c>
      <c r="Q973">
        <v>0.14449999999999999</v>
      </c>
      <c r="R973">
        <v>0</v>
      </c>
      <c r="S973">
        <v>0</v>
      </c>
      <c r="T973">
        <v>0</v>
      </c>
      <c r="U973">
        <v>3</v>
      </c>
      <c r="V973">
        <v>0</v>
      </c>
      <c r="W973">
        <v>0</v>
      </c>
      <c r="X973">
        <v>1</v>
      </c>
      <c r="Y973">
        <v>0.39800000000000002</v>
      </c>
      <c r="Z973">
        <v>1</v>
      </c>
    </row>
    <row r="974" spans="1:26" x14ac:dyDescent="0.2">
      <c r="A974" t="s">
        <v>84</v>
      </c>
      <c r="B974">
        <v>2021</v>
      </c>
      <c r="C974" t="str">
        <f t="shared" si="15"/>
        <v>ITQ2021</v>
      </c>
      <c r="D974">
        <v>4.9182436357007322E-14</v>
      </c>
      <c r="E974">
        <v>4.6501610341723822E-2</v>
      </c>
      <c r="F974">
        <v>0.93206003008432725</v>
      </c>
      <c r="G974">
        <v>26.94907213458929</v>
      </c>
      <c r="H974">
        <v>2.51320070874295</v>
      </c>
      <c r="I974">
        <v>0.46521974200916388</v>
      </c>
      <c r="J974">
        <v>0.32841992850508661</v>
      </c>
      <c r="K974">
        <v>9.5319568966683185E-2</v>
      </c>
      <c r="L974">
        <v>0.1212960971286388</v>
      </c>
      <c r="M974">
        <v>20</v>
      </c>
      <c r="N974">
        <v>0</v>
      </c>
      <c r="O974">
        <v>0</v>
      </c>
      <c r="P974">
        <v>0.126</v>
      </c>
      <c r="Q974">
        <v>0.1489</v>
      </c>
      <c r="R974">
        <v>0</v>
      </c>
      <c r="S974">
        <v>0</v>
      </c>
      <c r="T974">
        <v>0</v>
      </c>
      <c r="U974">
        <v>3</v>
      </c>
      <c r="V974">
        <v>0</v>
      </c>
      <c r="W974">
        <v>0</v>
      </c>
      <c r="X974">
        <v>1</v>
      </c>
      <c r="Y974">
        <v>0.40799999999999997</v>
      </c>
      <c r="Z974">
        <v>1</v>
      </c>
    </row>
    <row r="975" spans="1:26" x14ac:dyDescent="0.2">
      <c r="A975" t="s">
        <v>84</v>
      </c>
      <c r="B975">
        <v>2022</v>
      </c>
      <c r="C975" t="str">
        <f t="shared" si="15"/>
        <v>ITQ2022</v>
      </c>
      <c r="D975">
        <v>-5.8590119812085453E-14</v>
      </c>
      <c r="E975">
        <v>-5.3759962365784238E-2</v>
      </c>
      <c r="F975">
        <v>0.55072379247651015</v>
      </c>
      <c r="G975">
        <v>27.033707385601261</v>
      </c>
      <c r="H975">
        <v>1.696797716743802</v>
      </c>
      <c r="I975">
        <v>0.40027055353610658</v>
      </c>
      <c r="J975">
        <v>8.8320030663715077E-2</v>
      </c>
      <c r="K975">
        <v>-0.19832727415628751</v>
      </c>
      <c r="L975">
        <v>0.15023788024254889</v>
      </c>
      <c r="M975">
        <v>21</v>
      </c>
      <c r="N975">
        <v>0</v>
      </c>
      <c r="O975">
        <v>0</v>
      </c>
      <c r="P975">
        <v>8.7499999999999994E-2</v>
      </c>
      <c r="Q975">
        <v>9.3699999999999992E-2</v>
      </c>
      <c r="R975">
        <v>0</v>
      </c>
      <c r="S975">
        <v>0</v>
      </c>
      <c r="T975">
        <v>0</v>
      </c>
      <c r="U975">
        <v>3</v>
      </c>
      <c r="V975">
        <v>0</v>
      </c>
      <c r="W975">
        <v>0</v>
      </c>
      <c r="X975">
        <v>1</v>
      </c>
      <c r="Y975">
        <v>0.41799999999999998</v>
      </c>
      <c r="Z975">
        <v>1</v>
      </c>
    </row>
    <row r="976" spans="1:26" x14ac:dyDescent="0.2">
      <c r="A976" t="s">
        <v>84</v>
      </c>
      <c r="B976">
        <v>2023</v>
      </c>
      <c r="C976" t="str">
        <f t="shared" si="15"/>
        <v>ITQ2023</v>
      </c>
      <c r="D976">
        <v>-31429521291.173882</v>
      </c>
      <c r="E976">
        <v>4.7562590471497438E-3</v>
      </c>
      <c r="F976">
        <v>0.37778887817270701</v>
      </c>
      <c r="G976">
        <v>26.97058191679816</v>
      </c>
      <c r="H976">
        <v>1.912286499002827</v>
      </c>
      <c r="I976">
        <v>0.21753203467891841</v>
      </c>
      <c r="J976">
        <v>-6.1174327034371083E-2</v>
      </c>
      <c r="K976">
        <v>6.7309978206025065E-2</v>
      </c>
      <c r="L976">
        <v>0.1480972604108354</v>
      </c>
      <c r="M976">
        <v>22</v>
      </c>
      <c r="N976">
        <v>0</v>
      </c>
      <c r="O976">
        <v>0</v>
      </c>
      <c r="P976">
        <v>8.7499999999999994E-2</v>
      </c>
      <c r="Q976">
        <v>9.3699999999999992E-2</v>
      </c>
      <c r="R976">
        <v>0</v>
      </c>
      <c r="S976">
        <v>0</v>
      </c>
      <c r="T976">
        <v>0</v>
      </c>
      <c r="U976">
        <v>3</v>
      </c>
      <c r="V976">
        <v>0</v>
      </c>
      <c r="W976">
        <v>0</v>
      </c>
      <c r="X976">
        <v>1</v>
      </c>
      <c r="Y976">
        <v>0.41799999999999998</v>
      </c>
      <c r="Z976">
        <v>1</v>
      </c>
    </row>
    <row r="977" spans="1:26" x14ac:dyDescent="0.2">
      <c r="A977" t="s">
        <v>85</v>
      </c>
      <c r="B977">
        <v>2012</v>
      </c>
      <c r="C977" t="str">
        <f t="shared" si="15"/>
        <v>KDC2012</v>
      </c>
      <c r="D977">
        <v>1.175292973789045E-14</v>
      </c>
      <c r="E977">
        <v>8.9128503840750758E-2</v>
      </c>
      <c r="F977">
        <v>1.4155800088147761</v>
      </c>
      <c r="G977">
        <v>29.338439179167299</v>
      </c>
      <c r="H977">
        <v>1.434509098122793</v>
      </c>
      <c r="I977">
        <v>0.26643868970041928</v>
      </c>
      <c r="J977">
        <v>-5.4460763935809453E-2</v>
      </c>
      <c r="K977">
        <v>0.1234613830311847</v>
      </c>
      <c r="L977">
        <v>0.18856972095127919</v>
      </c>
      <c r="M977">
        <v>19</v>
      </c>
      <c r="N977">
        <v>1</v>
      </c>
      <c r="O977">
        <v>0</v>
      </c>
      <c r="P977">
        <v>0.26829999999999998</v>
      </c>
      <c r="Q977">
        <v>0.13569999999999999</v>
      </c>
      <c r="R977">
        <v>0.1023</v>
      </c>
      <c r="S977">
        <v>0</v>
      </c>
      <c r="T977">
        <v>0.18390000000000001</v>
      </c>
      <c r="U977">
        <v>9</v>
      </c>
      <c r="V977">
        <v>0</v>
      </c>
      <c r="W977">
        <v>0.22222222222222221</v>
      </c>
      <c r="X977">
        <v>1</v>
      </c>
      <c r="Y977">
        <v>0.43519999999999998</v>
      </c>
      <c r="Z977">
        <v>1</v>
      </c>
    </row>
    <row r="978" spans="1:26" x14ac:dyDescent="0.2">
      <c r="A978" t="s">
        <v>85</v>
      </c>
      <c r="B978">
        <v>2013</v>
      </c>
      <c r="C978" t="str">
        <f t="shared" si="15"/>
        <v>KDC2013</v>
      </c>
      <c r="D978">
        <v>1.2113285550314431E-14</v>
      </c>
      <c r="E978">
        <v>0.1009481490527893</v>
      </c>
      <c r="F978">
        <v>1.553966380561514</v>
      </c>
      <c r="G978">
        <v>29.483914187851351</v>
      </c>
      <c r="H978">
        <v>1.6920037312199421</v>
      </c>
      <c r="I978">
        <v>0.23439523599573661</v>
      </c>
      <c r="J978">
        <v>0.1565888295441413</v>
      </c>
      <c r="K978">
        <v>0.11340096232428661</v>
      </c>
      <c r="L978">
        <v>0.1638368156759126</v>
      </c>
      <c r="M978">
        <v>20</v>
      </c>
      <c r="N978">
        <v>1</v>
      </c>
      <c r="O978">
        <v>0</v>
      </c>
      <c r="P978">
        <v>0.42590000000000011</v>
      </c>
      <c r="Q978">
        <v>0.1341</v>
      </c>
      <c r="R978">
        <v>0.15459999999999999</v>
      </c>
      <c r="S978">
        <v>0</v>
      </c>
      <c r="T978">
        <v>0.34239999999999998</v>
      </c>
      <c r="U978">
        <v>9</v>
      </c>
      <c r="V978">
        <v>0</v>
      </c>
      <c r="W978">
        <v>0.22222222222222221</v>
      </c>
      <c r="X978">
        <v>1</v>
      </c>
      <c r="Y978">
        <v>0.43619999999999998</v>
      </c>
      <c r="Z978">
        <v>1</v>
      </c>
    </row>
    <row r="979" spans="1:26" x14ac:dyDescent="0.2">
      <c r="A979" t="s">
        <v>85</v>
      </c>
      <c r="B979">
        <v>2014</v>
      </c>
      <c r="C979" t="str">
        <f t="shared" si="15"/>
        <v>KDC2014</v>
      </c>
      <c r="D979">
        <v>8.6591847386931426E-15</v>
      </c>
      <c r="E979">
        <v>8.6820484493946984E-2</v>
      </c>
      <c r="F979">
        <v>1.8183025391193099</v>
      </c>
      <c r="G979">
        <v>29.69482559736247</v>
      </c>
      <c r="H979">
        <v>2.5355373506915031</v>
      </c>
      <c r="I979">
        <v>0.20165188201657511</v>
      </c>
      <c r="J979">
        <v>0.2348029584179592</v>
      </c>
      <c r="K979">
        <v>0.1920422928806288</v>
      </c>
      <c r="L979">
        <v>0.12271624607178901</v>
      </c>
      <c r="M979">
        <v>21</v>
      </c>
      <c r="N979">
        <v>1</v>
      </c>
      <c r="O979">
        <v>0</v>
      </c>
      <c r="P979">
        <v>0.26400000000000001</v>
      </c>
      <c r="Q979">
        <v>9.0700000000000003E-2</v>
      </c>
      <c r="R979">
        <v>5.0999999999999997E-2</v>
      </c>
      <c r="S979">
        <v>0</v>
      </c>
      <c r="T979">
        <v>0.19900000000000001</v>
      </c>
      <c r="U979">
        <v>9</v>
      </c>
      <c r="V979">
        <v>0</v>
      </c>
      <c r="W979">
        <v>0.22222222222222221</v>
      </c>
      <c r="X979">
        <v>1</v>
      </c>
      <c r="Y979">
        <v>0.44400000000000001</v>
      </c>
      <c r="Z979">
        <v>1</v>
      </c>
    </row>
    <row r="980" spans="1:26" x14ac:dyDescent="0.2">
      <c r="A980" t="s">
        <v>85</v>
      </c>
      <c r="B980">
        <v>2015</v>
      </c>
      <c r="C980" t="str">
        <f t="shared" si="15"/>
        <v>KDC2015</v>
      </c>
      <c r="D980">
        <v>1.1655072556500569E-13</v>
      </c>
      <c r="E980">
        <v>0.98212875853825976</v>
      </c>
      <c r="F980">
        <v>1.05187950667828</v>
      </c>
      <c r="G980">
        <v>29.5367205482362</v>
      </c>
      <c r="H980">
        <v>2.8018940235445831</v>
      </c>
      <c r="I980">
        <v>0.2020396706081273</v>
      </c>
      <c r="J980">
        <v>-0.14623990949399621</v>
      </c>
      <c r="K980">
        <v>3.4313362459704251E-3</v>
      </c>
      <c r="L980">
        <v>5.1625578683621373E-2</v>
      </c>
      <c r="M980">
        <v>22</v>
      </c>
      <c r="N980">
        <v>1</v>
      </c>
      <c r="O980">
        <v>0</v>
      </c>
      <c r="P980">
        <v>0.36520000000000002</v>
      </c>
      <c r="Q980">
        <v>0.1203</v>
      </c>
      <c r="R980">
        <v>5.5500000000000001E-2</v>
      </c>
      <c r="S980">
        <v>0</v>
      </c>
      <c r="T980">
        <v>0.23910000000000001</v>
      </c>
      <c r="U980">
        <v>9</v>
      </c>
      <c r="V980">
        <v>0</v>
      </c>
      <c r="W980">
        <v>0.22222222222222221</v>
      </c>
      <c r="X980">
        <v>1</v>
      </c>
      <c r="Y980">
        <v>0.46289999999999998</v>
      </c>
      <c r="Z980">
        <v>1</v>
      </c>
    </row>
    <row r="981" spans="1:26" x14ac:dyDescent="0.2">
      <c r="A981" t="s">
        <v>85</v>
      </c>
      <c r="B981">
        <v>2016</v>
      </c>
      <c r="C981" t="str">
        <f t="shared" si="15"/>
        <v>KDC2016</v>
      </c>
      <c r="D981">
        <v>1.511244380310359E-14</v>
      </c>
      <c r="E981">
        <v>0.19069373691642549</v>
      </c>
      <c r="F981">
        <v>1.2647115655222421</v>
      </c>
      <c r="G981">
        <v>29.811327855822409</v>
      </c>
      <c r="H981">
        <v>3.143443362286543</v>
      </c>
      <c r="I981">
        <v>0.29871676702113747</v>
      </c>
      <c r="J981">
        <v>0.39315140176244778</v>
      </c>
      <c r="K981">
        <v>-1.4220740189174979E-3</v>
      </c>
      <c r="L981">
        <v>9.3309066193042384E-2</v>
      </c>
      <c r="M981">
        <v>23</v>
      </c>
      <c r="N981">
        <v>1</v>
      </c>
      <c r="O981">
        <v>0</v>
      </c>
      <c r="P981">
        <v>0.30520000000000003</v>
      </c>
      <c r="Q981">
        <v>0.12909999999999999</v>
      </c>
      <c r="R981">
        <v>0</v>
      </c>
      <c r="S981">
        <v>0</v>
      </c>
      <c r="T981">
        <v>0.18360000000000001</v>
      </c>
      <c r="U981">
        <v>9</v>
      </c>
      <c r="V981">
        <v>0</v>
      </c>
      <c r="W981">
        <v>0.22222222222222221</v>
      </c>
      <c r="X981">
        <v>1</v>
      </c>
      <c r="Y981">
        <v>0.4768</v>
      </c>
      <c r="Z981">
        <v>1</v>
      </c>
    </row>
    <row r="982" spans="1:26" x14ac:dyDescent="0.2">
      <c r="A982" t="s">
        <v>85</v>
      </c>
      <c r="B982">
        <v>2017</v>
      </c>
      <c r="C982" t="str">
        <f t="shared" si="15"/>
        <v>KDC2017</v>
      </c>
      <c r="D982">
        <v>4.1903398529888608E-15</v>
      </c>
      <c r="E982">
        <v>6.8532447311302994E-2</v>
      </c>
      <c r="F982">
        <v>1.027083209282633</v>
      </c>
      <c r="G982">
        <v>30.056458614139689</v>
      </c>
      <c r="H982">
        <v>3.149547687765073</v>
      </c>
      <c r="I982">
        <v>0.30863541650262172</v>
      </c>
      <c r="J982">
        <v>0.36102892154756733</v>
      </c>
      <c r="K982">
        <v>6.9731697975244228E-3</v>
      </c>
      <c r="L982">
        <v>0.1027758476540023</v>
      </c>
      <c r="M982">
        <v>24</v>
      </c>
      <c r="N982">
        <v>1</v>
      </c>
      <c r="O982">
        <v>0</v>
      </c>
      <c r="P982">
        <v>0.32429999999999998</v>
      </c>
      <c r="Q982">
        <v>0.13089999999999999</v>
      </c>
      <c r="R982">
        <v>0</v>
      </c>
      <c r="S982">
        <v>0</v>
      </c>
      <c r="T982">
        <v>0.18360000000000001</v>
      </c>
      <c r="U982">
        <v>9</v>
      </c>
      <c r="V982">
        <v>0</v>
      </c>
      <c r="W982">
        <v>0.22222222222222221</v>
      </c>
      <c r="X982">
        <v>1</v>
      </c>
      <c r="Y982">
        <v>0.48680000000000001</v>
      </c>
      <c r="Z982">
        <v>1</v>
      </c>
    </row>
    <row r="983" spans="1:26" x14ac:dyDescent="0.2">
      <c r="A983" t="s">
        <v>85</v>
      </c>
      <c r="B983">
        <v>2018</v>
      </c>
      <c r="C983" t="str">
        <f t="shared" si="15"/>
        <v>KDC2018</v>
      </c>
      <c r="D983">
        <v>9.4309309337147273E-16</v>
      </c>
      <c r="E983">
        <v>1.7662873320155752E-2</v>
      </c>
      <c r="F983">
        <v>0.7297503767158352</v>
      </c>
      <c r="G983">
        <v>30.157672557688631</v>
      </c>
      <c r="H983">
        <v>2.3334890403860689</v>
      </c>
      <c r="I983">
        <v>0.33195765926917897</v>
      </c>
      <c r="J983">
        <v>-1.6886344150584879E-2</v>
      </c>
      <c r="K983">
        <v>1.4743364004565799E-2</v>
      </c>
      <c r="L983">
        <v>7.7862323932573238E-2</v>
      </c>
      <c r="M983">
        <v>25</v>
      </c>
      <c r="N983">
        <v>1</v>
      </c>
      <c r="O983">
        <v>0</v>
      </c>
      <c r="P983">
        <v>0.52890000000000004</v>
      </c>
      <c r="Q983">
        <v>0.1618</v>
      </c>
      <c r="R983">
        <v>0.15129999999999999</v>
      </c>
      <c r="S983">
        <v>0</v>
      </c>
      <c r="T983">
        <v>0.38819999999999999</v>
      </c>
      <c r="U983">
        <v>9</v>
      </c>
      <c r="V983">
        <v>0</v>
      </c>
      <c r="W983">
        <v>0.22222222222222221</v>
      </c>
      <c r="X983">
        <v>1</v>
      </c>
      <c r="Y983">
        <v>0.49680000000000002</v>
      </c>
      <c r="Z983">
        <v>1</v>
      </c>
    </row>
    <row r="984" spans="1:26" x14ac:dyDescent="0.2">
      <c r="A984" t="s">
        <v>85</v>
      </c>
      <c r="B984">
        <v>2019</v>
      </c>
      <c r="C984" t="str">
        <f t="shared" si="15"/>
        <v>KDC2019</v>
      </c>
      <c r="D984">
        <v>1.455707872367594E-15</v>
      </c>
      <c r="E984">
        <v>2.5412842386406339E-2</v>
      </c>
      <c r="F984">
        <v>0.65173576780926956</v>
      </c>
      <c r="G984">
        <v>30.110257857791911</v>
      </c>
      <c r="H984">
        <v>2.0228077960238489</v>
      </c>
      <c r="I984">
        <v>0.31649794594099723</v>
      </c>
      <c r="J984">
        <v>-4.8048790897320948E-2</v>
      </c>
      <c r="K984">
        <v>5.2730098702072833E-2</v>
      </c>
      <c r="L984">
        <v>7.3075469971114138E-2</v>
      </c>
      <c r="M984">
        <v>26</v>
      </c>
      <c r="N984">
        <v>1</v>
      </c>
      <c r="O984">
        <v>1</v>
      </c>
      <c r="P984">
        <v>0.53249999999999997</v>
      </c>
      <c r="Q984">
        <v>0.1615</v>
      </c>
      <c r="R984">
        <v>0.1542</v>
      </c>
      <c r="S984">
        <v>0</v>
      </c>
      <c r="T984">
        <v>0.39150000000000001</v>
      </c>
      <c r="U984">
        <v>9</v>
      </c>
      <c r="V984">
        <v>0</v>
      </c>
      <c r="W984">
        <v>0.22222222222222221</v>
      </c>
      <c r="X984">
        <v>1</v>
      </c>
      <c r="Y984">
        <v>0.50680000000000003</v>
      </c>
      <c r="Z984">
        <v>1</v>
      </c>
    </row>
    <row r="985" spans="1:26" x14ac:dyDescent="0.2">
      <c r="A985" t="s">
        <v>85</v>
      </c>
      <c r="B985">
        <v>2020</v>
      </c>
      <c r="C985" t="str">
        <f t="shared" si="15"/>
        <v>KDC2020</v>
      </c>
      <c r="D985">
        <v>2.1654699696939422E-15</v>
      </c>
      <c r="E985">
        <v>4.2891425944732463E-2</v>
      </c>
      <c r="F985">
        <v>1.061893241893018</v>
      </c>
      <c r="G985">
        <v>30.14460876826152</v>
      </c>
      <c r="H985">
        <v>1.829817024055284</v>
      </c>
      <c r="I985">
        <v>0.37652516667545849</v>
      </c>
      <c r="J985">
        <v>3.4947717004186751E-2</v>
      </c>
      <c r="K985">
        <v>2.209266082692201E-2</v>
      </c>
      <c r="L985">
        <v>6.7567469079284015E-2</v>
      </c>
      <c r="M985">
        <v>27</v>
      </c>
      <c r="N985">
        <v>1</v>
      </c>
      <c r="O985">
        <v>1</v>
      </c>
      <c r="P985">
        <v>0.37080000000000002</v>
      </c>
      <c r="Q985">
        <v>0.15040000000000001</v>
      </c>
      <c r="R985">
        <v>0.10349999999999999</v>
      </c>
      <c r="S985">
        <v>0</v>
      </c>
      <c r="T985">
        <v>0.26019999999999999</v>
      </c>
      <c r="U985">
        <v>9</v>
      </c>
      <c r="V985">
        <v>0</v>
      </c>
      <c r="W985">
        <v>0.33333333333333331</v>
      </c>
      <c r="X985">
        <v>1</v>
      </c>
      <c r="Y985">
        <v>0.51390000000000002</v>
      </c>
      <c r="Z985">
        <v>1</v>
      </c>
    </row>
    <row r="986" spans="1:26" x14ac:dyDescent="0.2">
      <c r="A986" t="s">
        <v>85</v>
      </c>
      <c r="B986">
        <v>2021</v>
      </c>
      <c r="C986" t="str">
        <f t="shared" si="15"/>
        <v>KDC2021</v>
      </c>
      <c r="D986">
        <v>3.2987635686179411E-15</v>
      </c>
      <c r="E986">
        <v>9.4753362342764838E-2</v>
      </c>
      <c r="F986">
        <v>1.4756053382560841</v>
      </c>
      <c r="G986">
        <v>30.275258261243678</v>
      </c>
      <c r="H986">
        <v>1.4394219453603769</v>
      </c>
      <c r="I986">
        <v>0.51006985653484493</v>
      </c>
      <c r="J986">
        <v>0.13956828462181201</v>
      </c>
      <c r="K986">
        <v>1.5307988270355141E-2</v>
      </c>
      <c r="L986">
        <v>6.4934787687565332E-2</v>
      </c>
      <c r="M986">
        <v>28</v>
      </c>
      <c r="N986">
        <v>1</v>
      </c>
      <c r="O986">
        <v>0</v>
      </c>
      <c r="P986">
        <v>0.4133</v>
      </c>
      <c r="Q986">
        <v>0.1401</v>
      </c>
      <c r="R986">
        <v>0.11310000000000001</v>
      </c>
      <c r="S986">
        <v>0</v>
      </c>
      <c r="T986">
        <v>0.27810000000000001</v>
      </c>
      <c r="U986">
        <v>9</v>
      </c>
      <c r="V986">
        <v>0</v>
      </c>
      <c r="W986">
        <v>0.33333333333333331</v>
      </c>
      <c r="X986">
        <v>1</v>
      </c>
      <c r="Y986">
        <v>0.52670000000000006</v>
      </c>
      <c r="Z986">
        <v>1</v>
      </c>
    </row>
    <row r="987" spans="1:26" x14ac:dyDescent="0.2">
      <c r="A987" t="s">
        <v>85</v>
      </c>
      <c r="B987">
        <v>2022</v>
      </c>
      <c r="C987" t="str">
        <f t="shared" si="15"/>
        <v>KDC2022</v>
      </c>
      <c r="D987">
        <v>1.9101996487790269E-15</v>
      </c>
      <c r="E987">
        <v>5.3122073348139412E-2</v>
      </c>
      <c r="F987">
        <v>1.6902517762934011</v>
      </c>
      <c r="G987">
        <v>30.270420721165319</v>
      </c>
      <c r="H987">
        <v>1.2994768194865709</v>
      </c>
      <c r="I987">
        <v>0.49640613834730568</v>
      </c>
      <c r="J987">
        <v>-4.8258580264060047E-3</v>
      </c>
      <c r="K987">
        <v>-1.870934608589097E-2</v>
      </c>
      <c r="L987">
        <v>7.1707774246289782E-2</v>
      </c>
      <c r="M987">
        <v>29</v>
      </c>
      <c r="N987">
        <v>1</v>
      </c>
      <c r="O987">
        <v>0</v>
      </c>
      <c r="P987">
        <v>0.36340000000000011</v>
      </c>
      <c r="Q987">
        <v>0.15060000000000001</v>
      </c>
      <c r="R987">
        <v>0.10589999999999999</v>
      </c>
      <c r="S987">
        <v>0</v>
      </c>
      <c r="T987">
        <v>0.27089999999999997</v>
      </c>
      <c r="U987">
        <v>9</v>
      </c>
      <c r="V987">
        <v>0</v>
      </c>
      <c r="W987">
        <v>0.33333333333333331</v>
      </c>
      <c r="X987">
        <v>1</v>
      </c>
      <c r="Y987">
        <v>0.53670000000000007</v>
      </c>
      <c r="Z987">
        <v>1</v>
      </c>
    </row>
    <row r="988" spans="1:26" x14ac:dyDescent="0.2">
      <c r="A988" t="s">
        <v>85</v>
      </c>
      <c r="B988">
        <v>2023</v>
      </c>
      <c r="C988" t="str">
        <f t="shared" si="15"/>
        <v>KDC2023</v>
      </c>
      <c r="D988">
        <v>9449478680093.3906</v>
      </c>
      <c r="E988">
        <v>1.491480293616344E-2</v>
      </c>
      <c r="F988">
        <v>1.5020227182656509</v>
      </c>
      <c r="G988">
        <v>30.147992660801702</v>
      </c>
      <c r="H988">
        <v>1.286190629343249</v>
      </c>
      <c r="I988">
        <v>0.26852306627057831</v>
      </c>
      <c r="J988">
        <v>-0.115230447346045</v>
      </c>
      <c r="K988">
        <v>7.7971638281113337E-2</v>
      </c>
      <c r="L988">
        <v>8.0670949507917325E-2</v>
      </c>
      <c r="M988">
        <v>30</v>
      </c>
      <c r="N988">
        <v>0</v>
      </c>
      <c r="O988">
        <v>0</v>
      </c>
      <c r="P988">
        <v>0.36340000000000011</v>
      </c>
      <c r="Q988">
        <v>0.15060000000000001</v>
      </c>
      <c r="R988">
        <v>0.10589999999999999</v>
      </c>
      <c r="S988">
        <v>0</v>
      </c>
      <c r="T988">
        <v>0.27089999999999997</v>
      </c>
      <c r="U988">
        <v>9</v>
      </c>
      <c r="V988">
        <v>0</v>
      </c>
      <c r="W988">
        <v>0.33333333333333331</v>
      </c>
      <c r="X988">
        <v>1</v>
      </c>
      <c r="Y988">
        <v>0.53670000000000007</v>
      </c>
      <c r="Z988">
        <v>1</v>
      </c>
    </row>
    <row r="989" spans="1:26" x14ac:dyDescent="0.2">
      <c r="A989" t="s">
        <v>86</v>
      </c>
      <c r="B989">
        <v>2015</v>
      </c>
      <c r="C989" t="str">
        <f t="shared" si="15"/>
        <v>KHS2015</v>
      </c>
      <c r="D989">
        <v>4.3418220815944369E-13</v>
      </c>
      <c r="E989">
        <v>0.36499624790087648</v>
      </c>
      <c r="F989">
        <v>0.91726097341794521</v>
      </c>
      <c r="G989">
        <v>26.35786046215869</v>
      </c>
      <c r="H989" t="e">
        <v>#N/A</v>
      </c>
      <c r="I989">
        <v>0.66699022900756477</v>
      </c>
      <c r="J989">
        <v>0</v>
      </c>
      <c r="K989">
        <v>6.0432598484304073E-2</v>
      </c>
      <c r="L989">
        <v>0.44729583402829348</v>
      </c>
      <c r="M989">
        <v>15</v>
      </c>
      <c r="N989">
        <v>0</v>
      </c>
      <c r="O989">
        <v>0</v>
      </c>
      <c r="P989">
        <v>0.60659999999999992</v>
      </c>
      <c r="Q989">
        <v>0.35299999999999998</v>
      </c>
      <c r="R989">
        <v>0</v>
      </c>
      <c r="S989">
        <v>0</v>
      </c>
      <c r="T989">
        <v>8.4700000000000011E-2</v>
      </c>
      <c r="U989">
        <v>7</v>
      </c>
      <c r="V989">
        <v>1</v>
      </c>
      <c r="W989">
        <v>0</v>
      </c>
      <c r="X989">
        <v>0</v>
      </c>
      <c r="Y989">
        <v>0.45729999999999998</v>
      </c>
      <c r="Z989">
        <v>1</v>
      </c>
    </row>
    <row r="990" spans="1:26" x14ac:dyDescent="0.2">
      <c r="A990" t="s">
        <v>86</v>
      </c>
      <c r="B990">
        <v>2016</v>
      </c>
      <c r="C990" t="str">
        <f t="shared" si="15"/>
        <v>KHS2016</v>
      </c>
      <c r="D990">
        <v>1.086339173657602E-13</v>
      </c>
      <c r="E990">
        <v>0.1867195086347864</v>
      </c>
      <c r="F990">
        <v>1.1605970970705239</v>
      </c>
      <c r="G990">
        <v>26.97422989583929</v>
      </c>
      <c r="H990">
        <v>0.95631013193422287</v>
      </c>
      <c r="I990">
        <v>0.69832804198430798</v>
      </c>
      <c r="J990">
        <v>0.29896106300286668</v>
      </c>
      <c r="K990">
        <v>-7.094368980631649E-2</v>
      </c>
      <c r="L990">
        <v>0.34555044726573858</v>
      </c>
      <c r="M990">
        <v>16</v>
      </c>
      <c r="N990">
        <v>0</v>
      </c>
      <c r="O990">
        <v>0</v>
      </c>
      <c r="P990">
        <v>0.60659999999999992</v>
      </c>
      <c r="Q990">
        <v>0.35299999999999998</v>
      </c>
      <c r="R990">
        <v>0</v>
      </c>
      <c r="S990">
        <v>0</v>
      </c>
      <c r="T990">
        <v>8.4700000000000011E-2</v>
      </c>
      <c r="U990">
        <v>7</v>
      </c>
      <c r="V990">
        <v>1</v>
      </c>
      <c r="W990">
        <v>0</v>
      </c>
      <c r="X990">
        <v>0</v>
      </c>
      <c r="Y990">
        <v>0.45729999999999998</v>
      </c>
      <c r="Z990">
        <v>1</v>
      </c>
    </row>
    <row r="991" spans="1:26" x14ac:dyDescent="0.2">
      <c r="A991" t="s">
        <v>86</v>
      </c>
      <c r="B991">
        <v>2017</v>
      </c>
      <c r="C991" t="str">
        <f t="shared" si="15"/>
        <v>KHS2017</v>
      </c>
      <c r="D991">
        <v>6.8307556098234412E-14</v>
      </c>
      <c r="E991">
        <v>8.6765671985320064E-2</v>
      </c>
      <c r="F991">
        <v>1.018391696568693</v>
      </c>
      <c r="G991">
        <v>26.931096231439049</v>
      </c>
      <c r="H991">
        <v>1.030128744087101</v>
      </c>
      <c r="I991">
        <v>0.60902652196893559</v>
      </c>
      <c r="J991">
        <v>-4.2216640027683328E-2</v>
      </c>
      <c r="K991">
        <v>0.2188953201121058</v>
      </c>
      <c r="L991">
        <v>0.45281112414520691</v>
      </c>
      <c r="M991">
        <v>17</v>
      </c>
      <c r="N991">
        <v>0</v>
      </c>
      <c r="O991">
        <v>0</v>
      </c>
      <c r="P991">
        <v>0.60659999999999992</v>
      </c>
      <c r="Q991">
        <v>0.35299999999999998</v>
      </c>
      <c r="R991">
        <v>0</v>
      </c>
      <c r="S991">
        <v>0</v>
      </c>
      <c r="T991">
        <v>8.4700000000000011E-2</v>
      </c>
      <c r="U991">
        <v>7</v>
      </c>
      <c r="V991">
        <v>1</v>
      </c>
      <c r="W991">
        <v>0</v>
      </c>
      <c r="X991">
        <v>0</v>
      </c>
      <c r="Y991">
        <v>0.45729999999999998</v>
      </c>
      <c r="Z991">
        <v>1</v>
      </c>
    </row>
    <row r="992" spans="1:26" x14ac:dyDescent="0.2">
      <c r="A992" t="s">
        <v>86</v>
      </c>
      <c r="B992">
        <v>2018</v>
      </c>
      <c r="C992" t="str">
        <f t="shared" si="15"/>
        <v>KHS2018</v>
      </c>
      <c r="D992">
        <v>7.8774239253672009E-14</v>
      </c>
      <c r="E992">
        <v>0.14315863755891839</v>
      </c>
      <c r="F992">
        <v>0.84840011088787404</v>
      </c>
      <c r="G992">
        <v>27.133574246418441</v>
      </c>
      <c r="H992">
        <v>1.068680963324308</v>
      </c>
      <c r="I992">
        <v>0.6653982325142842</v>
      </c>
      <c r="J992">
        <v>0.2244331656376122</v>
      </c>
      <c r="K992">
        <v>-4.3464614538958349E-2</v>
      </c>
      <c r="L992">
        <v>0.40798056893562318</v>
      </c>
      <c r="M992">
        <v>18</v>
      </c>
      <c r="N992">
        <v>0</v>
      </c>
      <c r="O992">
        <v>0</v>
      </c>
      <c r="P992">
        <v>0.63109999999999999</v>
      </c>
      <c r="Q992">
        <v>0.35349999999999998</v>
      </c>
      <c r="R992">
        <v>0</v>
      </c>
      <c r="S992">
        <v>0</v>
      </c>
      <c r="T992">
        <v>0.10920000000000001</v>
      </c>
      <c r="U992">
        <v>7</v>
      </c>
      <c r="V992">
        <v>1</v>
      </c>
      <c r="W992">
        <v>0</v>
      </c>
      <c r="X992">
        <v>0</v>
      </c>
      <c r="Y992">
        <v>0.4778</v>
      </c>
      <c r="Z992">
        <v>1</v>
      </c>
    </row>
    <row r="993" spans="1:26" x14ac:dyDescent="0.2">
      <c r="A993" t="s">
        <v>86</v>
      </c>
      <c r="B993">
        <v>2019</v>
      </c>
      <c r="C993" t="str">
        <f t="shared" si="15"/>
        <v>KHS2019</v>
      </c>
      <c r="D993">
        <v>4.593199931077263E-14</v>
      </c>
      <c r="E993">
        <v>0.13250296345726881</v>
      </c>
      <c r="F993">
        <v>0.9041600712654122</v>
      </c>
      <c r="G993">
        <v>27.380459599810418</v>
      </c>
      <c r="H993">
        <v>1.1085945791612379</v>
      </c>
      <c r="I993">
        <v>0.73018115783008064</v>
      </c>
      <c r="J993">
        <v>0.28003235299824908</v>
      </c>
      <c r="K993">
        <v>-1.961735495600259E-2</v>
      </c>
      <c r="L993">
        <v>0.40421295956488817</v>
      </c>
      <c r="M993">
        <v>19</v>
      </c>
      <c r="N993">
        <v>0</v>
      </c>
      <c r="O993">
        <v>1</v>
      </c>
      <c r="P993">
        <v>0.63109999999999999</v>
      </c>
      <c r="Q993">
        <v>0.31280000000000002</v>
      </c>
      <c r="R993">
        <v>0</v>
      </c>
      <c r="S993">
        <v>0</v>
      </c>
      <c r="T993">
        <v>0.10920000000000001</v>
      </c>
      <c r="U993">
        <v>7</v>
      </c>
      <c r="V993">
        <v>1</v>
      </c>
      <c r="W993">
        <v>0</v>
      </c>
      <c r="X993">
        <v>0</v>
      </c>
      <c r="Y993">
        <v>0.48780000000000001</v>
      </c>
      <c r="Z993">
        <v>1</v>
      </c>
    </row>
    <row r="994" spans="1:26" x14ac:dyDescent="0.2">
      <c r="A994" t="s">
        <v>86</v>
      </c>
      <c r="B994">
        <v>2020</v>
      </c>
      <c r="C994" t="str">
        <f t="shared" si="15"/>
        <v>KHS2020</v>
      </c>
      <c r="D994">
        <v>3.1153991625469617E-14</v>
      </c>
      <c r="E994">
        <v>6.9163677878602184E-2</v>
      </c>
      <c r="F994">
        <v>0.92652623577570226</v>
      </c>
      <c r="G994">
        <v>27.23217602979339</v>
      </c>
      <c r="H994">
        <v>1.008982137361863</v>
      </c>
      <c r="I994">
        <v>0.69771304956196412</v>
      </c>
      <c r="J994">
        <v>-0.1378134099922966</v>
      </c>
      <c r="K994">
        <v>0.17750060228713921</v>
      </c>
      <c r="L994">
        <v>0.4264169689510669</v>
      </c>
      <c r="M994">
        <v>20</v>
      </c>
      <c r="N994">
        <v>0</v>
      </c>
      <c r="O994">
        <v>1</v>
      </c>
      <c r="P994">
        <v>0.62869999999999993</v>
      </c>
      <c r="Q994">
        <v>0.35299999999999998</v>
      </c>
      <c r="R994">
        <v>0</v>
      </c>
      <c r="S994">
        <v>0</v>
      </c>
      <c r="T994">
        <v>0.10920000000000001</v>
      </c>
      <c r="U994">
        <v>7</v>
      </c>
      <c r="V994">
        <v>0</v>
      </c>
      <c r="W994">
        <v>0</v>
      </c>
      <c r="X994">
        <v>0</v>
      </c>
      <c r="Y994">
        <v>0.48449999999999999</v>
      </c>
      <c r="Z994">
        <v>1</v>
      </c>
    </row>
    <row r="995" spans="1:26" x14ac:dyDescent="0.2">
      <c r="A995" t="s">
        <v>86</v>
      </c>
      <c r="B995">
        <v>2021</v>
      </c>
      <c r="C995" t="str">
        <f t="shared" si="15"/>
        <v>KHS2021</v>
      </c>
      <c r="D995">
        <v>1.7745871755394449E-13</v>
      </c>
      <c r="E995">
        <v>0.23590571483362671</v>
      </c>
      <c r="F995">
        <v>1.1723203000712361</v>
      </c>
      <c r="G995">
        <v>27.061908028504501</v>
      </c>
      <c r="H995">
        <v>1.0331695285453819</v>
      </c>
      <c r="I995">
        <v>0.57420926870457301</v>
      </c>
      <c r="J995">
        <v>-0.15656125636658169</v>
      </c>
      <c r="K995">
        <v>0.34128584361501768</v>
      </c>
      <c r="L995">
        <v>0.49191554852537678</v>
      </c>
      <c r="M995">
        <v>21</v>
      </c>
      <c r="N995">
        <v>0</v>
      </c>
      <c r="O995">
        <v>0</v>
      </c>
      <c r="P995">
        <v>0.62870000000000004</v>
      </c>
      <c r="Q995">
        <v>0.35299999999999998</v>
      </c>
      <c r="R995">
        <v>0</v>
      </c>
      <c r="S995">
        <v>0</v>
      </c>
      <c r="T995">
        <v>0.10920000000000001</v>
      </c>
      <c r="U995">
        <v>7</v>
      </c>
      <c r="V995">
        <v>0</v>
      </c>
      <c r="W995">
        <v>0</v>
      </c>
      <c r="X995">
        <v>0</v>
      </c>
      <c r="Y995">
        <v>0.49450000000000011</v>
      </c>
      <c r="Z995">
        <v>1</v>
      </c>
    </row>
    <row r="996" spans="1:26" x14ac:dyDescent="0.2">
      <c r="A996" t="s">
        <v>86</v>
      </c>
      <c r="B996">
        <v>2022</v>
      </c>
      <c r="C996" t="str">
        <f t="shared" si="15"/>
        <v>KHS2022</v>
      </c>
      <c r="D996">
        <v>1.021155266655814E-13</v>
      </c>
      <c r="E996">
        <v>0.14547958523312571</v>
      </c>
      <c r="F996">
        <v>0.94026459886298697</v>
      </c>
      <c r="G996">
        <v>27.095496706481171</v>
      </c>
      <c r="H996">
        <v>1.255773859232179</v>
      </c>
      <c r="I996">
        <v>0.58912053985044299</v>
      </c>
      <c r="J996">
        <v>3.4159146800898821E-2</v>
      </c>
      <c r="K996">
        <v>-5.4211159977974821E-2</v>
      </c>
      <c r="L996">
        <v>0.42577702833010911</v>
      </c>
      <c r="M996">
        <v>22</v>
      </c>
      <c r="N996">
        <v>0</v>
      </c>
      <c r="O996">
        <v>0</v>
      </c>
      <c r="P996">
        <v>0.62870000000000004</v>
      </c>
      <c r="Q996">
        <v>0.4546</v>
      </c>
      <c r="R996">
        <v>0</v>
      </c>
      <c r="S996">
        <v>0</v>
      </c>
      <c r="T996">
        <v>0.10920000000000001</v>
      </c>
      <c r="U996">
        <v>7</v>
      </c>
      <c r="V996">
        <v>0</v>
      </c>
      <c r="W996">
        <v>0.14285714285714279</v>
      </c>
      <c r="X996">
        <v>0</v>
      </c>
      <c r="Y996">
        <v>0.50639999999999996</v>
      </c>
      <c r="Z996">
        <v>1</v>
      </c>
    </row>
    <row r="997" spans="1:26" x14ac:dyDescent="0.2">
      <c r="A997" t="s">
        <v>86</v>
      </c>
      <c r="B997">
        <v>2023</v>
      </c>
      <c r="C997" t="str">
        <f t="shared" si="15"/>
        <v>KHS2023</v>
      </c>
      <c r="D997">
        <v>-101809845854.5092</v>
      </c>
      <c r="E997">
        <v>-3.7991820712229549E-2</v>
      </c>
      <c r="F997">
        <v>0.68409985806686968</v>
      </c>
      <c r="G997">
        <v>26.919948388545858</v>
      </c>
      <c r="H997">
        <v>1.184905021649121</v>
      </c>
      <c r="I997">
        <v>0.45267824147478131</v>
      </c>
      <c r="J997">
        <v>-0.1610031424018169</v>
      </c>
      <c r="K997">
        <v>0.16209862473263109</v>
      </c>
      <c r="L997">
        <v>0.47779406557902498</v>
      </c>
      <c r="M997">
        <v>23</v>
      </c>
      <c r="N997">
        <v>0</v>
      </c>
      <c r="O997">
        <v>0</v>
      </c>
      <c r="P997">
        <v>0.62870000000000004</v>
      </c>
      <c r="Q997">
        <v>0.4546</v>
      </c>
      <c r="R997">
        <v>0</v>
      </c>
      <c r="S997">
        <v>0</v>
      </c>
      <c r="T997">
        <v>0.10920000000000001</v>
      </c>
      <c r="U997">
        <v>7</v>
      </c>
      <c r="V997">
        <v>0</v>
      </c>
      <c r="W997">
        <v>0.14285714285714279</v>
      </c>
      <c r="X997">
        <v>0</v>
      </c>
      <c r="Y997">
        <v>0.50639999999999996</v>
      </c>
      <c r="Z997">
        <v>1</v>
      </c>
    </row>
    <row r="998" spans="1:26" x14ac:dyDescent="0.2">
      <c r="A998" t="s">
        <v>87</v>
      </c>
      <c r="B998">
        <v>2012</v>
      </c>
      <c r="C998" t="str">
        <f t="shared" si="15"/>
        <v>KKC2012</v>
      </c>
      <c r="D998">
        <v>1.924028488112703E-13</v>
      </c>
      <c r="E998">
        <v>0.1121758580518018</v>
      </c>
      <c r="F998">
        <v>0.81704335260288674</v>
      </c>
      <c r="G998">
        <v>26.08137636623869</v>
      </c>
      <c r="H998">
        <v>1.990850425588033</v>
      </c>
      <c r="I998">
        <v>0.63582516324761373</v>
      </c>
      <c r="J998">
        <v>0.39213946474721562</v>
      </c>
      <c r="K998">
        <v>0.15343227592381739</v>
      </c>
      <c r="L998">
        <v>4.6012339735815207E-2</v>
      </c>
      <c r="M998">
        <v>11</v>
      </c>
      <c r="N998">
        <v>0</v>
      </c>
      <c r="O998">
        <v>0</v>
      </c>
      <c r="P998">
        <v>0.23300000000000001</v>
      </c>
      <c r="Q998">
        <v>0.25180000000000002</v>
      </c>
      <c r="R998">
        <v>0</v>
      </c>
      <c r="S998">
        <v>0</v>
      </c>
      <c r="T998">
        <v>0</v>
      </c>
      <c r="U998">
        <v>5</v>
      </c>
      <c r="V998">
        <v>1</v>
      </c>
      <c r="W998">
        <v>0</v>
      </c>
      <c r="X998">
        <v>0</v>
      </c>
      <c r="Y998">
        <v>0.54330000000000001</v>
      </c>
      <c r="Z998">
        <v>0.8</v>
      </c>
    </row>
    <row r="999" spans="1:26" x14ac:dyDescent="0.2">
      <c r="A999" t="s">
        <v>87</v>
      </c>
      <c r="B999">
        <v>2013</v>
      </c>
      <c r="C999" t="str">
        <f t="shared" si="15"/>
        <v>KKC2013</v>
      </c>
      <c r="D999">
        <v>3.3021678974802022E-13</v>
      </c>
      <c r="E999">
        <v>0.1676507609866375</v>
      </c>
      <c r="F999">
        <v>0.90487281847748136</v>
      </c>
      <c r="G999">
        <v>26.0531419135574</v>
      </c>
      <c r="H999">
        <v>1.498970803209082</v>
      </c>
      <c r="I999">
        <v>0.59343555936502312</v>
      </c>
      <c r="J999">
        <v>-2.7839585535536782E-2</v>
      </c>
      <c r="K999">
        <v>6.1110759841074717E-2</v>
      </c>
      <c r="L999">
        <v>3.2544634037205949E-2</v>
      </c>
      <c r="M999">
        <v>12</v>
      </c>
      <c r="N999">
        <v>0</v>
      </c>
      <c r="O999">
        <v>0</v>
      </c>
      <c r="P999">
        <v>0.2291</v>
      </c>
      <c r="Q999">
        <v>0.31879999999999997</v>
      </c>
      <c r="R999">
        <v>0</v>
      </c>
      <c r="S999">
        <v>0</v>
      </c>
      <c r="T999">
        <v>0</v>
      </c>
      <c r="U999">
        <v>5</v>
      </c>
      <c r="V999">
        <v>1</v>
      </c>
      <c r="W999">
        <v>0</v>
      </c>
      <c r="X999">
        <v>0</v>
      </c>
      <c r="Y999">
        <v>0.55600000000000005</v>
      </c>
      <c r="Z999">
        <v>1</v>
      </c>
    </row>
    <row r="1000" spans="1:26" x14ac:dyDescent="0.2">
      <c r="A1000" t="s">
        <v>87</v>
      </c>
      <c r="B1000">
        <v>2014</v>
      </c>
      <c r="C1000" t="str">
        <f t="shared" si="15"/>
        <v>KKC2014</v>
      </c>
      <c r="D1000">
        <v>1.7241746109970491E-13</v>
      </c>
      <c r="E1000">
        <v>0.14156381716642649</v>
      </c>
      <c r="F1000">
        <v>0.99853217703078212</v>
      </c>
      <c r="G1000">
        <v>26.29621587161035</v>
      </c>
      <c r="H1000">
        <v>1.6096038106588071</v>
      </c>
      <c r="I1000">
        <v>0.67942442559975691</v>
      </c>
      <c r="J1000">
        <v>0.27516292919853691</v>
      </c>
      <c r="K1000">
        <v>-0.47711228614494078</v>
      </c>
      <c r="L1000">
        <v>3.3455890011952032E-2</v>
      </c>
      <c r="M1000">
        <v>13</v>
      </c>
      <c r="N1000">
        <v>0</v>
      </c>
      <c r="O1000">
        <v>0</v>
      </c>
      <c r="P1000">
        <v>0.28980000000000011</v>
      </c>
      <c r="Q1000">
        <v>0.29330000000000001</v>
      </c>
      <c r="R1000">
        <v>6.0699999999999997E-2</v>
      </c>
      <c r="S1000">
        <v>0</v>
      </c>
      <c r="T1000">
        <v>0</v>
      </c>
      <c r="U1000">
        <v>5</v>
      </c>
      <c r="V1000">
        <v>1</v>
      </c>
      <c r="W1000">
        <v>0</v>
      </c>
      <c r="X1000">
        <v>0</v>
      </c>
      <c r="Y1000">
        <v>0.56600000000000006</v>
      </c>
      <c r="Z1000">
        <v>1</v>
      </c>
    </row>
    <row r="1001" spans="1:26" x14ac:dyDescent="0.2">
      <c r="A1001" t="s">
        <v>87</v>
      </c>
      <c r="B1001">
        <v>2015</v>
      </c>
      <c r="C1001" t="str">
        <f t="shared" si="15"/>
        <v>KKC2015</v>
      </c>
      <c r="D1001">
        <v>-1.4295652540142601E-12</v>
      </c>
      <c r="E1001">
        <v>-0.41857070160582849</v>
      </c>
      <c r="F1001">
        <v>0.8833324803398046</v>
      </c>
      <c r="G1001">
        <v>25.558408547108769</v>
      </c>
      <c r="H1001">
        <v>1.408268365804916</v>
      </c>
      <c r="I1001">
        <v>0.57015591373902941</v>
      </c>
      <c r="J1001">
        <v>-0.5218387807073932</v>
      </c>
      <c r="K1001">
        <v>1.0105075106242509</v>
      </c>
      <c r="L1001">
        <v>7.8115249870113798E-2</v>
      </c>
      <c r="M1001">
        <v>14</v>
      </c>
      <c r="N1001">
        <v>0</v>
      </c>
      <c r="O1001">
        <v>0</v>
      </c>
      <c r="P1001">
        <v>0.2291</v>
      </c>
      <c r="Q1001">
        <v>0.29330000000000001</v>
      </c>
      <c r="R1001">
        <v>0</v>
      </c>
      <c r="S1001">
        <v>0</v>
      </c>
      <c r="T1001">
        <v>0</v>
      </c>
      <c r="U1001">
        <v>5</v>
      </c>
      <c r="V1001">
        <v>1</v>
      </c>
      <c r="W1001">
        <v>0</v>
      </c>
      <c r="X1001">
        <v>0</v>
      </c>
      <c r="Y1001">
        <v>0.57600000000000007</v>
      </c>
      <c r="Z1001">
        <v>1</v>
      </c>
    </row>
    <row r="1002" spans="1:26" x14ac:dyDescent="0.2">
      <c r="A1002" t="s">
        <v>87</v>
      </c>
      <c r="B1002">
        <v>2016</v>
      </c>
      <c r="C1002" t="str">
        <f t="shared" si="15"/>
        <v>KKC2016</v>
      </c>
      <c r="D1002">
        <v>1.2172652178684629E-12</v>
      </c>
      <c r="E1002">
        <v>0.41709216132701948</v>
      </c>
      <c r="F1002">
        <v>0.93740546494029642</v>
      </c>
      <c r="G1002">
        <v>25.906884167067489</v>
      </c>
      <c r="H1002">
        <v>1.5830670824622251</v>
      </c>
      <c r="I1002">
        <v>0.4795607746445042</v>
      </c>
      <c r="J1002">
        <v>0.41690599827561381</v>
      </c>
      <c r="K1002">
        <v>0.27489664998903102</v>
      </c>
      <c r="L1002">
        <v>5.7378972573026432E-2</v>
      </c>
      <c r="M1002">
        <v>15</v>
      </c>
      <c r="N1002">
        <v>0</v>
      </c>
      <c r="O1002">
        <v>0</v>
      </c>
      <c r="P1002">
        <v>0.25390000000000001</v>
      </c>
      <c r="Q1002">
        <v>0.29330000000000001</v>
      </c>
      <c r="R1002">
        <v>0</v>
      </c>
      <c r="S1002">
        <v>0</v>
      </c>
      <c r="T1002">
        <v>0</v>
      </c>
      <c r="U1002">
        <v>5</v>
      </c>
      <c r="V1002">
        <v>1</v>
      </c>
      <c r="W1002">
        <v>0</v>
      </c>
      <c r="X1002">
        <v>0</v>
      </c>
      <c r="Y1002">
        <v>0.48859999999999998</v>
      </c>
      <c r="Z1002">
        <v>1</v>
      </c>
    </row>
    <row r="1003" spans="1:26" x14ac:dyDescent="0.2">
      <c r="A1003" t="s">
        <v>87</v>
      </c>
      <c r="B1003">
        <v>2017</v>
      </c>
      <c r="C1003" t="str">
        <f t="shared" si="15"/>
        <v>KKC2017</v>
      </c>
      <c r="D1003">
        <v>1.160898587711527E-12</v>
      </c>
      <c r="E1003">
        <v>0.18986194597147441</v>
      </c>
      <c r="F1003">
        <v>0.85385934563465704</v>
      </c>
      <c r="G1003">
        <v>25.482499107148239</v>
      </c>
      <c r="H1003">
        <v>1.9366637313888819</v>
      </c>
      <c r="I1003">
        <v>0.28671169673561608</v>
      </c>
      <c r="J1003">
        <v>-0.3458280619884071</v>
      </c>
      <c r="K1003">
        <v>8.0808456050559349E-2</v>
      </c>
      <c r="L1003">
        <v>7.729767660086248E-2</v>
      </c>
      <c r="M1003">
        <v>16</v>
      </c>
      <c r="N1003">
        <v>0</v>
      </c>
      <c r="O1003">
        <v>0</v>
      </c>
      <c r="P1003">
        <v>0.25390000000000001</v>
      </c>
      <c r="Q1003">
        <v>0.2752</v>
      </c>
      <c r="R1003">
        <v>0</v>
      </c>
      <c r="S1003">
        <v>0</v>
      </c>
      <c r="T1003">
        <v>0</v>
      </c>
      <c r="U1003">
        <v>5</v>
      </c>
      <c r="V1003">
        <v>1</v>
      </c>
      <c r="W1003">
        <v>0</v>
      </c>
      <c r="X1003">
        <v>0</v>
      </c>
      <c r="Y1003">
        <v>0.51500000000000001</v>
      </c>
      <c r="Z1003">
        <v>1</v>
      </c>
    </row>
    <row r="1004" spans="1:26" x14ac:dyDescent="0.2">
      <c r="A1004" t="s">
        <v>87</v>
      </c>
      <c r="B1004">
        <v>2018</v>
      </c>
      <c r="C1004" t="str">
        <f t="shared" si="15"/>
        <v>KKC2018</v>
      </c>
      <c r="D1004">
        <v>-1.379948361102863E-13</v>
      </c>
      <c r="E1004">
        <v>-5.8546896156642513E-2</v>
      </c>
      <c r="F1004">
        <v>0.8801868931609419</v>
      </c>
      <c r="G1004">
        <v>25.8600340767095</v>
      </c>
      <c r="H1004">
        <v>3.0675765443974261</v>
      </c>
      <c r="I1004">
        <v>0.59892179712421323</v>
      </c>
      <c r="J1004">
        <v>0.45868445245776712</v>
      </c>
      <c r="K1004">
        <v>-0.48048164337508392</v>
      </c>
      <c r="L1004">
        <v>6.1986825161297783E-2</v>
      </c>
      <c r="M1004">
        <v>17</v>
      </c>
      <c r="N1004">
        <v>0</v>
      </c>
      <c r="O1004">
        <v>0</v>
      </c>
      <c r="P1004">
        <v>0.25390000000000001</v>
      </c>
      <c r="Q1004">
        <v>0.25380000000000003</v>
      </c>
      <c r="R1004">
        <v>0</v>
      </c>
      <c r="S1004">
        <v>0</v>
      </c>
      <c r="T1004">
        <v>0</v>
      </c>
      <c r="U1004">
        <v>3</v>
      </c>
      <c r="V1004">
        <v>1</v>
      </c>
      <c r="W1004">
        <v>0</v>
      </c>
      <c r="X1004">
        <v>0</v>
      </c>
      <c r="Y1004">
        <v>0.49399999999999999</v>
      </c>
      <c r="Z1004">
        <v>1</v>
      </c>
    </row>
    <row r="1005" spans="1:26" x14ac:dyDescent="0.2">
      <c r="A1005" t="s">
        <v>87</v>
      </c>
      <c r="B1005">
        <v>2019</v>
      </c>
      <c r="C1005" t="str">
        <f t="shared" si="15"/>
        <v>KKC2019</v>
      </c>
      <c r="D1005">
        <v>-2.8188450659482292E-13</v>
      </c>
      <c r="E1005">
        <v>-7.9783916675119471E-2</v>
      </c>
      <c r="F1005">
        <v>0.79055159966958677</v>
      </c>
      <c r="G1005">
        <v>25.61925995018742</v>
      </c>
      <c r="H1005">
        <v>1.5179240085092831</v>
      </c>
      <c r="I1005">
        <v>0.52743769036169563</v>
      </c>
      <c r="J1005">
        <v>-0.2139808527825364</v>
      </c>
      <c r="K1005">
        <v>0.19019938041409021</v>
      </c>
      <c r="L1005">
        <v>6.0044165725987787E-2</v>
      </c>
      <c r="M1005">
        <v>18</v>
      </c>
      <c r="N1005">
        <v>0</v>
      </c>
      <c r="O1005">
        <v>1</v>
      </c>
      <c r="P1005">
        <v>0.25390000000000001</v>
      </c>
      <c r="Q1005">
        <v>0.25380000000000003</v>
      </c>
      <c r="R1005">
        <v>0</v>
      </c>
      <c r="S1005">
        <v>0</v>
      </c>
      <c r="T1005">
        <v>0</v>
      </c>
      <c r="U1005">
        <v>3</v>
      </c>
      <c r="V1005">
        <v>1</v>
      </c>
      <c r="W1005">
        <v>0</v>
      </c>
      <c r="X1005">
        <v>0</v>
      </c>
      <c r="Y1005">
        <v>0.504</v>
      </c>
      <c r="Z1005">
        <v>1</v>
      </c>
    </row>
    <row r="1006" spans="1:26" x14ac:dyDescent="0.2">
      <c r="A1006" t="s">
        <v>87</v>
      </c>
      <c r="B1006">
        <v>2020</v>
      </c>
      <c r="C1006" t="str">
        <f t="shared" si="15"/>
        <v>KKC2020</v>
      </c>
      <c r="D1006">
        <v>7.7483888729051492E-13</v>
      </c>
      <c r="E1006">
        <v>0.1656880646635252</v>
      </c>
      <c r="F1006">
        <v>0.69602404006664786</v>
      </c>
      <c r="G1006">
        <v>25.569647546331471</v>
      </c>
      <c r="H1006">
        <v>1.714048855097521</v>
      </c>
      <c r="I1006">
        <v>0.40478068295011488</v>
      </c>
      <c r="J1006">
        <v>-4.8401811181043468E-2</v>
      </c>
      <c r="K1006">
        <v>0.30377220316846598</v>
      </c>
      <c r="L1006">
        <v>4.8918237331530327E-2</v>
      </c>
      <c r="M1006">
        <v>19</v>
      </c>
      <c r="N1006">
        <v>0</v>
      </c>
      <c r="O1006">
        <v>1</v>
      </c>
      <c r="P1006">
        <v>0.25390000000000001</v>
      </c>
      <c r="Q1006">
        <v>0.25380000000000003</v>
      </c>
      <c r="R1006">
        <v>0</v>
      </c>
      <c r="S1006">
        <v>0</v>
      </c>
      <c r="T1006">
        <v>0</v>
      </c>
      <c r="U1006">
        <v>3</v>
      </c>
      <c r="V1006">
        <v>0</v>
      </c>
      <c r="W1006">
        <v>0</v>
      </c>
      <c r="X1006">
        <v>0</v>
      </c>
      <c r="Y1006">
        <v>0.49</v>
      </c>
      <c r="Z1006">
        <v>1</v>
      </c>
    </row>
    <row r="1007" spans="1:26" x14ac:dyDescent="0.2">
      <c r="A1007" t="s">
        <v>87</v>
      </c>
      <c r="B1007">
        <v>2021</v>
      </c>
      <c r="C1007" t="str">
        <f t="shared" si="15"/>
        <v>KKC2021</v>
      </c>
      <c r="D1007">
        <v>7.6372370684784791E-14</v>
      </c>
      <c r="E1007">
        <v>7.8097542957636421E-2</v>
      </c>
      <c r="F1007">
        <v>1.1785018111301639</v>
      </c>
      <c r="G1007">
        <v>26.33711871522971</v>
      </c>
      <c r="H1007">
        <v>2.239809440137738</v>
      </c>
      <c r="I1007">
        <v>0.73185838030026351</v>
      </c>
      <c r="J1007">
        <v>1.154311466249984</v>
      </c>
      <c r="K1007">
        <v>-0.46859631147840419</v>
      </c>
      <c r="L1007">
        <v>1.583180877402672E-2</v>
      </c>
      <c r="M1007">
        <v>20</v>
      </c>
      <c r="N1007">
        <v>0</v>
      </c>
      <c r="O1007">
        <v>0</v>
      </c>
      <c r="P1007">
        <v>0.50770000000000004</v>
      </c>
      <c r="Q1007">
        <v>4.99E-2</v>
      </c>
      <c r="R1007">
        <v>0</v>
      </c>
      <c r="S1007">
        <v>0</v>
      </c>
      <c r="T1007">
        <v>9.9700000000000011E-2</v>
      </c>
      <c r="U1007">
        <v>3</v>
      </c>
      <c r="V1007">
        <v>0</v>
      </c>
      <c r="W1007">
        <v>0.66666666666666652</v>
      </c>
      <c r="X1007">
        <v>0</v>
      </c>
      <c r="Y1007">
        <v>0.41499999999999998</v>
      </c>
      <c r="Z1007">
        <v>1</v>
      </c>
    </row>
    <row r="1008" spans="1:26" x14ac:dyDescent="0.2">
      <c r="A1008" t="s">
        <v>87</v>
      </c>
      <c r="B1008">
        <v>2022</v>
      </c>
      <c r="C1008" t="str">
        <f t="shared" si="15"/>
        <v>KKC2022</v>
      </c>
      <c r="D1008">
        <v>-6.795855480916988E-12</v>
      </c>
      <c r="E1008">
        <v>-0.78356751014192583</v>
      </c>
      <c r="F1008">
        <v>0.90739696720856411</v>
      </c>
      <c r="G1008">
        <v>24.956536626387539</v>
      </c>
      <c r="H1008">
        <v>1.3131533128398181</v>
      </c>
      <c r="I1008">
        <v>0.40206516061142589</v>
      </c>
      <c r="J1008">
        <v>-0.74856784499010198</v>
      </c>
      <c r="K1008">
        <v>1.8585978616725569</v>
      </c>
      <c r="L1008">
        <v>6.6899339247933065E-2</v>
      </c>
      <c r="M1008">
        <v>21</v>
      </c>
      <c r="N1008">
        <v>0</v>
      </c>
      <c r="O1008">
        <v>0</v>
      </c>
      <c r="P1008">
        <v>0.85680000000000012</v>
      </c>
      <c r="Q1008">
        <v>0</v>
      </c>
      <c r="R1008">
        <v>0</v>
      </c>
      <c r="S1008">
        <v>0</v>
      </c>
      <c r="T1008">
        <v>0.85680000000000012</v>
      </c>
      <c r="U1008">
        <v>3</v>
      </c>
      <c r="V1008">
        <v>0</v>
      </c>
      <c r="W1008">
        <v>0.66666666666666652</v>
      </c>
      <c r="X1008">
        <v>0</v>
      </c>
      <c r="Y1008">
        <v>0.41139999999999999</v>
      </c>
      <c r="Z1008">
        <v>1</v>
      </c>
    </row>
    <row r="1009" spans="1:26" x14ac:dyDescent="0.2">
      <c r="A1009" t="s">
        <v>87</v>
      </c>
      <c r="B1009">
        <v>2023</v>
      </c>
      <c r="C1009" t="str">
        <f t="shared" si="15"/>
        <v>KKC2023</v>
      </c>
      <c r="D1009">
        <v>-259336391029.84891</v>
      </c>
      <c r="E1009">
        <v>6.6656113434211232E-3</v>
      </c>
      <c r="F1009">
        <v>0.78923411757897655</v>
      </c>
      <c r="G1009">
        <v>24.969811159838471</v>
      </c>
      <c r="H1009">
        <v>2.25525027548652</v>
      </c>
      <c r="I1009">
        <v>0.29056602823091809</v>
      </c>
      <c r="J1009">
        <v>1.336303122542226E-2</v>
      </c>
      <c r="K1009">
        <v>0.50177488352879795</v>
      </c>
      <c r="L1009">
        <v>5.5170757772364763E-2</v>
      </c>
      <c r="M1009">
        <v>22</v>
      </c>
      <c r="N1009">
        <v>0</v>
      </c>
      <c r="O1009">
        <v>0</v>
      </c>
      <c r="P1009">
        <v>0.85680000000000012</v>
      </c>
      <c r="Q1009">
        <v>0</v>
      </c>
      <c r="R1009">
        <v>0</v>
      </c>
      <c r="S1009">
        <v>0</v>
      </c>
      <c r="T1009">
        <v>0.85680000000000012</v>
      </c>
      <c r="U1009">
        <v>3</v>
      </c>
      <c r="V1009">
        <v>0</v>
      </c>
      <c r="W1009">
        <v>0.66666666666666652</v>
      </c>
      <c r="X1009">
        <v>0</v>
      </c>
      <c r="Y1009">
        <v>0.41139999999999999</v>
      </c>
      <c r="Z1009">
        <v>1</v>
      </c>
    </row>
    <row r="1010" spans="1:26" x14ac:dyDescent="0.2">
      <c r="A1010" t="s">
        <v>88</v>
      </c>
      <c r="B1010">
        <v>2012</v>
      </c>
      <c r="C1010" t="str">
        <f t="shared" si="15"/>
        <v>KMR2012</v>
      </c>
      <c r="D1010">
        <v>-3.8709391658657762E-14</v>
      </c>
      <c r="E1010">
        <v>-3.2861603902789263E-2</v>
      </c>
      <c r="F1010">
        <v>0.46605773988386712</v>
      </c>
      <c r="G1010">
        <v>27.125712502198471</v>
      </c>
      <c r="H1010">
        <v>2.1946018855801861</v>
      </c>
      <c r="I1010">
        <v>0.28931876726021433</v>
      </c>
      <c r="J1010">
        <v>-3.2511825729664601E-2</v>
      </c>
      <c r="K1010">
        <v>8.3481897264382363E-2</v>
      </c>
      <c r="L1010">
        <v>0.32908037129245221</v>
      </c>
      <c r="M1010">
        <v>11</v>
      </c>
      <c r="N1010">
        <v>0</v>
      </c>
      <c r="O1010">
        <v>0</v>
      </c>
      <c r="P1010">
        <v>0.34889999999999999</v>
      </c>
      <c r="Q1010">
        <v>0.25840000000000002</v>
      </c>
      <c r="R1010">
        <v>0.34889999999999999</v>
      </c>
      <c r="S1010">
        <v>0</v>
      </c>
      <c r="T1010">
        <v>0.1454</v>
      </c>
      <c r="U1010">
        <v>8</v>
      </c>
      <c r="V1010">
        <v>1</v>
      </c>
      <c r="W1010">
        <v>0.25</v>
      </c>
      <c r="X1010">
        <v>0</v>
      </c>
      <c r="Y1010">
        <v>0.42</v>
      </c>
      <c r="Z1010">
        <v>0.875</v>
      </c>
    </row>
    <row r="1011" spans="1:26" x14ac:dyDescent="0.2">
      <c r="A1011" t="s">
        <v>88</v>
      </c>
      <c r="B1011">
        <v>2013</v>
      </c>
      <c r="C1011" t="str">
        <f t="shared" si="15"/>
        <v>KMR2013</v>
      </c>
      <c r="D1011">
        <v>5.3556624956941261E-14</v>
      </c>
      <c r="E1011">
        <v>4.3140183159905823E-2</v>
      </c>
      <c r="F1011">
        <v>0.66235096963656848</v>
      </c>
      <c r="G1011">
        <v>27.12002558355891</v>
      </c>
      <c r="H1011">
        <v>1.9815155927224879</v>
      </c>
      <c r="I1011">
        <v>0.25525314809006799</v>
      </c>
      <c r="J1011">
        <v>-5.6707787277063826E-3</v>
      </c>
      <c r="K1011">
        <v>0.1088917289365742</v>
      </c>
      <c r="L1011">
        <v>0.49522116508214142</v>
      </c>
      <c r="M1011">
        <v>12</v>
      </c>
      <c r="N1011">
        <v>0</v>
      </c>
      <c r="O1011">
        <v>0</v>
      </c>
      <c r="P1011">
        <v>0.2908</v>
      </c>
      <c r="Q1011">
        <v>0.20019999999999999</v>
      </c>
      <c r="R1011">
        <v>0.2908</v>
      </c>
      <c r="S1011">
        <v>0</v>
      </c>
      <c r="T1011">
        <v>0.1454</v>
      </c>
      <c r="U1011">
        <v>8</v>
      </c>
      <c r="V1011">
        <v>1</v>
      </c>
      <c r="W1011">
        <v>0.25</v>
      </c>
      <c r="X1011">
        <v>0</v>
      </c>
      <c r="Y1011">
        <v>0.43</v>
      </c>
      <c r="Z1011">
        <v>0.875</v>
      </c>
    </row>
    <row r="1012" spans="1:26" x14ac:dyDescent="0.2">
      <c r="A1012" t="s">
        <v>88</v>
      </c>
      <c r="B1012">
        <v>2014</v>
      </c>
      <c r="C1012" t="str">
        <f t="shared" si="15"/>
        <v>KMR2014</v>
      </c>
      <c r="D1012">
        <v>1.0408839976245759E-14</v>
      </c>
      <c r="E1012">
        <v>8.8562576563822014E-3</v>
      </c>
      <c r="F1012">
        <v>0.66245022037061896</v>
      </c>
      <c r="G1012">
        <v>27.212544204136041</v>
      </c>
      <c r="H1012">
        <v>1.622031569155703</v>
      </c>
      <c r="I1012">
        <v>0.22658983601688151</v>
      </c>
      <c r="J1012">
        <v>9.6933566906227883E-2</v>
      </c>
      <c r="K1012">
        <v>-8.7369186893751331E-3</v>
      </c>
      <c r="L1012">
        <v>0.49114271474059812</v>
      </c>
      <c r="M1012">
        <v>13</v>
      </c>
      <c r="N1012">
        <v>0</v>
      </c>
      <c r="O1012">
        <v>0</v>
      </c>
      <c r="P1012">
        <v>0.36830000000000002</v>
      </c>
      <c r="Q1012">
        <v>0.13189999999999999</v>
      </c>
      <c r="R1012">
        <v>0.36830000000000002</v>
      </c>
      <c r="S1012">
        <v>0</v>
      </c>
      <c r="T1012">
        <v>0.26240000000000002</v>
      </c>
      <c r="U1012">
        <v>8</v>
      </c>
      <c r="V1012">
        <v>1</v>
      </c>
      <c r="W1012">
        <v>0.125</v>
      </c>
      <c r="X1012">
        <v>0</v>
      </c>
      <c r="Y1012">
        <v>0.44640000000000002</v>
      </c>
      <c r="Z1012">
        <v>0.875</v>
      </c>
    </row>
    <row r="1013" spans="1:26" x14ac:dyDescent="0.2">
      <c r="A1013" t="s">
        <v>88</v>
      </c>
      <c r="B1013">
        <v>2015</v>
      </c>
      <c r="C1013" t="str">
        <f t="shared" si="15"/>
        <v>KMR2015</v>
      </c>
      <c r="D1013">
        <v>4.2530944175980383E-15</v>
      </c>
      <c r="E1013">
        <v>3.760955624423436E-3</v>
      </c>
      <c r="F1013">
        <v>0.56805516952898205</v>
      </c>
      <c r="G1013">
        <v>27.23289608955977</v>
      </c>
      <c r="H1013">
        <v>1.9242194105387089</v>
      </c>
      <c r="I1013">
        <v>0.24054278424328771</v>
      </c>
      <c r="J1013">
        <v>2.0560397177365571E-2</v>
      </c>
      <c r="K1013">
        <v>8.0076374027815894E-2</v>
      </c>
      <c r="L1013">
        <v>0.52103776502497623</v>
      </c>
      <c r="M1013">
        <v>14</v>
      </c>
      <c r="N1013">
        <v>0</v>
      </c>
      <c r="O1013">
        <v>0</v>
      </c>
      <c r="P1013">
        <v>0.36830000000000002</v>
      </c>
      <c r="Q1013">
        <v>0.1197</v>
      </c>
      <c r="R1013">
        <v>0.36830000000000002</v>
      </c>
      <c r="S1013">
        <v>0</v>
      </c>
      <c r="T1013">
        <v>0.26240000000000002</v>
      </c>
      <c r="U1013">
        <v>8</v>
      </c>
      <c r="V1013">
        <v>1</v>
      </c>
      <c r="W1013">
        <v>0.125</v>
      </c>
      <c r="X1013">
        <v>0</v>
      </c>
      <c r="Y1013">
        <v>0.45639999999999997</v>
      </c>
      <c r="Z1013">
        <v>0.875</v>
      </c>
    </row>
    <row r="1014" spans="1:26" x14ac:dyDescent="0.2">
      <c r="A1014" t="s">
        <v>88</v>
      </c>
      <c r="B1014">
        <v>2016</v>
      </c>
      <c r="C1014" t="str">
        <f t="shared" si="15"/>
        <v>KMR2016</v>
      </c>
      <c r="D1014">
        <v>-4.2524556353610787E-15</v>
      </c>
      <c r="E1014">
        <v>-4.0915784480121198E-3</v>
      </c>
      <c r="F1014">
        <v>0.60896220925734368</v>
      </c>
      <c r="G1014">
        <v>27.281571427591921</v>
      </c>
      <c r="H1014">
        <v>1.9229416661293779</v>
      </c>
      <c r="I1014">
        <v>0.2672010510509451</v>
      </c>
      <c r="J1014">
        <v>4.9879439477731317E-2</v>
      </c>
      <c r="K1014">
        <v>6.6300806285366429E-2</v>
      </c>
      <c r="L1014">
        <v>0.48810561527664392</v>
      </c>
      <c r="M1014">
        <v>15</v>
      </c>
      <c r="N1014">
        <v>0</v>
      </c>
      <c r="O1014">
        <v>0</v>
      </c>
      <c r="P1014">
        <v>0.36830000000000002</v>
      </c>
      <c r="Q1014">
        <v>0.13189999999999999</v>
      </c>
      <c r="R1014">
        <v>0.36830000000000002</v>
      </c>
      <c r="S1014">
        <v>0</v>
      </c>
      <c r="T1014">
        <v>0.26240000000000002</v>
      </c>
      <c r="U1014">
        <v>8</v>
      </c>
      <c r="V1014">
        <v>1</v>
      </c>
      <c r="W1014">
        <v>0.125</v>
      </c>
      <c r="X1014">
        <v>0</v>
      </c>
      <c r="Y1014">
        <v>0.46089999999999998</v>
      </c>
      <c r="Z1014">
        <v>0.875</v>
      </c>
    </row>
    <row r="1015" spans="1:26" x14ac:dyDescent="0.2">
      <c r="A1015" t="s">
        <v>88</v>
      </c>
      <c r="B1015">
        <v>2017</v>
      </c>
      <c r="C1015" t="str">
        <f t="shared" si="15"/>
        <v>KMR2017</v>
      </c>
      <c r="D1015">
        <v>1.2325854111601529E-14</v>
      </c>
      <c r="E1015">
        <v>1.342006141052687E-2</v>
      </c>
      <c r="F1015">
        <v>0.56526518798151326</v>
      </c>
      <c r="G1015">
        <v>27.41333150408872</v>
      </c>
      <c r="H1015">
        <v>1.776309591223397</v>
      </c>
      <c r="I1015">
        <v>0.26120980537544458</v>
      </c>
      <c r="J1015">
        <v>0.1408345734020944</v>
      </c>
      <c r="K1015">
        <v>-2.4073903650155281E-2</v>
      </c>
      <c r="L1015">
        <v>0.45032254056138432</v>
      </c>
      <c r="M1015">
        <v>16</v>
      </c>
      <c r="N1015">
        <v>0</v>
      </c>
      <c r="O1015">
        <v>0</v>
      </c>
      <c r="P1015">
        <v>0.45689999999999997</v>
      </c>
      <c r="Q1015">
        <v>0.1133</v>
      </c>
      <c r="R1015">
        <v>0.31559999999999999</v>
      </c>
      <c r="S1015">
        <v>0</v>
      </c>
      <c r="T1015">
        <v>0.22550000000000001</v>
      </c>
      <c r="U1015">
        <v>7</v>
      </c>
      <c r="V1015">
        <v>1</v>
      </c>
      <c r="W1015">
        <v>0.14285714285714279</v>
      </c>
      <c r="X1015">
        <v>0</v>
      </c>
      <c r="Y1015">
        <v>0.47089999999999999</v>
      </c>
      <c r="Z1015">
        <v>0.8571428571428571</v>
      </c>
    </row>
    <row r="1016" spans="1:26" x14ac:dyDescent="0.2">
      <c r="A1016" t="s">
        <v>88</v>
      </c>
      <c r="B1016">
        <v>2018</v>
      </c>
      <c r="C1016" t="str">
        <f t="shared" si="15"/>
        <v>KMR2018</v>
      </c>
      <c r="D1016">
        <v>4.5067606459882019E-15</v>
      </c>
      <c r="E1016">
        <v>6.2957307753384152E-3</v>
      </c>
      <c r="F1016">
        <v>0.55127936399639688</v>
      </c>
      <c r="G1016">
        <v>27.54013518352377</v>
      </c>
      <c r="H1016">
        <v>2.0403147785865632</v>
      </c>
      <c r="I1016">
        <v>0.3463472594222004</v>
      </c>
      <c r="J1016">
        <v>0.13519413395016569</v>
      </c>
      <c r="K1016">
        <v>-6.5350650548205505E-2</v>
      </c>
      <c r="L1016">
        <v>0.39206255135303741</v>
      </c>
      <c r="M1016">
        <v>17</v>
      </c>
      <c r="N1016">
        <v>0</v>
      </c>
      <c r="O1016">
        <v>0</v>
      </c>
      <c r="P1016">
        <v>0.56140000000000001</v>
      </c>
      <c r="Q1016">
        <v>0.11550000000000001</v>
      </c>
      <c r="R1016">
        <v>0.42009999999999997</v>
      </c>
      <c r="S1016">
        <v>0</v>
      </c>
      <c r="T1016">
        <v>0.32909999999999989</v>
      </c>
      <c r="U1016">
        <v>9</v>
      </c>
      <c r="V1016">
        <v>1</v>
      </c>
      <c r="W1016">
        <v>0.22222222222222221</v>
      </c>
      <c r="X1016">
        <v>0</v>
      </c>
      <c r="Y1016">
        <v>0.47299999999999998</v>
      </c>
      <c r="Z1016">
        <v>1</v>
      </c>
    </row>
    <row r="1017" spans="1:26" x14ac:dyDescent="0.2">
      <c r="A1017" t="s">
        <v>88</v>
      </c>
      <c r="B1017">
        <v>2019</v>
      </c>
      <c r="C1017" t="str">
        <f t="shared" si="15"/>
        <v>KMR2019</v>
      </c>
      <c r="D1017">
        <v>4.2765735768700344E-15</v>
      </c>
      <c r="E1017">
        <v>7.0541172640173214E-3</v>
      </c>
      <c r="F1017">
        <v>0.55897805705871062</v>
      </c>
      <c r="G1017">
        <v>27.62619897785947</v>
      </c>
      <c r="H1017">
        <v>1.6871236982381059</v>
      </c>
      <c r="I1017">
        <v>0.39666426979883818</v>
      </c>
      <c r="J1017">
        <v>8.9875853993528931E-2</v>
      </c>
      <c r="K1017">
        <v>2.119053153045344E-2</v>
      </c>
      <c r="L1017">
        <v>0.34670885555461411</v>
      </c>
      <c r="M1017">
        <v>18</v>
      </c>
      <c r="N1017">
        <v>0</v>
      </c>
      <c r="O1017">
        <v>1</v>
      </c>
      <c r="P1017">
        <v>0.71869999999999989</v>
      </c>
      <c r="Q1017">
        <v>0.25019999999999998</v>
      </c>
      <c r="R1017">
        <v>0.57739999999999991</v>
      </c>
      <c r="S1017">
        <v>0</v>
      </c>
      <c r="T1017">
        <v>0.32909999999999989</v>
      </c>
      <c r="U1017">
        <v>3</v>
      </c>
      <c r="V1017">
        <v>1</v>
      </c>
      <c r="W1017">
        <v>0.33333333333333331</v>
      </c>
      <c r="X1017">
        <v>0</v>
      </c>
      <c r="Y1017">
        <v>0.48</v>
      </c>
      <c r="Z1017">
        <v>1</v>
      </c>
    </row>
    <row r="1018" spans="1:26" x14ac:dyDescent="0.2">
      <c r="A1018" t="s">
        <v>88</v>
      </c>
      <c r="B1018">
        <v>2020</v>
      </c>
      <c r="C1018" t="str">
        <f t="shared" si="15"/>
        <v>KMR2020</v>
      </c>
      <c r="D1018">
        <v>1.4925295243709761E-16</v>
      </c>
      <c r="E1018">
        <v>3.0393381275203851E-4</v>
      </c>
      <c r="F1018">
        <v>0.60902907486587621</v>
      </c>
      <c r="G1018">
        <v>27.731130900024439</v>
      </c>
      <c r="H1018">
        <v>1.6279241328324481</v>
      </c>
      <c r="I1018">
        <v>0.45722349593215472</v>
      </c>
      <c r="J1018">
        <v>0.1106349981557926</v>
      </c>
      <c r="K1018">
        <v>4.590444952262597E-2</v>
      </c>
      <c r="L1018">
        <v>0.27886288083746308</v>
      </c>
      <c r="M1018">
        <v>19</v>
      </c>
      <c r="N1018">
        <v>0</v>
      </c>
      <c r="O1018">
        <v>1</v>
      </c>
      <c r="P1018">
        <v>0.55590000000000006</v>
      </c>
      <c r="Q1018">
        <v>0.25019999999999998</v>
      </c>
      <c r="R1018">
        <v>0.55590000000000006</v>
      </c>
      <c r="S1018">
        <v>0</v>
      </c>
      <c r="T1018">
        <v>0.316</v>
      </c>
      <c r="U1018">
        <v>3</v>
      </c>
      <c r="V1018">
        <v>0</v>
      </c>
      <c r="W1018">
        <v>0.33333333333333331</v>
      </c>
      <c r="X1018">
        <v>0</v>
      </c>
      <c r="Y1018">
        <v>0.49</v>
      </c>
      <c r="Z1018">
        <v>1</v>
      </c>
    </row>
    <row r="1019" spans="1:26" x14ac:dyDescent="0.2">
      <c r="A1019" t="s">
        <v>88</v>
      </c>
      <c r="B1019">
        <v>2021</v>
      </c>
      <c r="C1019" t="str">
        <f t="shared" si="15"/>
        <v>KMR2021</v>
      </c>
      <c r="D1019">
        <v>1.563917873197943E-14</v>
      </c>
      <c r="E1019">
        <v>2.924607520665044E-2</v>
      </c>
      <c r="F1019">
        <v>0.94897166477604522</v>
      </c>
      <c r="G1019">
        <v>27.70332620034592</v>
      </c>
      <c r="H1019">
        <v>1.5593854157869</v>
      </c>
      <c r="I1019">
        <v>0.42515858503919263</v>
      </c>
      <c r="J1019">
        <v>-2.7421706892381329E-2</v>
      </c>
      <c r="K1019">
        <v>7.4561393641229398E-3</v>
      </c>
      <c r="L1019">
        <v>0.24403048326724469</v>
      </c>
      <c r="M1019">
        <v>20</v>
      </c>
      <c r="N1019">
        <v>0</v>
      </c>
      <c r="O1019">
        <v>0</v>
      </c>
      <c r="P1019">
        <v>0.55590000000000006</v>
      </c>
      <c r="Q1019">
        <v>0.24829999999999999</v>
      </c>
      <c r="R1019">
        <v>0.55590000000000006</v>
      </c>
      <c r="S1019">
        <v>0</v>
      </c>
      <c r="T1019">
        <v>0.316</v>
      </c>
      <c r="U1019">
        <v>3</v>
      </c>
      <c r="V1019">
        <v>0</v>
      </c>
      <c r="W1019">
        <v>0.33333333333333331</v>
      </c>
      <c r="X1019">
        <v>0</v>
      </c>
      <c r="Y1019">
        <v>0.49819999999999998</v>
      </c>
      <c r="Z1019">
        <v>1</v>
      </c>
    </row>
    <row r="1020" spans="1:26" x14ac:dyDescent="0.2">
      <c r="A1020" t="s">
        <v>88</v>
      </c>
      <c r="B1020">
        <v>2022</v>
      </c>
      <c r="C1020" t="str">
        <f t="shared" si="15"/>
        <v>KMR2022</v>
      </c>
      <c r="D1020">
        <v>1.9615359129000709E-14</v>
      </c>
      <c r="E1020">
        <v>2.661671960361316E-2</v>
      </c>
      <c r="F1020">
        <v>0.48641482486390097</v>
      </c>
      <c r="G1020">
        <v>27.554951480962139</v>
      </c>
      <c r="H1020">
        <v>1.7523290293765841</v>
      </c>
      <c r="I1020">
        <v>0.31702452063976672</v>
      </c>
      <c r="J1020">
        <v>-0.13789199417249301</v>
      </c>
      <c r="K1020">
        <v>5.6557803139981412E-2</v>
      </c>
      <c r="L1020">
        <v>0.24619489792256399</v>
      </c>
      <c r="M1020">
        <v>21</v>
      </c>
      <c r="N1020">
        <v>0</v>
      </c>
      <c r="O1020">
        <v>0</v>
      </c>
      <c r="P1020">
        <v>0.46539999999999998</v>
      </c>
      <c r="Q1020">
        <v>0.24829999999999999</v>
      </c>
      <c r="R1020">
        <v>0.46539999999999998</v>
      </c>
      <c r="S1020">
        <v>0</v>
      </c>
      <c r="T1020">
        <v>0.22550000000000001</v>
      </c>
      <c r="U1020">
        <v>3</v>
      </c>
      <c r="V1020">
        <v>0</v>
      </c>
      <c r="W1020">
        <v>0.33333333333333331</v>
      </c>
      <c r="X1020">
        <v>0</v>
      </c>
      <c r="Y1020">
        <v>0.50819999999999999</v>
      </c>
      <c r="Z1020">
        <v>1</v>
      </c>
    </row>
    <row r="1021" spans="1:26" x14ac:dyDescent="0.2">
      <c r="A1021" t="s">
        <v>88</v>
      </c>
      <c r="B1021">
        <v>2023</v>
      </c>
      <c r="C1021" t="str">
        <f t="shared" si="15"/>
        <v>KMR2023</v>
      </c>
      <c r="D1021">
        <v>1648104144.614687</v>
      </c>
      <c r="E1021">
        <v>1.4107315202695699E-2</v>
      </c>
      <c r="F1021">
        <v>0.43717282292258919</v>
      </c>
      <c r="G1021">
        <v>27.50251078978885</v>
      </c>
      <c r="H1021">
        <v>2.3397382393241468</v>
      </c>
      <c r="I1021">
        <v>0.20886075159515829</v>
      </c>
      <c r="J1021">
        <v>-5.1089401838854798E-2</v>
      </c>
      <c r="K1021">
        <v>-1.4235805735706561E-2</v>
      </c>
      <c r="L1021">
        <v>0.221191716747032</v>
      </c>
      <c r="M1021">
        <v>22</v>
      </c>
      <c r="N1021">
        <v>0</v>
      </c>
      <c r="O1021">
        <v>0</v>
      </c>
      <c r="P1021">
        <v>0.46539999999999998</v>
      </c>
      <c r="Q1021">
        <v>0.24829999999999999</v>
      </c>
      <c r="R1021">
        <v>0.46539999999999998</v>
      </c>
      <c r="S1021">
        <v>0</v>
      </c>
      <c r="T1021">
        <v>0.22550000000000001</v>
      </c>
      <c r="U1021">
        <v>3</v>
      </c>
      <c r="V1021">
        <v>0</v>
      </c>
      <c r="W1021">
        <v>0.33333333333333331</v>
      </c>
      <c r="X1021">
        <v>0</v>
      </c>
      <c r="Y1021">
        <v>0.50819999999999999</v>
      </c>
      <c r="Z1021">
        <v>1</v>
      </c>
    </row>
    <row r="1022" spans="1:26" x14ac:dyDescent="0.2">
      <c r="A1022" t="s">
        <v>89</v>
      </c>
      <c r="B1022">
        <v>2012</v>
      </c>
      <c r="C1022" t="str">
        <f t="shared" si="15"/>
        <v>KSD2012</v>
      </c>
      <c r="D1022">
        <v>-3.1283787939094301E-12</v>
      </c>
      <c r="E1022">
        <v>-0.44118428564510098</v>
      </c>
      <c r="F1022">
        <v>0.47823361206174092</v>
      </c>
      <c r="G1022">
        <v>25.383173796424909</v>
      </c>
      <c r="H1022">
        <v>1.119754450579356</v>
      </c>
      <c r="I1022">
        <v>0.25101760230305631</v>
      </c>
      <c r="J1022">
        <v>-0.50766760556648027</v>
      </c>
      <c r="K1022">
        <v>0.25723000228746962</v>
      </c>
      <c r="L1022">
        <v>0.66596792895759838</v>
      </c>
      <c r="M1022">
        <v>9</v>
      </c>
      <c r="N1022">
        <v>0</v>
      </c>
      <c r="O1022">
        <v>0</v>
      </c>
      <c r="P1022">
        <v>0.18090000000000001</v>
      </c>
      <c r="Q1022">
        <v>2.58E-2</v>
      </c>
      <c r="R1022">
        <v>0</v>
      </c>
      <c r="S1022">
        <v>0</v>
      </c>
      <c r="T1022">
        <v>0</v>
      </c>
      <c r="U1022">
        <v>5</v>
      </c>
      <c r="V1022">
        <v>0</v>
      </c>
      <c r="W1022">
        <v>0</v>
      </c>
      <c r="X1022">
        <v>0</v>
      </c>
      <c r="Y1022">
        <v>0.39200000000000002</v>
      </c>
      <c r="Z1022">
        <v>1</v>
      </c>
    </row>
    <row r="1023" spans="1:26" x14ac:dyDescent="0.2">
      <c r="A1023" t="s">
        <v>89</v>
      </c>
      <c r="B1023">
        <v>2013</v>
      </c>
      <c r="C1023" t="str">
        <f t="shared" si="15"/>
        <v>KSD2013</v>
      </c>
      <c r="D1023">
        <v>4.7488479370646559E-14</v>
      </c>
      <c r="E1023">
        <v>6.377046254767817E-3</v>
      </c>
      <c r="F1023">
        <v>0.62456997497399758</v>
      </c>
      <c r="G1023">
        <v>25.361885230318929</v>
      </c>
      <c r="H1023">
        <v>1.1929166033262499</v>
      </c>
      <c r="I1023">
        <v>0.22999153002929351</v>
      </c>
      <c r="J1023">
        <v>-2.106356406798893E-2</v>
      </c>
      <c r="K1023">
        <v>-1.391205750803097E-2</v>
      </c>
      <c r="L1023">
        <v>0.62785702743083815</v>
      </c>
      <c r="M1023">
        <v>10</v>
      </c>
      <c r="N1023">
        <v>0</v>
      </c>
      <c r="O1023">
        <v>0</v>
      </c>
      <c r="P1023">
        <v>0.18090000000000001</v>
      </c>
      <c r="Q1023">
        <v>0.12690000000000001</v>
      </c>
      <c r="R1023">
        <v>0</v>
      </c>
      <c r="S1023">
        <v>0</v>
      </c>
      <c r="T1023">
        <v>0</v>
      </c>
      <c r="U1023">
        <v>5</v>
      </c>
      <c r="V1023">
        <v>0</v>
      </c>
      <c r="W1023">
        <v>0</v>
      </c>
      <c r="X1023">
        <v>1</v>
      </c>
      <c r="Y1023">
        <v>0.38819999999999999</v>
      </c>
      <c r="Z1023">
        <v>1</v>
      </c>
    </row>
    <row r="1024" spans="1:26" x14ac:dyDescent="0.2">
      <c r="A1024" t="s">
        <v>89</v>
      </c>
      <c r="B1024">
        <v>2014</v>
      </c>
      <c r="C1024" t="str">
        <f t="shared" si="15"/>
        <v>KSD2014</v>
      </c>
      <c r="D1024">
        <v>1.384005110706304E-13</v>
      </c>
      <c r="E1024">
        <v>2.3735916827327182E-2</v>
      </c>
      <c r="F1024">
        <v>0.8438704209851664</v>
      </c>
      <c r="G1024">
        <v>25.4962184157515</v>
      </c>
      <c r="H1024">
        <v>1.469381322200499</v>
      </c>
      <c r="I1024">
        <v>0.30610837397291768</v>
      </c>
      <c r="J1024">
        <v>0.14377384494837669</v>
      </c>
      <c r="K1024">
        <v>5.3289512385393943E-2</v>
      </c>
      <c r="L1024">
        <v>0.57835698813425962</v>
      </c>
      <c r="M1024">
        <v>11</v>
      </c>
      <c r="N1024">
        <v>0</v>
      </c>
      <c r="O1024">
        <v>0</v>
      </c>
      <c r="P1024">
        <v>0.1023</v>
      </c>
      <c r="Q1024">
        <v>0.20610000000000001</v>
      </c>
      <c r="R1024">
        <v>0</v>
      </c>
      <c r="S1024">
        <v>0</v>
      </c>
      <c r="T1024">
        <v>0</v>
      </c>
      <c r="U1024">
        <v>5</v>
      </c>
      <c r="V1024">
        <v>0</v>
      </c>
      <c r="W1024">
        <v>0</v>
      </c>
      <c r="X1024">
        <v>1</v>
      </c>
      <c r="Y1024">
        <v>0.39700000000000002</v>
      </c>
      <c r="Z1024">
        <v>1</v>
      </c>
    </row>
    <row r="1025" spans="1:26" x14ac:dyDescent="0.2">
      <c r="A1025" t="s">
        <v>89</v>
      </c>
      <c r="B1025">
        <v>2015</v>
      </c>
      <c r="C1025" t="str">
        <f t="shared" si="15"/>
        <v>KSD2015</v>
      </c>
      <c r="D1025">
        <v>6.5723075797664941E-13</v>
      </c>
      <c r="E1025">
        <v>7.9219025713864674E-2</v>
      </c>
      <c r="F1025">
        <v>0.66538324773040547</v>
      </c>
      <c r="G1025">
        <v>25.36115721310555</v>
      </c>
      <c r="H1025">
        <v>1.2854125352851249</v>
      </c>
      <c r="I1025">
        <v>0.14276673524276401</v>
      </c>
      <c r="J1025">
        <v>-0.126337560401236</v>
      </c>
      <c r="K1025">
        <v>5.0991693646035688E-2</v>
      </c>
      <c r="L1025">
        <v>0.57756682913127733</v>
      </c>
      <c r="M1025">
        <v>12</v>
      </c>
      <c r="N1025">
        <v>0</v>
      </c>
      <c r="O1025">
        <v>0</v>
      </c>
      <c r="P1025">
        <v>0.39750000000000002</v>
      </c>
      <c r="Q1025">
        <v>0.41089999999999999</v>
      </c>
      <c r="R1025">
        <v>0</v>
      </c>
      <c r="S1025">
        <v>0</v>
      </c>
      <c r="T1025">
        <v>0</v>
      </c>
      <c r="U1025">
        <v>5</v>
      </c>
      <c r="V1025">
        <v>0</v>
      </c>
      <c r="W1025">
        <v>0</v>
      </c>
      <c r="X1025">
        <v>1</v>
      </c>
      <c r="Y1025">
        <v>0.40250000000000002</v>
      </c>
      <c r="Z1025">
        <v>0.8</v>
      </c>
    </row>
    <row r="1026" spans="1:26" x14ac:dyDescent="0.2">
      <c r="A1026" t="s">
        <v>89</v>
      </c>
      <c r="B1026">
        <v>2016</v>
      </c>
      <c r="C1026" t="str">
        <f t="shared" si="15"/>
        <v>KSD2016</v>
      </c>
      <c r="D1026">
        <v>4.250442784826479E-13</v>
      </c>
      <c r="E1026">
        <v>5.3924169407155088E-2</v>
      </c>
      <c r="F1026">
        <v>0.5153160928591346</v>
      </c>
      <c r="G1026">
        <v>25.41447555720044</v>
      </c>
      <c r="H1026">
        <v>2.7003488886009288</v>
      </c>
      <c r="I1026">
        <v>0.1409524470058052</v>
      </c>
      <c r="J1026">
        <v>5.4765370005531937E-2</v>
      </c>
      <c r="K1026">
        <v>6.4058943779556718E-2</v>
      </c>
      <c r="L1026">
        <v>0.51915281862772367</v>
      </c>
      <c r="M1026">
        <v>13</v>
      </c>
      <c r="N1026">
        <v>0</v>
      </c>
      <c r="O1026">
        <v>0</v>
      </c>
      <c r="P1026">
        <v>0.48530000000000001</v>
      </c>
      <c r="Q1026">
        <v>0.49099999999999999</v>
      </c>
      <c r="R1026">
        <v>0</v>
      </c>
      <c r="S1026">
        <v>0</v>
      </c>
      <c r="T1026">
        <v>0</v>
      </c>
      <c r="U1026">
        <v>5</v>
      </c>
      <c r="V1026">
        <v>0</v>
      </c>
      <c r="W1026">
        <v>0</v>
      </c>
      <c r="X1026">
        <v>1</v>
      </c>
      <c r="Y1026">
        <v>0.41249999999999998</v>
      </c>
      <c r="Z1026">
        <v>0.8</v>
      </c>
    </row>
    <row r="1027" spans="1:26" x14ac:dyDescent="0.2">
      <c r="A1027" t="s">
        <v>89</v>
      </c>
      <c r="B1027">
        <v>2017</v>
      </c>
      <c r="C1027" t="str">
        <f t="shared" ref="C1027:C1090" si="16">A1027&amp;B1027</f>
        <v>KSD2017</v>
      </c>
      <c r="D1027">
        <v>6.4537593006751401E-13</v>
      </c>
      <c r="E1027">
        <v>7.9049169786776743E-2</v>
      </c>
      <c r="F1027">
        <v>0.43309706385018298</v>
      </c>
      <c r="G1027">
        <v>25.438075690792211</v>
      </c>
      <c r="H1027">
        <v>2.56825143812629</v>
      </c>
      <c r="I1027">
        <v>8.897277919334759E-2</v>
      </c>
      <c r="J1027">
        <v>2.3880820477811589E-2</v>
      </c>
      <c r="K1027">
        <v>6.3494584097470219E-2</v>
      </c>
      <c r="L1027">
        <v>0.48339414168287048</v>
      </c>
      <c r="M1027">
        <v>14</v>
      </c>
      <c r="N1027">
        <v>0</v>
      </c>
      <c r="O1027">
        <v>0</v>
      </c>
      <c r="P1027">
        <v>0.52370000000000005</v>
      </c>
      <c r="Q1027">
        <v>0.54059999999999997</v>
      </c>
      <c r="R1027">
        <v>0</v>
      </c>
      <c r="S1027">
        <v>0</v>
      </c>
      <c r="T1027">
        <v>0</v>
      </c>
      <c r="U1027">
        <v>5</v>
      </c>
      <c r="V1027">
        <v>0</v>
      </c>
      <c r="W1027">
        <v>0</v>
      </c>
      <c r="X1027">
        <v>1</v>
      </c>
      <c r="Y1027">
        <v>0.42249999999999999</v>
      </c>
      <c r="Z1027">
        <v>0.8</v>
      </c>
    </row>
    <row r="1028" spans="1:26" x14ac:dyDescent="0.2">
      <c r="A1028" t="s">
        <v>89</v>
      </c>
      <c r="B1028">
        <v>2018</v>
      </c>
      <c r="C1028" t="str">
        <f t="shared" si="16"/>
        <v>KSD2018</v>
      </c>
      <c r="D1028">
        <v>1.998619539122732E-13</v>
      </c>
      <c r="E1028">
        <v>2.144341644927894E-2</v>
      </c>
      <c r="F1028">
        <v>0.7548005028278022</v>
      </c>
      <c r="G1028">
        <v>25.382690873356061</v>
      </c>
      <c r="H1028">
        <v>4.9965245276052181</v>
      </c>
      <c r="I1028">
        <v>1.599176946793579E-2</v>
      </c>
      <c r="J1028">
        <v>-5.387900596361838E-2</v>
      </c>
      <c r="K1028">
        <v>0.1168989408025999</v>
      </c>
      <c r="L1028">
        <v>0.52792978618994513</v>
      </c>
      <c r="M1028">
        <v>15</v>
      </c>
      <c r="N1028">
        <v>0</v>
      </c>
      <c r="O1028">
        <v>0</v>
      </c>
      <c r="P1028">
        <v>0.6792999999999999</v>
      </c>
      <c r="Q1028">
        <v>0.72770000000000001</v>
      </c>
      <c r="R1028">
        <v>0</v>
      </c>
      <c r="S1028">
        <v>0</v>
      </c>
      <c r="T1028">
        <v>0</v>
      </c>
      <c r="U1028">
        <v>5</v>
      </c>
      <c r="V1028">
        <v>0</v>
      </c>
      <c r="W1028">
        <v>0</v>
      </c>
      <c r="X1028">
        <v>1</v>
      </c>
      <c r="Y1028">
        <v>0.45500000000000002</v>
      </c>
      <c r="Z1028">
        <v>0.6</v>
      </c>
    </row>
    <row r="1029" spans="1:26" x14ac:dyDescent="0.2">
      <c r="A1029" t="s">
        <v>89</v>
      </c>
      <c r="B1029">
        <v>2019</v>
      </c>
      <c r="C1029" t="str">
        <f t="shared" si="16"/>
        <v>KSD2019</v>
      </c>
      <c r="D1029">
        <v>3.7057974914936841E-13</v>
      </c>
      <c r="E1029">
        <v>4.2230524012048201E-2</v>
      </c>
      <c r="F1029">
        <v>0.73675166535471792</v>
      </c>
      <c r="G1029">
        <v>25.434406870298041</v>
      </c>
      <c r="H1029">
        <v>23.86961937812621</v>
      </c>
      <c r="I1029">
        <v>2.438657706084351E-2</v>
      </c>
      <c r="J1029">
        <v>5.3076623058667449E-2</v>
      </c>
      <c r="K1029">
        <v>0.1329991592288379</v>
      </c>
      <c r="L1029">
        <v>0.47151096024645828</v>
      </c>
      <c r="M1029">
        <v>16</v>
      </c>
      <c r="N1029">
        <v>0</v>
      </c>
      <c r="O1029">
        <v>1</v>
      </c>
      <c r="P1029">
        <v>0.73429999999999995</v>
      </c>
      <c r="Q1029">
        <v>0.73439999999999994</v>
      </c>
      <c r="R1029">
        <v>0</v>
      </c>
      <c r="S1029">
        <v>0</v>
      </c>
      <c r="T1029">
        <v>0</v>
      </c>
      <c r="U1029">
        <v>5</v>
      </c>
      <c r="V1029">
        <v>0</v>
      </c>
      <c r="W1029">
        <v>0</v>
      </c>
      <c r="X1029">
        <v>1</v>
      </c>
      <c r="Y1029">
        <v>0.46500000000000002</v>
      </c>
      <c r="Z1029">
        <v>0.6</v>
      </c>
    </row>
    <row r="1030" spans="1:26" x14ac:dyDescent="0.2">
      <c r="A1030" t="s">
        <v>89</v>
      </c>
      <c r="B1030">
        <v>2020</v>
      </c>
      <c r="C1030" t="str">
        <f t="shared" si="16"/>
        <v>KSD2020</v>
      </c>
      <c r="D1030">
        <v>-6.4962852580980668E-13</v>
      </c>
      <c r="E1030">
        <v>-6.9209856081798513E-2</v>
      </c>
      <c r="F1030">
        <v>0.55515428237779152</v>
      </c>
      <c r="G1030">
        <v>25.367280894679791</v>
      </c>
      <c r="H1030">
        <v>16.424637611822</v>
      </c>
      <c r="I1030">
        <v>2.4185529061478639E-2</v>
      </c>
      <c r="J1030">
        <v>-6.4922603036499105E-2</v>
      </c>
      <c r="K1030">
        <v>1.9741562754524811E-2</v>
      </c>
      <c r="L1030">
        <v>0.48538318276360082</v>
      </c>
      <c r="M1030">
        <v>17</v>
      </c>
      <c r="N1030">
        <v>0</v>
      </c>
      <c r="O1030">
        <v>1</v>
      </c>
      <c r="P1030">
        <v>0.53410000000000002</v>
      </c>
      <c r="Q1030">
        <v>0.39789999999999998</v>
      </c>
      <c r="R1030">
        <v>0.24629999999999999</v>
      </c>
      <c r="S1030">
        <v>0</v>
      </c>
      <c r="T1030">
        <v>0</v>
      </c>
      <c r="U1030">
        <v>4</v>
      </c>
      <c r="V1030">
        <v>1</v>
      </c>
      <c r="W1030">
        <v>0.25</v>
      </c>
      <c r="X1030">
        <v>1</v>
      </c>
      <c r="Y1030">
        <v>0.38290000000000002</v>
      </c>
      <c r="Z1030">
        <v>1</v>
      </c>
    </row>
    <row r="1031" spans="1:26" x14ac:dyDescent="0.2">
      <c r="A1031" t="s">
        <v>89</v>
      </c>
      <c r="B1031">
        <v>2021</v>
      </c>
      <c r="C1031" t="str">
        <f t="shared" si="16"/>
        <v>KSD2021</v>
      </c>
      <c r="D1031">
        <v>1.095486680723208E-12</v>
      </c>
      <c r="E1031">
        <v>0.1589601475877265</v>
      </c>
      <c r="F1031">
        <v>0.7594780216889544</v>
      </c>
      <c r="G1031">
        <v>25.608317483913169</v>
      </c>
      <c r="H1031">
        <v>16.309183681267889</v>
      </c>
      <c r="I1031">
        <v>8.8262498760685953E-2</v>
      </c>
      <c r="J1031">
        <v>0.27256759672919362</v>
      </c>
      <c r="K1031">
        <v>-5.012902301611144E-2</v>
      </c>
      <c r="L1031">
        <v>0.42749766322226618</v>
      </c>
      <c r="M1031">
        <v>18</v>
      </c>
      <c r="N1031">
        <v>0</v>
      </c>
      <c r="O1031">
        <v>0</v>
      </c>
      <c r="P1031">
        <v>0.58219999999999994</v>
      </c>
      <c r="Q1031">
        <v>0.58219999999999994</v>
      </c>
      <c r="R1031">
        <v>0.24629999999999999</v>
      </c>
      <c r="S1031">
        <v>0</v>
      </c>
      <c r="T1031">
        <v>0</v>
      </c>
      <c r="U1031">
        <v>5</v>
      </c>
      <c r="V1031">
        <v>0</v>
      </c>
      <c r="W1031">
        <v>0.2</v>
      </c>
      <c r="X1031">
        <v>1</v>
      </c>
      <c r="Y1031">
        <v>0.40379999999999999</v>
      </c>
      <c r="Z1031">
        <v>1</v>
      </c>
    </row>
    <row r="1032" spans="1:26" x14ac:dyDescent="0.2">
      <c r="A1032" t="s">
        <v>89</v>
      </c>
      <c r="B1032">
        <v>2022</v>
      </c>
      <c r="C1032" t="str">
        <f t="shared" si="16"/>
        <v>KSD2022</v>
      </c>
      <c r="D1032">
        <v>8.8401793675287584E-15</v>
      </c>
      <c r="E1032">
        <v>1.284936403855541E-3</v>
      </c>
      <c r="F1032">
        <v>0.61375484781844336</v>
      </c>
      <c r="G1032">
        <v>25.60981163181447</v>
      </c>
      <c r="H1032">
        <v>4.5971000998099401</v>
      </c>
      <c r="I1032">
        <v>8.8452471621388765E-2</v>
      </c>
      <c r="J1032">
        <v>1.495264696423249E-3</v>
      </c>
      <c r="K1032">
        <v>8.3787544081636384E-2</v>
      </c>
      <c r="L1032">
        <v>0.44813470150586249</v>
      </c>
      <c r="M1032">
        <v>19</v>
      </c>
      <c r="N1032">
        <v>0</v>
      </c>
      <c r="O1032">
        <v>0</v>
      </c>
      <c r="P1032">
        <v>0.62390000000000001</v>
      </c>
      <c r="Q1032">
        <v>0.624</v>
      </c>
      <c r="R1032">
        <v>0.24629999999999999</v>
      </c>
      <c r="S1032">
        <v>0</v>
      </c>
      <c r="T1032">
        <v>0</v>
      </c>
      <c r="U1032">
        <v>5</v>
      </c>
      <c r="V1032">
        <v>0</v>
      </c>
      <c r="W1032">
        <v>0.2</v>
      </c>
      <c r="X1032">
        <v>1</v>
      </c>
      <c r="Y1032">
        <v>0.38779999999999998</v>
      </c>
      <c r="Z1032">
        <v>0.8</v>
      </c>
    </row>
    <row r="1033" spans="1:26" x14ac:dyDescent="0.2">
      <c r="A1033" t="s">
        <v>89</v>
      </c>
      <c r="B1033">
        <v>2023</v>
      </c>
      <c r="C1033" t="str">
        <f t="shared" si="16"/>
        <v>KSD2023</v>
      </c>
      <c r="D1033">
        <v>-39478952791.364853</v>
      </c>
      <c r="E1033">
        <v>1.243851803784594E-3</v>
      </c>
      <c r="F1033">
        <v>0.38700148963225223</v>
      </c>
      <c r="G1033">
        <v>25.60589393048599</v>
      </c>
      <c r="H1033">
        <v>5.127076221667477</v>
      </c>
      <c r="I1033">
        <v>5.9671867908492777E-2</v>
      </c>
      <c r="J1033">
        <v>-3.9100371485477634E-3</v>
      </c>
      <c r="K1033">
        <v>7.1258975598720534E-2</v>
      </c>
      <c r="L1033">
        <v>0.35792460990008912</v>
      </c>
      <c r="M1033">
        <v>20</v>
      </c>
      <c r="N1033">
        <v>0</v>
      </c>
      <c r="O1033">
        <v>0</v>
      </c>
      <c r="P1033">
        <v>0.62390000000000001</v>
      </c>
      <c r="Q1033">
        <v>0.624</v>
      </c>
      <c r="R1033">
        <v>0.24629999999999999</v>
      </c>
      <c r="S1033">
        <v>0</v>
      </c>
      <c r="T1033">
        <v>0</v>
      </c>
      <c r="U1033">
        <v>5</v>
      </c>
      <c r="V1033">
        <v>0</v>
      </c>
      <c r="W1033">
        <v>0.2</v>
      </c>
      <c r="X1033">
        <v>1</v>
      </c>
      <c r="Y1033">
        <v>0.38779999999999998</v>
      </c>
      <c r="Z1033">
        <v>0.8</v>
      </c>
    </row>
    <row r="1034" spans="1:26" x14ac:dyDescent="0.2">
      <c r="A1034" t="s">
        <v>90</v>
      </c>
      <c r="B1034">
        <v>2012</v>
      </c>
      <c r="C1034" t="str">
        <f t="shared" si="16"/>
        <v>KTS2012</v>
      </c>
      <c r="D1034">
        <v>8.3560656211568105E-13</v>
      </c>
      <c r="E1034">
        <v>0.22119488031942611</v>
      </c>
      <c r="F1034">
        <v>0.79737611755227644</v>
      </c>
      <c r="G1034">
        <v>25.92856045167283</v>
      </c>
      <c r="H1034">
        <v>2.1726829127662262</v>
      </c>
      <c r="I1034">
        <v>0.31157362767000529</v>
      </c>
      <c r="J1034">
        <v>3.2684895999564027E-2</v>
      </c>
      <c r="K1034">
        <v>-1.383377105396855E-2</v>
      </c>
      <c r="L1034">
        <v>0.25919961198706121</v>
      </c>
      <c r="M1034">
        <v>6</v>
      </c>
      <c r="N1034">
        <v>0</v>
      </c>
      <c r="O1034">
        <v>0</v>
      </c>
      <c r="P1034">
        <v>0.71</v>
      </c>
      <c r="Q1034">
        <v>2.0500000000000001E-2</v>
      </c>
      <c r="R1034">
        <v>0</v>
      </c>
      <c r="S1034">
        <v>0.49</v>
      </c>
      <c r="T1034">
        <v>0.64</v>
      </c>
      <c r="U1034">
        <v>5</v>
      </c>
      <c r="V1034">
        <v>0</v>
      </c>
      <c r="W1034">
        <v>0.2</v>
      </c>
      <c r="X1034">
        <v>0</v>
      </c>
      <c r="Y1034">
        <v>0.44800000000000001</v>
      </c>
      <c r="Z1034">
        <v>1</v>
      </c>
    </row>
    <row r="1035" spans="1:26" x14ac:dyDescent="0.2">
      <c r="A1035" t="s">
        <v>90</v>
      </c>
      <c r="B1035">
        <v>2013</v>
      </c>
      <c r="C1035" t="str">
        <f t="shared" si="16"/>
        <v>KTS2013</v>
      </c>
      <c r="D1035">
        <v>4.8862053268288149E-13</v>
      </c>
      <c r="E1035">
        <v>0.1033331119534943</v>
      </c>
      <c r="F1035">
        <v>0.7228173314105576</v>
      </c>
      <c r="G1035">
        <v>25.825098466449329</v>
      </c>
      <c r="H1035">
        <v>2.3459811337534511</v>
      </c>
      <c r="I1035">
        <v>0.22298399817734121</v>
      </c>
      <c r="J1035">
        <v>-9.8289699594146129E-2</v>
      </c>
      <c r="K1035">
        <v>0.24497636371883469</v>
      </c>
      <c r="L1035">
        <v>0.23480004888228809</v>
      </c>
      <c r="M1035">
        <v>7</v>
      </c>
      <c r="N1035">
        <v>0</v>
      </c>
      <c r="O1035">
        <v>0</v>
      </c>
      <c r="P1035">
        <v>0.61070000000000002</v>
      </c>
      <c r="Q1035">
        <v>5.67E-2</v>
      </c>
      <c r="R1035">
        <v>0</v>
      </c>
      <c r="S1035">
        <v>0.39</v>
      </c>
      <c r="T1035">
        <v>0.54</v>
      </c>
      <c r="U1035">
        <v>5</v>
      </c>
      <c r="V1035">
        <v>0</v>
      </c>
      <c r="W1035">
        <v>0.2</v>
      </c>
      <c r="X1035">
        <v>0</v>
      </c>
      <c r="Y1035">
        <v>0.47749999999999998</v>
      </c>
      <c r="Z1035">
        <v>1</v>
      </c>
    </row>
    <row r="1036" spans="1:26" x14ac:dyDescent="0.2">
      <c r="A1036" t="s">
        <v>90</v>
      </c>
      <c r="B1036">
        <v>2014</v>
      </c>
      <c r="C1036" t="str">
        <f t="shared" si="16"/>
        <v>KTS2014</v>
      </c>
      <c r="D1036">
        <v>-1.677403108961673E-13</v>
      </c>
      <c r="E1036">
        <v>-2.8484877933271278E-2</v>
      </c>
      <c r="F1036">
        <v>0.66632997206362043</v>
      </c>
      <c r="G1036">
        <v>25.66349018488436</v>
      </c>
      <c r="H1036">
        <v>3.1880823996359759</v>
      </c>
      <c r="I1036">
        <v>0.17674333654453539</v>
      </c>
      <c r="J1036">
        <v>-0.1492255967062445</v>
      </c>
      <c r="K1036">
        <v>-0.18939391057512489</v>
      </c>
      <c r="L1036">
        <v>0.25665660030037662</v>
      </c>
      <c r="M1036">
        <v>8</v>
      </c>
      <c r="N1036">
        <v>0</v>
      </c>
      <c r="O1036">
        <v>0</v>
      </c>
      <c r="P1036">
        <v>0.47070000000000001</v>
      </c>
      <c r="Q1036">
        <v>3.4599999999999999E-2</v>
      </c>
      <c r="R1036">
        <v>0</v>
      </c>
      <c r="S1036">
        <v>0.25</v>
      </c>
      <c r="T1036">
        <v>0.4</v>
      </c>
      <c r="U1036">
        <v>5</v>
      </c>
      <c r="V1036">
        <v>0</v>
      </c>
      <c r="W1036">
        <v>0.2</v>
      </c>
      <c r="X1036">
        <v>0</v>
      </c>
      <c r="Y1036">
        <v>0.48730000000000001</v>
      </c>
      <c r="Z1036">
        <v>1</v>
      </c>
    </row>
    <row r="1037" spans="1:26" x14ac:dyDescent="0.2">
      <c r="A1037" t="s">
        <v>90</v>
      </c>
      <c r="B1037">
        <v>2015</v>
      </c>
      <c r="C1037" t="str">
        <f t="shared" si="16"/>
        <v>KTS2015</v>
      </c>
      <c r="D1037">
        <v>9.6730431637409817E-13</v>
      </c>
      <c r="E1037">
        <v>0.1774284011939703</v>
      </c>
      <c r="F1037">
        <v>0.66921324520700343</v>
      </c>
      <c r="G1037">
        <v>25.76133071040136</v>
      </c>
      <c r="H1037">
        <v>3.927810238799879</v>
      </c>
      <c r="I1037">
        <v>0.159488305123927</v>
      </c>
      <c r="J1037">
        <v>0.10278690471316621</v>
      </c>
      <c r="K1037">
        <v>0.38064051167664442</v>
      </c>
      <c r="L1037">
        <v>0.25931488232180477</v>
      </c>
      <c r="M1037">
        <v>9</v>
      </c>
      <c r="N1037">
        <v>0</v>
      </c>
      <c r="O1037">
        <v>0</v>
      </c>
      <c r="P1037">
        <v>0.2208</v>
      </c>
      <c r="Q1037">
        <v>1.47E-2</v>
      </c>
      <c r="R1037">
        <v>0</v>
      </c>
      <c r="S1037">
        <v>0</v>
      </c>
      <c r="T1037">
        <v>0.15</v>
      </c>
      <c r="U1037">
        <v>4</v>
      </c>
      <c r="V1037">
        <v>0</v>
      </c>
      <c r="W1037">
        <v>0</v>
      </c>
      <c r="X1037">
        <v>0</v>
      </c>
      <c r="Y1037">
        <v>0.50880000000000003</v>
      </c>
      <c r="Z1037">
        <v>1</v>
      </c>
    </row>
    <row r="1038" spans="1:26" x14ac:dyDescent="0.2">
      <c r="A1038" t="s">
        <v>90</v>
      </c>
      <c r="B1038">
        <v>2016</v>
      </c>
      <c r="C1038" t="str">
        <f t="shared" si="16"/>
        <v>KTS2016</v>
      </c>
      <c r="D1038">
        <v>0</v>
      </c>
      <c r="E1038">
        <v>0</v>
      </c>
      <c r="F1038">
        <v>1.513777190713492</v>
      </c>
      <c r="G1038">
        <v>25.714193789018299</v>
      </c>
      <c r="H1038" t="e">
        <v>#N/A</v>
      </c>
      <c r="I1038">
        <v>4.8686798900905333E-2</v>
      </c>
      <c r="J1038">
        <v>1.113754513432599</v>
      </c>
      <c r="K1038">
        <v>0.74607838067486665</v>
      </c>
      <c r="L1038">
        <v>1</v>
      </c>
      <c r="M1038">
        <v>10</v>
      </c>
      <c r="N1038">
        <v>0</v>
      </c>
      <c r="O1038">
        <v>0</v>
      </c>
      <c r="P1038">
        <v>0.2208</v>
      </c>
      <c r="Q1038">
        <v>1.47E-2</v>
      </c>
      <c r="R1038">
        <v>0</v>
      </c>
      <c r="S1038">
        <v>0</v>
      </c>
      <c r="T1038">
        <v>0.15</v>
      </c>
      <c r="U1038">
        <v>5</v>
      </c>
      <c r="V1038">
        <v>0</v>
      </c>
      <c r="W1038">
        <v>0</v>
      </c>
      <c r="X1038">
        <v>0</v>
      </c>
      <c r="Y1038">
        <v>0.52139999999999997</v>
      </c>
      <c r="Z1038">
        <v>1</v>
      </c>
    </row>
    <row r="1039" spans="1:26" x14ac:dyDescent="0.2">
      <c r="A1039" t="s">
        <v>90</v>
      </c>
      <c r="B1039">
        <v>2017</v>
      </c>
      <c r="C1039" t="str">
        <f t="shared" si="16"/>
        <v>KTS2017</v>
      </c>
      <c r="D1039">
        <v>3.990650055674283E-13</v>
      </c>
      <c r="E1039">
        <v>0.27734030886492189</v>
      </c>
      <c r="F1039">
        <v>0.97760091747307565</v>
      </c>
      <c r="G1039">
        <v>26.509796466902401</v>
      </c>
      <c r="H1039">
        <v>1.551197105518578</v>
      </c>
      <c r="I1039">
        <v>0.5310905634295805</v>
      </c>
      <c r="J1039">
        <v>0.5686724068388056</v>
      </c>
      <c r="K1039">
        <v>-0.40807793416772842</v>
      </c>
      <c r="L1039">
        <v>0.1621979579750365</v>
      </c>
      <c r="M1039">
        <v>11</v>
      </c>
      <c r="N1039">
        <v>0</v>
      </c>
      <c r="O1039">
        <v>0</v>
      </c>
      <c r="P1039">
        <v>0.2208</v>
      </c>
      <c r="Q1039">
        <v>0</v>
      </c>
      <c r="R1039">
        <v>0</v>
      </c>
      <c r="S1039">
        <v>0</v>
      </c>
      <c r="T1039">
        <v>0.15</v>
      </c>
      <c r="U1039">
        <v>5</v>
      </c>
      <c r="V1039">
        <v>0</v>
      </c>
      <c r="W1039">
        <v>0</v>
      </c>
      <c r="X1039">
        <v>0</v>
      </c>
      <c r="Y1039">
        <v>0.53139999999999998</v>
      </c>
      <c r="Z1039">
        <v>1</v>
      </c>
    </row>
    <row r="1040" spans="1:26" x14ac:dyDescent="0.2">
      <c r="A1040" t="s">
        <v>90</v>
      </c>
      <c r="B1040">
        <v>2018</v>
      </c>
      <c r="C1040" t="str">
        <f t="shared" si="16"/>
        <v>KTS2018</v>
      </c>
      <c r="D1040">
        <v>3.4386158368589512E-14</v>
      </c>
      <c r="E1040">
        <v>5.828405400438802E-2</v>
      </c>
      <c r="F1040">
        <v>0.8650245778989768</v>
      </c>
      <c r="G1040">
        <v>26.960026127801019</v>
      </c>
      <c r="H1040">
        <v>1.2114637870727809</v>
      </c>
      <c r="I1040">
        <v>0.69840475758304255</v>
      </c>
      <c r="J1040">
        <v>-0.26184546081654392</v>
      </c>
      <c r="K1040">
        <v>8.9638851923835566E-3</v>
      </c>
      <c r="L1040">
        <v>0.34588473218003057</v>
      </c>
      <c r="M1040">
        <v>12</v>
      </c>
      <c r="N1040">
        <v>0</v>
      </c>
      <c r="O1040">
        <v>0</v>
      </c>
      <c r="P1040">
        <v>0.27089999999999997</v>
      </c>
      <c r="Q1040">
        <v>1.47E-2</v>
      </c>
      <c r="R1040">
        <v>5.0099999999999999E-2</v>
      </c>
      <c r="S1040">
        <v>0</v>
      </c>
      <c r="T1040">
        <v>0.2001</v>
      </c>
      <c r="U1040">
        <v>5</v>
      </c>
      <c r="V1040">
        <v>0</v>
      </c>
      <c r="W1040">
        <v>0</v>
      </c>
      <c r="X1040">
        <v>0</v>
      </c>
      <c r="Y1040">
        <v>0.53129999999999999</v>
      </c>
      <c r="Z1040">
        <v>1</v>
      </c>
    </row>
    <row r="1041" spans="1:26" x14ac:dyDescent="0.2">
      <c r="A1041" t="s">
        <v>90</v>
      </c>
      <c r="B1041">
        <v>2019</v>
      </c>
      <c r="C1041" t="str">
        <f t="shared" si="16"/>
        <v>KTS2019</v>
      </c>
      <c r="D1041">
        <v>3.1789326654600147E-14</v>
      </c>
      <c r="E1041">
        <v>2.8694949787596392E-2</v>
      </c>
      <c r="F1041">
        <v>0.70154437633984146</v>
      </c>
      <c r="G1041">
        <v>26.65642405418528</v>
      </c>
      <c r="H1041">
        <v>0.77053743396941954</v>
      </c>
      <c r="I1041">
        <v>0.58196395151538893</v>
      </c>
      <c r="J1041">
        <v>5.7170724442849208E-2</v>
      </c>
      <c r="K1041">
        <v>0.35553818342189331</v>
      </c>
      <c r="L1041">
        <v>0.65037032142593221</v>
      </c>
      <c r="M1041">
        <v>13</v>
      </c>
      <c r="N1041">
        <v>0</v>
      </c>
      <c r="O1041">
        <v>1</v>
      </c>
      <c r="P1041">
        <v>0.2712</v>
      </c>
      <c r="Q1041">
        <v>1.47E-2</v>
      </c>
      <c r="R1041">
        <v>5.04E-2</v>
      </c>
      <c r="S1041">
        <v>0</v>
      </c>
      <c r="T1041">
        <v>0.20039999999999999</v>
      </c>
      <c r="U1041">
        <v>3</v>
      </c>
      <c r="V1041">
        <v>0</v>
      </c>
      <c r="W1041">
        <v>0</v>
      </c>
      <c r="X1041">
        <v>1</v>
      </c>
      <c r="Y1041">
        <v>0.50670000000000004</v>
      </c>
      <c r="Z1041">
        <v>1</v>
      </c>
    </row>
    <row r="1042" spans="1:26" x14ac:dyDescent="0.2">
      <c r="A1042" t="s">
        <v>90</v>
      </c>
      <c r="B1042">
        <v>2020</v>
      </c>
      <c r="C1042" t="str">
        <f t="shared" si="16"/>
        <v>KTS2020</v>
      </c>
      <c r="D1042">
        <v>1.2455693004397651E-14</v>
      </c>
      <c r="E1042">
        <v>1.248327541216461E-2</v>
      </c>
      <c r="F1042">
        <v>0.77989556988476405</v>
      </c>
      <c r="G1042">
        <v>26.712020265952098</v>
      </c>
      <c r="H1042">
        <v>1.329278017727674</v>
      </c>
      <c r="I1042">
        <v>0.60196400717635168</v>
      </c>
      <c r="J1042">
        <v>0.1019285843349864</v>
      </c>
      <c r="K1042">
        <v>-0.1059420111752355</v>
      </c>
      <c r="L1042">
        <v>0.59272124366033752</v>
      </c>
      <c r="M1042">
        <v>14</v>
      </c>
      <c r="N1042">
        <v>0</v>
      </c>
      <c r="O1042">
        <v>1</v>
      </c>
      <c r="P1042">
        <v>0.28810000000000002</v>
      </c>
      <c r="Q1042">
        <v>1.47E-2</v>
      </c>
      <c r="R1042">
        <v>6.7299999999999999E-2</v>
      </c>
      <c r="S1042">
        <v>0</v>
      </c>
      <c r="T1042">
        <v>0.21729999999999999</v>
      </c>
      <c r="U1042">
        <v>3</v>
      </c>
      <c r="V1042">
        <v>0</v>
      </c>
      <c r="W1042">
        <v>0</v>
      </c>
      <c r="X1042">
        <v>1</v>
      </c>
      <c r="Y1042">
        <v>0.49780000000000002</v>
      </c>
      <c r="Z1042">
        <v>1</v>
      </c>
    </row>
    <row r="1043" spans="1:26" x14ac:dyDescent="0.2">
      <c r="A1043" t="s">
        <v>90</v>
      </c>
      <c r="B1043">
        <v>2021</v>
      </c>
      <c r="C1043" t="str">
        <f t="shared" si="16"/>
        <v>KTS2021</v>
      </c>
      <c r="D1043">
        <v>2.9351885875130567E-14</v>
      </c>
      <c r="E1043">
        <v>3.4761806537482988E-2</v>
      </c>
      <c r="F1043">
        <v>0.88718892509556679</v>
      </c>
      <c r="G1043">
        <v>26.809082169079211</v>
      </c>
      <c r="H1043">
        <v>0.98457180474721429</v>
      </c>
      <c r="I1043">
        <v>0.62883234520407549</v>
      </c>
      <c r="J1043">
        <v>-8.7340744318615271E-2</v>
      </c>
      <c r="K1043">
        <v>-1.6476740675733039E-2</v>
      </c>
      <c r="L1043">
        <v>0.50164483056117715</v>
      </c>
      <c r="M1043">
        <v>15</v>
      </c>
      <c r="N1043">
        <v>0</v>
      </c>
      <c r="O1043">
        <v>0</v>
      </c>
      <c r="P1043">
        <v>0.2208</v>
      </c>
      <c r="Q1043">
        <v>1.47E-2</v>
      </c>
      <c r="R1043">
        <v>0</v>
      </c>
      <c r="S1043">
        <v>0</v>
      </c>
      <c r="T1043">
        <v>0.15</v>
      </c>
      <c r="U1043">
        <v>3</v>
      </c>
      <c r="V1043">
        <v>0</v>
      </c>
      <c r="W1043">
        <v>0</v>
      </c>
      <c r="X1043">
        <v>1</v>
      </c>
      <c r="Y1043">
        <v>0.51670000000000005</v>
      </c>
      <c r="Z1043">
        <v>1</v>
      </c>
    </row>
    <row r="1044" spans="1:26" x14ac:dyDescent="0.2">
      <c r="A1044" t="s">
        <v>90</v>
      </c>
      <c r="B1044">
        <v>2022</v>
      </c>
      <c r="C1044" t="str">
        <f t="shared" si="16"/>
        <v>KTS2022</v>
      </c>
      <c r="D1044">
        <v>4.9766954748047512E-14</v>
      </c>
      <c r="E1044">
        <v>4.7238062933569913E-2</v>
      </c>
      <c r="F1044">
        <v>0.76310909521686787</v>
      </c>
      <c r="G1044">
        <v>26.717689487099818</v>
      </c>
      <c r="H1044">
        <v>1.05150313577499</v>
      </c>
      <c r="I1044">
        <v>0.57733712775108126</v>
      </c>
      <c r="J1044">
        <v>0.20022294165812601</v>
      </c>
      <c r="K1044">
        <v>5.8427051915610012E-2</v>
      </c>
      <c r="L1044">
        <v>0.50995446432792946</v>
      </c>
      <c r="M1044">
        <v>16</v>
      </c>
      <c r="N1044">
        <v>0</v>
      </c>
      <c r="O1044">
        <v>0</v>
      </c>
      <c r="P1044">
        <v>0.2208</v>
      </c>
      <c r="Q1044">
        <v>1.47E-2</v>
      </c>
      <c r="R1044">
        <v>0</v>
      </c>
      <c r="S1044">
        <v>0</v>
      </c>
      <c r="T1044">
        <v>0.15</v>
      </c>
      <c r="U1044">
        <v>3</v>
      </c>
      <c r="V1044">
        <v>0</v>
      </c>
      <c r="W1044">
        <v>0</v>
      </c>
      <c r="X1044">
        <v>1</v>
      </c>
      <c r="Y1044">
        <v>0.52</v>
      </c>
      <c r="Z1044">
        <v>1</v>
      </c>
    </row>
    <row r="1045" spans="1:26" x14ac:dyDescent="0.2">
      <c r="A1045" t="s">
        <v>90</v>
      </c>
      <c r="B1045">
        <v>2023</v>
      </c>
      <c r="C1045" t="str">
        <f t="shared" si="16"/>
        <v>KTS2023</v>
      </c>
      <c r="D1045">
        <v>9537416607460.5664</v>
      </c>
      <c r="E1045">
        <v>0.15050056142842469</v>
      </c>
      <c r="F1045">
        <v>0.72854475767007765</v>
      </c>
      <c r="G1045">
        <v>26.90019681135303</v>
      </c>
      <c r="H1045">
        <v>1.180744452386431</v>
      </c>
      <c r="I1045">
        <v>0.47291477964144318</v>
      </c>
      <c r="J1045">
        <v>3.241223562030271E-3</v>
      </c>
      <c r="K1045">
        <v>-9.6221977077883426E-3</v>
      </c>
      <c r="L1045">
        <v>0.40384245392080848</v>
      </c>
      <c r="M1045">
        <v>17</v>
      </c>
      <c r="N1045">
        <v>0</v>
      </c>
      <c r="O1045">
        <v>0</v>
      </c>
      <c r="P1045">
        <v>0.2208</v>
      </c>
      <c r="Q1045">
        <v>1.47E-2</v>
      </c>
      <c r="R1045">
        <v>0</v>
      </c>
      <c r="S1045">
        <v>0</v>
      </c>
      <c r="T1045">
        <v>0.15</v>
      </c>
      <c r="U1045">
        <v>3</v>
      </c>
      <c r="V1045">
        <v>0</v>
      </c>
      <c r="W1045">
        <v>0</v>
      </c>
      <c r="X1045">
        <v>1</v>
      </c>
      <c r="Y1045">
        <v>0.52</v>
      </c>
      <c r="Z1045">
        <v>1</v>
      </c>
    </row>
    <row r="1046" spans="1:26" x14ac:dyDescent="0.2">
      <c r="A1046" t="s">
        <v>91</v>
      </c>
      <c r="B1046">
        <v>2012</v>
      </c>
      <c r="C1046" t="str">
        <f t="shared" si="16"/>
        <v>LAF2012</v>
      </c>
      <c r="D1046">
        <v>-2.7381433653563639E-12</v>
      </c>
      <c r="E1046">
        <v>-1.866966013283053</v>
      </c>
      <c r="F1046">
        <v>0.89789743759911844</v>
      </c>
      <c r="G1046">
        <v>26.18602083303573</v>
      </c>
      <c r="H1046">
        <v>1.293438666374205</v>
      </c>
      <c r="I1046">
        <v>0.6542484607494462</v>
      </c>
      <c r="J1046">
        <v>-0.67422100597233448</v>
      </c>
      <c r="K1046">
        <v>1.2128033483566849</v>
      </c>
      <c r="L1046">
        <v>0.2267624144120739</v>
      </c>
      <c r="M1046">
        <v>12</v>
      </c>
      <c r="N1046">
        <v>0</v>
      </c>
      <c r="O1046">
        <v>0</v>
      </c>
      <c r="P1046">
        <v>0.55169999999999997</v>
      </c>
      <c r="Q1046">
        <v>2.29E-2</v>
      </c>
      <c r="R1046">
        <v>0.1221</v>
      </c>
      <c r="S1046">
        <v>0.2303</v>
      </c>
      <c r="T1046">
        <v>0.55169999999999997</v>
      </c>
      <c r="U1046">
        <v>7</v>
      </c>
      <c r="V1046">
        <v>1</v>
      </c>
      <c r="W1046">
        <v>0.14285714285714279</v>
      </c>
      <c r="X1046">
        <v>0</v>
      </c>
      <c r="Y1046">
        <v>0.41820000000000002</v>
      </c>
      <c r="Z1046">
        <v>1</v>
      </c>
    </row>
    <row r="1047" spans="1:26" x14ac:dyDescent="0.2">
      <c r="A1047" t="s">
        <v>91</v>
      </c>
      <c r="B1047">
        <v>2013</v>
      </c>
      <c r="C1047" t="str">
        <f t="shared" si="16"/>
        <v>LAF2013</v>
      </c>
      <c r="D1047">
        <v>9.4283367951356759E-13</v>
      </c>
      <c r="E1047">
        <v>0.29193783436931831</v>
      </c>
      <c r="F1047">
        <v>1.0221660719087799</v>
      </c>
      <c r="G1047">
        <v>25.963922330577191</v>
      </c>
      <c r="H1047">
        <v>0.90398862280555425</v>
      </c>
      <c r="I1047">
        <v>0.39027654414902668</v>
      </c>
      <c r="J1047">
        <v>-0.19916352391239661</v>
      </c>
      <c r="K1047">
        <v>0.33414856470496218</v>
      </c>
      <c r="L1047">
        <v>0.24732103373072581</v>
      </c>
      <c r="M1047">
        <v>13</v>
      </c>
      <c r="N1047">
        <v>0</v>
      </c>
      <c r="O1047">
        <v>0</v>
      </c>
      <c r="P1047">
        <v>0.60089999999999999</v>
      </c>
      <c r="Q1047">
        <v>1.83E-2</v>
      </c>
      <c r="R1047">
        <v>0.1132</v>
      </c>
      <c r="S1047">
        <v>0.2303</v>
      </c>
      <c r="T1047">
        <v>0.54280000000000006</v>
      </c>
      <c r="U1047">
        <v>6</v>
      </c>
      <c r="V1047">
        <v>1</v>
      </c>
      <c r="W1047">
        <v>0.1666666666666666</v>
      </c>
      <c r="X1047">
        <v>0</v>
      </c>
      <c r="Y1047">
        <v>0.4244</v>
      </c>
      <c r="Z1047">
        <v>1</v>
      </c>
    </row>
    <row r="1048" spans="1:26" x14ac:dyDescent="0.2">
      <c r="A1048" t="s">
        <v>91</v>
      </c>
      <c r="B1048">
        <v>2014</v>
      </c>
      <c r="C1048" t="str">
        <f t="shared" si="16"/>
        <v>LAF2014</v>
      </c>
      <c r="D1048">
        <v>2.01830336872186E-13</v>
      </c>
      <c r="E1048">
        <v>9.1860706775928946E-2</v>
      </c>
      <c r="F1048">
        <v>1.208102041942563</v>
      </c>
      <c r="G1048">
        <v>26.204685529691961</v>
      </c>
      <c r="H1048">
        <v>1.4415212147402601</v>
      </c>
      <c r="I1048">
        <v>0.47227582687615371</v>
      </c>
      <c r="J1048">
        <v>0.27221973687586881</v>
      </c>
      <c r="K1048">
        <v>-5.0818002127907512E-2</v>
      </c>
      <c r="L1048">
        <v>0.22683730492295739</v>
      </c>
      <c r="M1048">
        <v>14</v>
      </c>
      <c r="N1048">
        <v>0</v>
      </c>
      <c r="O1048">
        <v>0</v>
      </c>
      <c r="P1048">
        <v>0.48970000000000002</v>
      </c>
      <c r="Q1048">
        <v>1.09E-2</v>
      </c>
      <c r="R1048">
        <v>0</v>
      </c>
      <c r="S1048">
        <v>0</v>
      </c>
      <c r="T1048">
        <v>0.42959999999999998</v>
      </c>
      <c r="U1048">
        <v>7</v>
      </c>
      <c r="V1048">
        <v>0</v>
      </c>
      <c r="W1048">
        <v>0.14285714285714279</v>
      </c>
      <c r="X1048">
        <v>0</v>
      </c>
      <c r="Y1048">
        <v>0.43730000000000002</v>
      </c>
      <c r="Z1048">
        <v>1</v>
      </c>
    </row>
    <row r="1049" spans="1:26" x14ac:dyDescent="0.2">
      <c r="A1049" t="s">
        <v>91</v>
      </c>
      <c r="B1049">
        <v>2015</v>
      </c>
      <c r="C1049" t="str">
        <f t="shared" si="16"/>
        <v>LAF2015</v>
      </c>
      <c r="D1049">
        <v>2.620117639659592E-13</v>
      </c>
      <c r="E1049">
        <v>0.1613642039412721</v>
      </c>
      <c r="F1049">
        <v>1.214229345751437</v>
      </c>
      <c r="G1049">
        <v>26.443889208609601</v>
      </c>
      <c r="H1049">
        <v>1.3426879928830959</v>
      </c>
      <c r="I1049">
        <v>0.50460826741046516</v>
      </c>
      <c r="J1049">
        <v>0.27023723078197032</v>
      </c>
      <c r="K1049">
        <v>-0.26683715031466981</v>
      </c>
      <c r="L1049">
        <v>0.16916961527917121</v>
      </c>
      <c r="M1049">
        <v>15</v>
      </c>
      <c r="N1049">
        <v>1</v>
      </c>
      <c r="O1049">
        <v>0</v>
      </c>
      <c r="P1049">
        <v>0.80519999999999992</v>
      </c>
      <c r="Q1049">
        <v>8.199999999999999E-3</v>
      </c>
      <c r="R1049">
        <v>0</v>
      </c>
      <c r="S1049">
        <v>0</v>
      </c>
      <c r="T1049">
        <v>0.80519999999999992</v>
      </c>
      <c r="U1049">
        <v>5</v>
      </c>
      <c r="V1049">
        <v>0</v>
      </c>
      <c r="W1049">
        <v>0.2</v>
      </c>
      <c r="X1049">
        <v>1</v>
      </c>
      <c r="Y1049">
        <v>0.44500000000000001</v>
      </c>
      <c r="Z1049">
        <v>1</v>
      </c>
    </row>
    <row r="1050" spans="1:26" x14ac:dyDescent="0.2">
      <c r="A1050" t="s">
        <v>91</v>
      </c>
      <c r="B1050">
        <v>2016</v>
      </c>
      <c r="C1050" t="str">
        <f t="shared" si="16"/>
        <v>LAF2016</v>
      </c>
      <c r="D1050">
        <v>2.0697728195117341E-13</v>
      </c>
      <c r="E1050">
        <v>0.14087011046001729</v>
      </c>
      <c r="F1050">
        <v>0.9683619624859553</v>
      </c>
      <c r="G1050">
        <v>26.56971796126474</v>
      </c>
      <c r="H1050">
        <v>1.545332566335623</v>
      </c>
      <c r="I1050">
        <v>0.49162320293895528</v>
      </c>
      <c r="J1050">
        <v>0.13408794210422509</v>
      </c>
      <c r="K1050">
        <v>0.29184376012182789</v>
      </c>
      <c r="L1050">
        <v>0.13133365085053009</v>
      </c>
      <c r="M1050">
        <v>16</v>
      </c>
      <c r="N1050">
        <v>1</v>
      </c>
      <c r="O1050">
        <v>0</v>
      </c>
      <c r="P1050">
        <v>0.80519999999999992</v>
      </c>
      <c r="Q1050">
        <v>6.0000000000000001E-3</v>
      </c>
      <c r="R1050">
        <v>0</v>
      </c>
      <c r="S1050">
        <v>0</v>
      </c>
      <c r="T1050">
        <v>0.80519999999999992</v>
      </c>
      <c r="U1050">
        <v>5</v>
      </c>
      <c r="V1050">
        <v>0</v>
      </c>
      <c r="W1050">
        <v>0.2</v>
      </c>
      <c r="X1050">
        <v>1</v>
      </c>
      <c r="Y1050">
        <v>0.43</v>
      </c>
      <c r="Z1050">
        <v>1</v>
      </c>
    </row>
    <row r="1051" spans="1:26" x14ac:dyDescent="0.2">
      <c r="A1051" t="s">
        <v>91</v>
      </c>
      <c r="B1051">
        <v>2017</v>
      </c>
      <c r="C1051" t="str">
        <f t="shared" si="16"/>
        <v>LAF2017</v>
      </c>
      <c r="D1051">
        <v>1.971378211744888E-14</v>
      </c>
      <c r="E1051">
        <v>2.2750013745813431E-2</v>
      </c>
      <c r="F1051">
        <v>1.021932174830116</v>
      </c>
      <c r="G1051">
        <v>26.845233622159661</v>
      </c>
      <c r="H1051">
        <v>1.6888281783688639</v>
      </c>
      <c r="I1051">
        <v>0.60506546119877846</v>
      </c>
      <c r="J1051">
        <v>0.31720973332050001</v>
      </c>
      <c r="K1051">
        <v>-0.19498653615796721</v>
      </c>
      <c r="L1051">
        <v>9.5222983730140903E-2</v>
      </c>
      <c r="M1051">
        <v>17</v>
      </c>
      <c r="N1051">
        <v>1</v>
      </c>
      <c r="O1051">
        <v>0</v>
      </c>
      <c r="P1051">
        <v>0.80519999999999992</v>
      </c>
      <c r="Q1051">
        <v>5.1999999999999998E-3</v>
      </c>
      <c r="R1051">
        <v>0</v>
      </c>
      <c r="S1051">
        <v>0</v>
      </c>
      <c r="T1051">
        <v>0.80519999999999992</v>
      </c>
      <c r="U1051">
        <v>5</v>
      </c>
      <c r="V1051">
        <v>0</v>
      </c>
      <c r="W1051">
        <v>0.2</v>
      </c>
      <c r="X1051">
        <v>1</v>
      </c>
      <c r="Y1051">
        <v>0.41</v>
      </c>
      <c r="Z1051">
        <v>1</v>
      </c>
    </row>
    <row r="1052" spans="1:26" x14ac:dyDescent="0.2">
      <c r="A1052" t="s">
        <v>91</v>
      </c>
      <c r="B1052">
        <v>2018</v>
      </c>
      <c r="C1052" t="str">
        <f t="shared" si="16"/>
        <v>LAF2018</v>
      </c>
      <c r="D1052">
        <v>-1.391736258583284E-12</v>
      </c>
      <c r="E1052">
        <v>-0.54585427957260368</v>
      </c>
      <c r="F1052">
        <v>0.83350189099337413</v>
      </c>
      <c r="G1052">
        <v>26.08784374788916</v>
      </c>
      <c r="H1052">
        <v>1.4501586933655659</v>
      </c>
      <c r="I1052">
        <v>0.45513764039548432</v>
      </c>
      <c r="J1052">
        <v>-0.5311113103805003</v>
      </c>
      <c r="K1052">
        <v>0.20329078483935789</v>
      </c>
      <c r="L1052">
        <v>0.25460663767789887</v>
      </c>
      <c r="M1052">
        <v>18</v>
      </c>
      <c r="N1052">
        <v>1</v>
      </c>
      <c r="O1052">
        <v>0</v>
      </c>
      <c r="P1052">
        <v>0.80519999999999992</v>
      </c>
      <c r="Q1052">
        <v>0</v>
      </c>
      <c r="R1052">
        <v>0</v>
      </c>
      <c r="S1052">
        <v>0</v>
      </c>
      <c r="T1052">
        <v>0.80519999999999992</v>
      </c>
      <c r="U1052">
        <v>4</v>
      </c>
      <c r="V1052">
        <v>0</v>
      </c>
      <c r="W1052">
        <v>0.25</v>
      </c>
      <c r="X1052">
        <v>1</v>
      </c>
      <c r="Y1052">
        <v>0.41899999999999998</v>
      </c>
      <c r="Z1052">
        <v>1</v>
      </c>
    </row>
    <row r="1053" spans="1:26" x14ac:dyDescent="0.2">
      <c r="A1053" t="s">
        <v>91</v>
      </c>
      <c r="B1053">
        <v>2019</v>
      </c>
      <c r="C1053" t="str">
        <f t="shared" si="16"/>
        <v>LAF2019</v>
      </c>
      <c r="D1053">
        <v>2.7903164107177892E-13</v>
      </c>
      <c r="E1053">
        <v>0.13306917697305459</v>
      </c>
      <c r="F1053">
        <v>1.0657961036364201</v>
      </c>
      <c r="G1053">
        <v>26.256991413533949</v>
      </c>
      <c r="H1053">
        <v>1.5435786728151799</v>
      </c>
      <c r="I1053">
        <v>0.46930809290899511</v>
      </c>
      <c r="J1053">
        <v>0.18429500569838811</v>
      </c>
      <c r="K1053">
        <v>2.8267938722325052E-3</v>
      </c>
      <c r="L1053">
        <v>0.23092537246550901</v>
      </c>
      <c r="M1053">
        <v>19</v>
      </c>
      <c r="N1053">
        <v>1</v>
      </c>
      <c r="O1053">
        <v>1</v>
      </c>
      <c r="P1053">
        <v>0.80519999999999992</v>
      </c>
      <c r="Q1053">
        <v>0</v>
      </c>
      <c r="R1053">
        <v>0</v>
      </c>
      <c r="S1053">
        <v>0</v>
      </c>
      <c r="T1053">
        <v>0.80519999999999992</v>
      </c>
      <c r="U1053">
        <v>4</v>
      </c>
      <c r="V1053">
        <v>0</v>
      </c>
      <c r="W1053">
        <v>0.25</v>
      </c>
      <c r="X1053">
        <v>1</v>
      </c>
      <c r="Y1053">
        <v>0.42780000000000001</v>
      </c>
      <c r="Z1053">
        <v>1</v>
      </c>
    </row>
    <row r="1054" spans="1:26" x14ac:dyDescent="0.2">
      <c r="A1054" t="s">
        <v>91</v>
      </c>
      <c r="B1054">
        <v>2020</v>
      </c>
      <c r="C1054" t="str">
        <f t="shared" si="16"/>
        <v>LAF2020</v>
      </c>
      <c r="D1054">
        <v>5.6304499650990906E-13</v>
      </c>
      <c r="E1054">
        <v>0.15295572789053399</v>
      </c>
      <c r="F1054">
        <v>1.0095017759103619</v>
      </c>
      <c r="G1054">
        <v>26.05861508935439</v>
      </c>
      <c r="H1054">
        <v>1.578700953620761</v>
      </c>
      <c r="I1054">
        <v>0.2360057363858804</v>
      </c>
      <c r="J1054">
        <v>-0.17993881379103441</v>
      </c>
      <c r="K1054">
        <v>0.40790902663817352</v>
      </c>
      <c r="L1054">
        <v>0.32709971302002772</v>
      </c>
      <c r="M1054">
        <v>20</v>
      </c>
      <c r="N1054">
        <v>1</v>
      </c>
      <c r="O1054">
        <v>1</v>
      </c>
      <c r="P1054">
        <v>0.80519999999999992</v>
      </c>
      <c r="Q1054">
        <v>0</v>
      </c>
      <c r="R1054">
        <v>0</v>
      </c>
      <c r="S1054">
        <v>0</v>
      </c>
      <c r="T1054">
        <v>0.80519999999999992</v>
      </c>
      <c r="U1054">
        <v>3</v>
      </c>
      <c r="V1054">
        <v>0</v>
      </c>
      <c r="W1054">
        <v>0.33333333333333331</v>
      </c>
      <c r="X1054">
        <v>1</v>
      </c>
      <c r="Y1054">
        <v>0.41860000000000003</v>
      </c>
      <c r="Z1054">
        <v>1</v>
      </c>
    </row>
    <row r="1055" spans="1:26" x14ac:dyDescent="0.2">
      <c r="A1055" t="s">
        <v>91</v>
      </c>
      <c r="B1055">
        <v>2021</v>
      </c>
      <c r="C1055" t="str">
        <f t="shared" si="16"/>
        <v>LAF2021</v>
      </c>
      <c r="D1055">
        <v>5.0639626511707941E-13</v>
      </c>
      <c r="E1055">
        <v>0.20172675775189561</v>
      </c>
      <c r="F1055">
        <v>1.5875812774295941</v>
      </c>
      <c r="G1055">
        <v>26.35716891900406</v>
      </c>
      <c r="H1055">
        <v>2.7587913866370339</v>
      </c>
      <c r="I1055">
        <v>0.29773664714155201</v>
      </c>
      <c r="J1055">
        <v>0.34790818902891169</v>
      </c>
      <c r="K1055">
        <v>1.1483744721980089E-2</v>
      </c>
      <c r="L1055">
        <v>0.27470334649679529</v>
      </c>
      <c r="M1055">
        <v>21</v>
      </c>
      <c r="N1055">
        <v>1</v>
      </c>
      <c r="O1055">
        <v>0</v>
      </c>
      <c r="P1055">
        <v>0.80519999999999992</v>
      </c>
      <c r="Q1055">
        <v>0.53679999999999994</v>
      </c>
      <c r="R1055">
        <v>0</v>
      </c>
      <c r="S1055">
        <v>0</v>
      </c>
      <c r="T1055">
        <v>0.80519999999999992</v>
      </c>
      <c r="U1055">
        <v>3</v>
      </c>
      <c r="V1055">
        <v>0</v>
      </c>
      <c r="W1055">
        <v>0.33333333333333331</v>
      </c>
      <c r="X1055">
        <v>1</v>
      </c>
      <c r="Y1055">
        <v>0.42859999999999998</v>
      </c>
      <c r="Z1055">
        <v>1</v>
      </c>
    </row>
    <row r="1056" spans="1:26" x14ac:dyDescent="0.2">
      <c r="A1056" t="s">
        <v>91</v>
      </c>
      <c r="B1056">
        <v>2022</v>
      </c>
      <c r="C1056" t="str">
        <f t="shared" si="16"/>
        <v>LAF2022</v>
      </c>
      <c r="D1056">
        <v>1.5799585328358539E-13</v>
      </c>
      <c r="E1056">
        <v>0.1376196223082827</v>
      </c>
      <c r="F1056">
        <v>1.094847918022503</v>
      </c>
      <c r="G1056">
        <v>26.72380376762791</v>
      </c>
      <c r="H1056">
        <v>2.35213822174856</v>
      </c>
      <c r="I1056">
        <v>0.53658953306214163</v>
      </c>
      <c r="J1056">
        <v>0.44287085344146909</v>
      </c>
      <c r="K1056">
        <v>-0.25185122287227563</v>
      </c>
      <c r="L1056">
        <v>0.20421526498984269</v>
      </c>
      <c r="M1056">
        <v>22</v>
      </c>
      <c r="N1056">
        <v>1</v>
      </c>
      <c r="O1056">
        <v>0</v>
      </c>
      <c r="P1056">
        <v>0.80519999999999992</v>
      </c>
      <c r="Q1056">
        <v>0</v>
      </c>
      <c r="R1056">
        <v>0</v>
      </c>
      <c r="S1056">
        <v>0</v>
      </c>
      <c r="T1056">
        <v>0.80519999999999992</v>
      </c>
      <c r="U1056">
        <v>3</v>
      </c>
      <c r="V1056">
        <v>0</v>
      </c>
      <c r="W1056">
        <v>0.33333333333333331</v>
      </c>
      <c r="X1056">
        <v>1</v>
      </c>
      <c r="Y1056">
        <v>0.43109999999999998</v>
      </c>
      <c r="Z1056">
        <v>1</v>
      </c>
    </row>
    <row r="1057" spans="1:26" x14ac:dyDescent="0.2">
      <c r="A1057" t="s">
        <v>91</v>
      </c>
      <c r="B1057">
        <v>2023</v>
      </c>
      <c r="C1057" t="str">
        <f t="shared" si="16"/>
        <v>LAF2023</v>
      </c>
      <c r="D1057">
        <v>-134785672240.59599</v>
      </c>
      <c r="E1057">
        <v>0.1187998488258353</v>
      </c>
      <c r="F1057">
        <v>0.80421070658010108</v>
      </c>
      <c r="G1057">
        <v>26.528810864394881</v>
      </c>
      <c r="H1057">
        <v>1.427736786945571</v>
      </c>
      <c r="I1057">
        <v>0.27472036765006258</v>
      </c>
      <c r="J1057">
        <v>-0.17715950245743989</v>
      </c>
      <c r="K1057">
        <v>0.30546001716336563</v>
      </c>
      <c r="L1057">
        <v>0.26235863380225272</v>
      </c>
      <c r="M1057">
        <v>23</v>
      </c>
      <c r="N1057">
        <v>0</v>
      </c>
      <c r="O1057">
        <v>0</v>
      </c>
      <c r="P1057">
        <v>0.80519999999999992</v>
      </c>
      <c r="Q1057">
        <v>0</v>
      </c>
      <c r="R1057">
        <v>0</v>
      </c>
      <c r="S1057">
        <v>0</v>
      </c>
      <c r="T1057">
        <v>0.80519999999999992</v>
      </c>
      <c r="U1057">
        <v>3</v>
      </c>
      <c r="V1057">
        <v>0</v>
      </c>
      <c r="W1057">
        <v>0.33333333333333331</v>
      </c>
      <c r="X1057">
        <v>1</v>
      </c>
      <c r="Y1057">
        <v>0.43109999999999998</v>
      </c>
      <c r="Z1057">
        <v>1</v>
      </c>
    </row>
    <row r="1058" spans="1:26" x14ac:dyDescent="0.2">
      <c r="A1058" t="s">
        <v>92</v>
      </c>
      <c r="B1058">
        <v>2012</v>
      </c>
      <c r="C1058" t="str">
        <f t="shared" si="16"/>
        <v>LAS2012</v>
      </c>
      <c r="D1058">
        <v>5.1804755940628523E-14</v>
      </c>
      <c r="E1058">
        <v>0.32803254887748717</v>
      </c>
      <c r="F1058">
        <v>1.2111113625515431</v>
      </c>
      <c r="G1058">
        <v>28.645571533712339</v>
      </c>
      <c r="H1058">
        <v>1.4732519161788009</v>
      </c>
      <c r="I1058">
        <v>0.56442159370736911</v>
      </c>
      <c r="J1058">
        <v>0.21878861303784941</v>
      </c>
      <c r="K1058">
        <v>1.750257255591136E-2</v>
      </c>
      <c r="L1058">
        <v>7.9095804144784537E-2</v>
      </c>
      <c r="M1058">
        <v>3</v>
      </c>
      <c r="N1058">
        <v>0</v>
      </c>
      <c r="O1058">
        <v>0</v>
      </c>
      <c r="P1058">
        <v>0.69819999999999993</v>
      </c>
      <c r="Q1058">
        <v>5.0000000000000001E-4</v>
      </c>
      <c r="R1058">
        <v>0</v>
      </c>
      <c r="S1058">
        <v>0.69819999999999993</v>
      </c>
      <c r="T1058">
        <v>0.69819999999999993</v>
      </c>
      <c r="U1058">
        <v>7</v>
      </c>
      <c r="V1058">
        <v>0</v>
      </c>
      <c r="W1058">
        <v>0</v>
      </c>
      <c r="X1058">
        <v>0</v>
      </c>
      <c r="Y1058">
        <v>0.51919999999999999</v>
      </c>
      <c r="Z1058">
        <v>1</v>
      </c>
    </row>
    <row r="1059" spans="1:26" x14ac:dyDescent="0.2">
      <c r="A1059" t="s">
        <v>92</v>
      </c>
      <c r="B1059">
        <v>2013</v>
      </c>
      <c r="C1059" t="str">
        <f t="shared" si="16"/>
        <v>LAS2013</v>
      </c>
      <c r="D1059">
        <v>5.7694770263466672E-14</v>
      </c>
      <c r="E1059">
        <v>0.3181176038457737</v>
      </c>
      <c r="F1059">
        <v>1.544081715708058</v>
      </c>
      <c r="G1059">
        <v>28.654515402025389</v>
      </c>
      <c r="H1059">
        <v>1.64778467069906</v>
      </c>
      <c r="I1059">
        <v>0.49528447184264229</v>
      </c>
      <c r="J1059">
        <v>8.983984211160978E-3</v>
      </c>
      <c r="K1059">
        <v>0.31695149340926188</v>
      </c>
      <c r="L1059">
        <v>6.1675009592687569E-2</v>
      </c>
      <c r="M1059">
        <v>4</v>
      </c>
      <c r="N1059">
        <v>0</v>
      </c>
      <c r="O1059">
        <v>0</v>
      </c>
      <c r="P1059">
        <v>0.69819999999999993</v>
      </c>
      <c r="Q1059">
        <v>5.0000000000000001E-4</v>
      </c>
      <c r="R1059">
        <v>0</v>
      </c>
      <c r="S1059">
        <v>0.69819999999999993</v>
      </c>
      <c r="T1059">
        <v>0.69819999999999993</v>
      </c>
      <c r="U1059">
        <v>7</v>
      </c>
      <c r="V1059">
        <v>0</v>
      </c>
      <c r="W1059">
        <v>0</v>
      </c>
      <c r="X1059">
        <v>0</v>
      </c>
      <c r="Y1059">
        <v>0.48580000000000001</v>
      </c>
      <c r="Z1059">
        <v>1</v>
      </c>
    </row>
    <row r="1060" spans="1:26" x14ac:dyDescent="0.2">
      <c r="A1060" t="s">
        <v>92</v>
      </c>
      <c r="B1060">
        <v>2014</v>
      </c>
      <c r="C1060" t="str">
        <f t="shared" si="16"/>
        <v>LAS2014</v>
      </c>
      <c r="D1060">
        <v>6.2465312957056712E-14</v>
      </c>
      <c r="E1060">
        <v>0.29326035271687079</v>
      </c>
      <c r="F1060">
        <v>1.46340251731342</v>
      </c>
      <c r="G1060">
        <v>28.605649546167751</v>
      </c>
      <c r="H1060">
        <v>1.8822974966810231</v>
      </c>
      <c r="I1060">
        <v>0.43550341785162439</v>
      </c>
      <c r="J1060">
        <v>-4.7691132213017573E-2</v>
      </c>
      <c r="K1060">
        <v>5.896914685336236E-2</v>
      </c>
      <c r="L1060">
        <v>7.7406892635778518E-2</v>
      </c>
      <c r="M1060">
        <v>5</v>
      </c>
      <c r="N1060">
        <v>0</v>
      </c>
      <c r="O1060">
        <v>0</v>
      </c>
      <c r="P1060">
        <v>0.69819999999999993</v>
      </c>
      <c r="Q1060">
        <v>5.0000000000000001E-4</v>
      </c>
      <c r="R1060">
        <v>0</v>
      </c>
      <c r="S1060">
        <v>0.69819999999999993</v>
      </c>
      <c r="T1060">
        <v>0.69819999999999993</v>
      </c>
      <c r="U1060">
        <v>7</v>
      </c>
      <c r="V1060">
        <v>0</v>
      </c>
      <c r="W1060">
        <v>0</v>
      </c>
      <c r="X1060">
        <v>0</v>
      </c>
      <c r="Y1060">
        <v>0.50270000000000004</v>
      </c>
      <c r="Z1060">
        <v>1</v>
      </c>
    </row>
    <row r="1061" spans="1:26" x14ac:dyDescent="0.2">
      <c r="A1061" t="s">
        <v>92</v>
      </c>
      <c r="B1061">
        <v>2015</v>
      </c>
      <c r="C1061" t="str">
        <f t="shared" si="16"/>
        <v>LAS2015</v>
      </c>
      <c r="D1061">
        <v>4.1965512693273882E-14</v>
      </c>
      <c r="E1061">
        <v>0.22935804646556021</v>
      </c>
      <c r="F1061">
        <v>1.398800413170401</v>
      </c>
      <c r="G1061">
        <v>28.624855776655661</v>
      </c>
      <c r="H1061">
        <v>2.102065275600002</v>
      </c>
      <c r="I1061">
        <v>0.50569447873221407</v>
      </c>
      <c r="J1061">
        <v>1.9391856620983638E-2</v>
      </c>
      <c r="K1061">
        <v>0.12053107232876061</v>
      </c>
      <c r="L1061">
        <v>7.9183941262665022E-2</v>
      </c>
      <c r="M1061">
        <v>6</v>
      </c>
      <c r="N1061">
        <v>0</v>
      </c>
      <c r="O1061">
        <v>0</v>
      </c>
      <c r="P1061">
        <v>0.69819999999999993</v>
      </c>
      <c r="Q1061">
        <v>1E-4</v>
      </c>
      <c r="R1061">
        <v>0</v>
      </c>
      <c r="S1061">
        <v>0.69819999999999993</v>
      </c>
      <c r="T1061">
        <v>0.69819999999999993</v>
      </c>
      <c r="U1061">
        <v>5</v>
      </c>
      <c r="V1061">
        <v>0</v>
      </c>
      <c r="W1061">
        <v>0</v>
      </c>
      <c r="X1061">
        <v>0</v>
      </c>
      <c r="Y1061">
        <v>0.50439999999999996</v>
      </c>
      <c r="Z1061">
        <v>1</v>
      </c>
    </row>
    <row r="1062" spans="1:26" x14ac:dyDescent="0.2">
      <c r="A1062" t="s">
        <v>92</v>
      </c>
      <c r="B1062">
        <v>2016</v>
      </c>
      <c r="C1062" t="str">
        <f t="shared" si="16"/>
        <v>LAS2016</v>
      </c>
      <c r="D1062">
        <v>2.067291903992746E-14</v>
      </c>
      <c r="E1062">
        <v>0.12059391296272901</v>
      </c>
      <c r="F1062">
        <v>1.067584894275293</v>
      </c>
      <c r="G1062">
        <v>28.637146832401129</v>
      </c>
      <c r="H1062">
        <v>1.8094001429577471</v>
      </c>
      <c r="I1062">
        <v>0.53115286826153663</v>
      </c>
      <c r="J1062">
        <v>1.974571732147035E-2</v>
      </c>
      <c r="K1062">
        <v>2.0093888559874541E-3</v>
      </c>
      <c r="L1062">
        <v>7.8413087290272937E-2</v>
      </c>
      <c r="M1062">
        <v>7</v>
      </c>
      <c r="N1062">
        <v>0</v>
      </c>
      <c r="O1062">
        <v>0</v>
      </c>
      <c r="P1062">
        <v>0.69819999999999993</v>
      </c>
      <c r="Q1062">
        <v>0.44829999999999998</v>
      </c>
      <c r="R1062">
        <v>0</v>
      </c>
      <c r="S1062">
        <v>0.69819999999999993</v>
      </c>
      <c r="T1062">
        <v>0.69819999999999993</v>
      </c>
      <c r="U1062">
        <v>5</v>
      </c>
      <c r="V1062">
        <v>0</v>
      </c>
      <c r="W1062">
        <v>0</v>
      </c>
      <c r="X1062">
        <v>0</v>
      </c>
      <c r="Y1062">
        <v>0.52</v>
      </c>
      <c r="Z1062">
        <v>1</v>
      </c>
    </row>
    <row r="1063" spans="1:26" x14ac:dyDescent="0.2">
      <c r="A1063" t="s">
        <v>92</v>
      </c>
      <c r="B1063">
        <v>2017</v>
      </c>
      <c r="C1063" t="str">
        <f t="shared" si="16"/>
        <v>LAS2017</v>
      </c>
      <c r="D1063">
        <v>1.9242644402268949E-14</v>
      </c>
      <c r="E1063">
        <v>0.1154351657118243</v>
      </c>
      <c r="F1063">
        <v>1.110160137137399</v>
      </c>
      <c r="G1063">
        <v>28.663977651543782</v>
      </c>
      <c r="H1063">
        <v>1.7358246225456271</v>
      </c>
      <c r="I1063">
        <v>0.53168944410829289</v>
      </c>
      <c r="J1063">
        <v>1.9761295017156622E-2</v>
      </c>
      <c r="K1063">
        <v>4.7253821248831492E-2</v>
      </c>
      <c r="L1063">
        <v>0.1093620086308216</v>
      </c>
      <c r="M1063">
        <v>8</v>
      </c>
      <c r="N1063">
        <v>0</v>
      </c>
      <c r="O1063">
        <v>0</v>
      </c>
      <c r="P1063">
        <v>0.69819999999999993</v>
      </c>
      <c r="Q1063">
        <v>1E-4</v>
      </c>
      <c r="R1063">
        <v>0</v>
      </c>
      <c r="S1063">
        <v>0.69819999999999993</v>
      </c>
      <c r="T1063">
        <v>0.69819999999999993</v>
      </c>
      <c r="U1063">
        <v>5</v>
      </c>
      <c r="V1063">
        <v>0</v>
      </c>
      <c r="W1063">
        <v>0</v>
      </c>
      <c r="X1063">
        <v>0</v>
      </c>
      <c r="Y1063">
        <v>0.53</v>
      </c>
      <c r="Z1063">
        <v>1</v>
      </c>
    </row>
    <row r="1064" spans="1:26" x14ac:dyDescent="0.2">
      <c r="A1064" t="s">
        <v>92</v>
      </c>
      <c r="B1064">
        <v>2018</v>
      </c>
      <c r="C1064" t="str">
        <f t="shared" si="16"/>
        <v>LAS2018</v>
      </c>
      <c r="D1064">
        <v>1.373704145018425E-14</v>
      </c>
      <c r="E1064">
        <v>9.6545297069755329E-2</v>
      </c>
      <c r="F1064">
        <v>1.009026239606184</v>
      </c>
      <c r="G1064">
        <v>28.72583118821861</v>
      </c>
      <c r="H1064">
        <v>1.7212667900264209</v>
      </c>
      <c r="I1064">
        <v>0.57476200810439493</v>
      </c>
      <c r="J1064">
        <v>6.3806524676407905E-2</v>
      </c>
      <c r="K1064">
        <v>-9.3240189060982658E-3</v>
      </c>
      <c r="L1064">
        <v>0.11147541011511029</v>
      </c>
      <c r="M1064">
        <v>9</v>
      </c>
      <c r="N1064">
        <v>0</v>
      </c>
      <c r="O1064">
        <v>0</v>
      </c>
      <c r="P1064">
        <v>0.69819999999999993</v>
      </c>
      <c r="Q1064">
        <v>1E-4</v>
      </c>
      <c r="R1064">
        <v>0</v>
      </c>
      <c r="S1064">
        <v>0.69819999999999993</v>
      </c>
      <c r="T1064">
        <v>0.69819999999999993</v>
      </c>
      <c r="U1064">
        <v>5</v>
      </c>
      <c r="V1064">
        <v>0</v>
      </c>
      <c r="W1064">
        <v>0</v>
      </c>
      <c r="X1064">
        <v>0</v>
      </c>
      <c r="Y1064">
        <v>0.55110000000000003</v>
      </c>
      <c r="Z1064">
        <v>1</v>
      </c>
    </row>
    <row r="1065" spans="1:26" x14ac:dyDescent="0.2">
      <c r="A1065" t="s">
        <v>92</v>
      </c>
      <c r="B1065">
        <v>2019</v>
      </c>
      <c r="C1065" t="str">
        <f t="shared" si="16"/>
        <v>LAS2019</v>
      </c>
      <c r="D1065">
        <v>3.017575988807804E-16</v>
      </c>
      <c r="E1065">
        <v>1.946588852279647E-3</v>
      </c>
      <c r="F1065">
        <v>0.83730785155469689</v>
      </c>
      <c r="G1065">
        <v>28.670109182320491</v>
      </c>
      <c r="H1065">
        <v>1.581345698869691</v>
      </c>
      <c r="I1065">
        <v>0.5618183394406252</v>
      </c>
      <c r="J1065">
        <v>-5.4197973267367423E-2</v>
      </c>
      <c r="K1065">
        <v>1.5961436959647201E-2</v>
      </c>
      <c r="L1065">
        <v>0.1231061284914271</v>
      </c>
      <c r="M1065">
        <v>10</v>
      </c>
      <c r="N1065">
        <v>0</v>
      </c>
      <c r="O1065">
        <v>1</v>
      </c>
      <c r="P1065">
        <v>0.69819999999999993</v>
      </c>
      <c r="Q1065">
        <v>1E-4</v>
      </c>
      <c r="R1065">
        <v>0</v>
      </c>
      <c r="S1065">
        <v>0.69819999999999993</v>
      </c>
      <c r="T1065">
        <v>0.69819999999999993</v>
      </c>
      <c r="U1065">
        <v>5</v>
      </c>
      <c r="V1065">
        <v>0</v>
      </c>
      <c r="W1065">
        <v>0</v>
      </c>
      <c r="X1065">
        <v>0</v>
      </c>
      <c r="Y1065">
        <v>0.56110000000000004</v>
      </c>
      <c r="Z1065">
        <v>1</v>
      </c>
    </row>
    <row r="1066" spans="1:26" x14ac:dyDescent="0.2">
      <c r="A1066" t="s">
        <v>92</v>
      </c>
      <c r="B1066">
        <v>2020</v>
      </c>
      <c r="C1066" t="str">
        <f t="shared" si="16"/>
        <v>LAS2020</v>
      </c>
      <c r="D1066">
        <v>6.3603514531922951E-15</v>
      </c>
      <c r="E1066">
        <v>1.582243857239219E-2</v>
      </c>
      <c r="F1066">
        <v>0.80559532064376205</v>
      </c>
      <c r="G1066">
        <v>28.201476399273911</v>
      </c>
      <c r="H1066">
        <v>1.589155583494118</v>
      </c>
      <c r="I1066">
        <v>0.28886299635563312</v>
      </c>
      <c r="J1066">
        <v>-0.37414263360106059</v>
      </c>
      <c r="K1066">
        <v>0.52992612516900417</v>
      </c>
      <c r="L1066">
        <v>0.1805946578428399</v>
      </c>
      <c r="M1066">
        <v>11</v>
      </c>
      <c r="N1066">
        <v>0</v>
      </c>
      <c r="O1066">
        <v>1</v>
      </c>
      <c r="P1066">
        <v>0.69819999999999993</v>
      </c>
      <c r="Q1066">
        <v>1E-4</v>
      </c>
      <c r="R1066">
        <v>0</v>
      </c>
      <c r="S1066">
        <v>0.69819999999999993</v>
      </c>
      <c r="T1066">
        <v>0.69819999999999993</v>
      </c>
      <c r="U1066">
        <v>5</v>
      </c>
      <c r="V1066">
        <v>0</v>
      </c>
      <c r="W1066">
        <v>0.2</v>
      </c>
      <c r="X1066">
        <v>0</v>
      </c>
      <c r="Y1066">
        <v>0.52560000000000007</v>
      </c>
      <c r="Z1066">
        <v>1</v>
      </c>
    </row>
    <row r="1067" spans="1:26" x14ac:dyDescent="0.2">
      <c r="A1067" t="s">
        <v>92</v>
      </c>
      <c r="B1067">
        <v>2021</v>
      </c>
      <c r="C1067" t="str">
        <f t="shared" si="16"/>
        <v>LAS2021</v>
      </c>
      <c r="D1067">
        <v>1.272415573821644E-14</v>
      </c>
      <c r="E1067">
        <v>5.0300721208771597E-2</v>
      </c>
      <c r="F1067">
        <v>1.456971630534563</v>
      </c>
      <c r="G1067">
        <v>28.46179827543164</v>
      </c>
      <c r="H1067">
        <v>2.819635664749363</v>
      </c>
      <c r="I1067">
        <v>0.41942717999094709</v>
      </c>
      <c r="J1067">
        <v>0.29734760472986221</v>
      </c>
      <c r="K1067">
        <v>-1.9141285236449059E-2</v>
      </c>
      <c r="L1067">
        <v>0.14125998000495171</v>
      </c>
      <c r="M1067">
        <v>12</v>
      </c>
      <c r="N1067">
        <v>0</v>
      </c>
      <c r="O1067">
        <v>0</v>
      </c>
      <c r="P1067">
        <v>0.69819999999999993</v>
      </c>
      <c r="Q1067">
        <v>1E-4</v>
      </c>
      <c r="R1067">
        <v>0</v>
      </c>
      <c r="S1067">
        <v>0.69819999999999993</v>
      </c>
      <c r="T1067">
        <v>0.69819999999999993</v>
      </c>
      <c r="U1067">
        <v>5</v>
      </c>
      <c r="V1067">
        <v>0</v>
      </c>
      <c r="W1067">
        <v>0.2</v>
      </c>
      <c r="X1067">
        <v>0</v>
      </c>
      <c r="Y1067">
        <v>0.53200000000000003</v>
      </c>
      <c r="Z1067">
        <v>1</v>
      </c>
    </row>
    <row r="1068" spans="1:26" x14ac:dyDescent="0.2">
      <c r="A1068" t="s">
        <v>92</v>
      </c>
      <c r="B1068">
        <v>2022</v>
      </c>
      <c r="C1068" t="str">
        <f t="shared" si="16"/>
        <v>LAS2022</v>
      </c>
      <c r="D1068">
        <v>1.8026665095102389E-14</v>
      </c>
      <c r="E1068">
        <v>6.9663772822008432E-2</v>
      </c>
      <c r="F1068">
        <v>0.78126183147548078</v>
      </c>
      <c r="G1068">
        <v>28.455184318579199</v>
      </c>
      <c r="H1068">
        <v>2.0365767958105558</v>
      </c>
      <c r="I1068">
        <v>0.41001912948068009</v>
      </c>
      <c r="J1068">
        <v>-6.5921327808154961E-3</v>
      </c>
      <c r="K1068">
        <v>-5.6060032724264117E-2</v>
      </c>
      <c r="L1068">
        <v>0.13916434203575759</v>
      </c>
      <c r="M1068">
        <v>13</v>
      </c>
      <c r="N1068">
        <v>0</v>
      </c>
      <c r="O1068">
        <v>0</v>
      </c>
      <c r="P1068">
        <v>0.69819999999999993</v>
      </c>
      <c r="Q1068">
        <v>1E-4</v>
      </c>
      <c r="R1068">
        <v>0</v>
      </c>
      <c r="S1068">
        <v>0.69819999999999993</v>
      </c>
      <c r="T1068">
        <v>0.69819999999999993</v>
      </c>
      <c r="U1068">
        <v>5</v>
      </c>
      <c r="V1068">
        <v>0</v>
      </c>
      <c r="W1068">
        <v>0.2</v>
      </c>
      <c r="X1068">
        <v>0</v>
      </c>
      <c r="Y1068">
        <v>0.53900000000000003</v>
      </c>
      <c r="Z1068">
        <v>1</v>
      </c>
    </row>
    <row r="1069" spans="1:26" x14ac:dyDescent="0.2">
      <c r="A1069" t="s">
        <v>92</v>
      </c>
      <c r="B1069">
        <v>2023</v>
      </c>
      <c r="C1069" t="str">
        <f t="shared" si="16"/>
        <v>LAS2023</v>
      </c>
      <c r="D1069">
        <v>4206074896775.1528</v>
      </c>
      <c r="E1069">
        <v>7.575278150617798E-2</v>
      </c>
      <c r="F1069">
        <v>0.83866089759186679</v>
      </c>
      <c r="G1069">
        <v>28.489890209251111</v>
      </c>
      <c r="H1069">
        <v>2.0843925927608979</v>
      </c>
      <c r="I1069">
        <v>0.16931266590085189</v>
      </c>
      <c r="J1069">
        <v>3.5315168169232081E-2</v>
      </c>
      <c r="K1069">
        <v>0.35749737152407363</v>
      </c>
      <c r="L1069">
        <v>0.12576896385180381</v>
      </c>
      <c r="M1069">
        <v>14</v>
      </c>
      <c r="N1069">
        <v>0</v>
      </c>
      <c r="O1069">
        <v>0</v>
      </c>
      <c r="P1069">
        <v>0.69819999999999993</v>
      </c>
      <c r="Q1069">
        <v>1E-4</v>
      </c>
      <c r="R1069">
        <v>0</v>
      </c>
      <c r="S1069">
        <v>0.69819999999999993</v>
      </c>
      <c r="T1069">
        <v>0.69819999999999993</v>
      </c>
      <c r="U1069">
        <v>5</v>
      </c>
      <c r="V1069">
        <v>0</v>
      </c>
      <c r="W1069">
        <v>0.2</v>
      </c>
      <c r="X1069">
        <v>0</v>
      </c>
      <c r="Y1069">
        <v>0.53900000000000003</v>
      </c>
      <c r="Z1069">
        <v>1</v>
      </c>
    </row>
    <row r="1070" spans="1:26" x14ac:dyDescent="0.2">
      <c r="A1070" t="s">
        <v>93</v>
      </c>
      <c r="B1070">
        <v>2012</v>
      </c>
      <c r="C1070" t="str">
        <f t="shared" si="16"/>
        <v>LBM2012</v>
      </c>
      <c r="D1070">
        <v>5.839316201259428E-13</v>
      </c>
      <c r="E1070">
        <v>0.11860172297910219</v>
      </c>
      <c r="F1070">
        <v>0.66716392534633151</v>
      </c>
      <c r="G1070">
        <v>25.779597189966619</v>
      </c>
      <c r="H1070">
        <v>2.3081757660794229</v>
      </c>
      <c r="I1070">
        <v>0.168404047147165</v>
      </c>
      <c r="J1070">
        <v>-0.20236742437076369</v>
      </c>
      <c r="K1070">
        <v>0.20810667288499909</v>
      </c>
      <c r="L1070">
        <v>0.44663883636380691</v>
      </c>
      <c r="M1070">
        <v>18</v>
      </c>
      <c r="N1070">
        <v>0</v>
      </c>
      <c r="O1070">
        <v>0</v>
      </c>
      <c r="P1070">
        <v>0.4168</v>
      </c>
      <c r="Q1070">
        <v>2.7400000000000001E-2</v>
      </c>
      <c r="R1070">
        <v>0</v>
      </c>
      <c r="S1070">
        <v>0</v>
      </c>
      <c r="T1070">
        <v>0.4168</v>
      </c>
      <c r="U1070">
        <v>5</v>
      </c>
      <c r="V1070">
        <v>0</v>
      </c>
      <c r="W1070">
        <v>0</v>
      </c>
      <c r="X1070">
        <v>0</v>
      </c>
      <c r="Y1070">
        <v>0.45639999999999997</v>
      </c>
      <c r="Z1070">
        <v>1</v>
      </c>
    </row>
    <row r="1071" spans="1:26" x14ac:dyDescent="0.2">
      <c r="A1071" t="s">
        <v>93</v>
      </c>
      <c r="B1071">
        <v>2013</v>
      </c>
      <c r="C1071" t="str">
        <f t="shared" si="16"/>
        <v>LBM2013</v>
      </c>
      <c r="D1071">
        <v>7.4574782644200197E-13</v>
      </c>
      <c r="E1071">
        <v>0.14547156001579281</v>
      </c>
      <c r="F1071">
        <v>0.86226961475651343</v>
      </c>
      <c r="G1071">
        <v>25.797728890129971</v>
      </c>
      <c r="H1071">
        <v>3.0587764453893498</v>
      </c>
      <c r="I1071">
        <v>0.12757260553806651</v>
      </c>
      <c r="J1071">
        <v>1.8297077450475822E-2</v>
      </c>
      <c r="K1071">
        <v>0.19649687922184181</v>
      </c>
      <c r="L1071">
        <v>0.48512592017157419</v>
      </c>
      <c r="M1071">
        <v>19</v>
      </c>
      <c r="N1071">
        <v>0</v>
      </c>
      <c r="O1071">
        <v>0</v>
      </c>
      <c r="P1071">
        <v>0.55159999999999998</v>
      </c>
      <c r="Q1071">
        <v>2.76E-2</v>
      </c>
      <c r="R1071">
        <v>0</v>
      </c>
      <c r="S1071">
        <v>0</v>
      </c>
      <c r="T1071">
        <v>0.55159999999999998</v>
      </c>
      <c r="U1071">
        <v>7</v>
      </c>
      <c r="V1071">
        <v>0</v>
      </c>
      <c r="W1071">
        <v>0</v>
      </c>
      <c r="X1071">
        <v>0</v>
      </c>
      <c r="Y1071">
        <v>0.4733</v>
      </c>
      <c r="Z1071">
        <v>1</v>
      </c>
    </row>
    <row r="1072" spans="1:26" x14ac:dyDescent="0.2">
      <c r="A1072" t="s">
        <v>93</v>
      </c>
      <c r="B1072">
        <v>2014</v>
      </c>
      <c r="C1072" t="str">
        <f t="shared" si="16"/>
        <v>LBM2014</v>
      </c>
      <c r="D1072">
        <v>4.2219375021405422E-13</v>
      </c>
      <c r="E1072">
        <v>8.6112607314058884E-2</v>
      </c>
      <c r="F1072">
        <v>0.78891930099408825</v>
      </c>
      <c r="G1072">
        <v>25.827541495784509</v>
      </c>
      <c r="H1072">
        <v>3.7729437735745162</v>
      </c>
      <c r="I1072">
        <v>0.14513307287075569</v>
      </c>
      <c r="J1072">
        <v>3.0261450692518291E-2</v>
      </c>
      <c r="K1072">
        <v>0.16523522191419371</v>
      </c>
      <c r="L1072">
        <v>0.43611060177816402</v>
      </c>
      <c r="M1072">
        <v>20</v>
      </c>
      <c r="N1072">
        <v>0</v>
      </c>
      <c r="O1072">
        <v>0</v>
      </c>
      <c r="P1072">
        <v>0.61159999999999992</v>
      </c>
      <c r="Q1072">
        <v>2.76E-2</v>
      </c>
      <c r="R1072">
        <v>0</v>
      </c>
      <c r="S1072">
        <v>0</v>
      </c>
      <c r="T1072">
        <v>0.55159999999999998</v>
      </c>
      <c r="U1072">
        <v>7</v>
      </c>
      <c r="V1072">
        <v>0</v>
      </c>
      <c r="W1072">
        <v>0</v>
      </c>
      <c r="X1072">
        <v>0</v>
      </c>
      <c r="Y1072">
        <v>0.46750000000000003</v>
      </c>
      <c r="Z1072">
        <v>1</v>
      </c>
    </row>
    <row r="1073" spans="1:26" x14ac:dyDescent="0.2">
      <c r="A1073" t="s">
        <v>93</v>
      </c>
      <c r="B1073">
        <v>2015</v>
      </c>
      <c r="C1073" t="str">
        <f t="shared" si="16"/>
        <v>LBM2015</v>
      </c>
      <c r="D1073">
        <v>9.4140701170737318E-13</v>
      </c>
      <c r="E1073">
        <v>0.21526194043551419</v>
      </c>
      <c r="F1073">
        <v>1.2130471133142109</v>
      </c>
      <c r="G1073">
        <v>25.951273694196999</v>
      </c>
      <c r="H1073">
        <v>3.7213912509354521</v>
      </c>
      <c r="I1073">
        <v>0.18472309181005431</v>
      </c>
      <c r="J1073">
        <v>0.13171275594099191</v>
      </c>
      <c r="K1073">
        <v>0.23568525681328781</v>
      </c>
      <c r="L1073">
        <v>0.4742344886273242</v>
      </c>
      <c r="M1073">
        <v>21</v>
      </c>
      <c r="N1073">
        <v>0</v>
      </c>
      <c r="O1073">
        <v>0</v>
      </c>
      <c r="P1073">
        <v>0.63179999999999992</v>
      </c>
      <c r="Q1073">
        <v>3.3399999999999999E-2</v>
      </c>
      <c r="R1073">
        <v>0</v>
      </c>
      <c r="S1073">
        <v>0</v>
      </c>
      <c r="T1073">
        <v>0.55159999999999998</v>
      </c>
      <c r="U1073">
        <v>7</v>
      </c>
      <c r="V1073">
        <v>0</v>
      </c>
      <c r="W1073">
        <v>0</v>
      </c>
      <c r="X1073">
        <v>0</v>
      </c>
      <c r="Y1073">
        <v>0.46689999999999998</v>
      </c>
      <c r="Z1073">
        <v>1</v>
      </c>
    </row>
    <row r="1074" spans="1:26" x14ac:dyDescent="0.2">
      <c r="A1074" t="s">
        <v>93</v>
      </c>
      <c r="B1074">
        <v>2016</v>
      </c>
      <c r="C1074" t="str">
        <f t="shared" si="16"/>
        <v>LBM2016</v>
      </c>
      <c r="D1074">
        <v>8.1392022486997831E-13</v>
      </c>
      <c r="E1074">
        <v>0.26874120522539718</v>
      </c>
      <c r="F1074">
        <v>1.3760149463310529</v>
      </c>
      <c r="G1074">
        <v>26.245968099892941</v>
      </c>
      <c r="H1074">
        <v>2.7198639575239372</v>
      </c>
      <c r="I1074">
        <v>0.24189964894261709</v>
      </c>
      <c r="J1074">
        <v>0.34271596963090523</v>
      </c>
      <c r="K1074">
        <v>0.22890303643329721</v>
      </c>
      <c r="L1074">
        <v>0.40575893648878142</v>
      </c>
      <c r="M1074">
        <v>22</v>
      </c>
      <c r="N1074">
        <v>0</v>
      </c>
      <c r="O1074">
        <v>0</v>
      </c>
      <c r="P1074">
        <v>0.64249999999999996</v>
      </c>
      <c r="Q1074">
        <v>8.5800000000000001E-2</v>
      </c>
      <c r="R1074">
        <v>0</v>
      </c>
      <c r="S1074">
        <v>0</v>
      </c>
      <c r="T1074">
        <v>0.56159999999999999</v>
      </c>
      <c r="U1074">
        <v>7</v>
      </c>
      <c r="V1074">
        <v>0</v>
      </c>
      <c r="W1074">
        <v>0</v>
      </c>
      <c r="X1074">
        <v>0</v>
      </c>
      <c r="Y1074">
        <v>0.43859999999999999</v>
      </c>
      <c r="Z1074">
        <v>1</v>
      </c>
    </row>
    <row r="1075" spans="1:26" x14ac:dyDescent="0.2">
      <c r="A1075" t="s">
        <v>93</v>
      </c>
      <c r="B1075">
        <v>2017</v>
      </c>
      <c r="C1075" t="str">
        <f t="shared" si="16"/>
        <v>LBM2017</v>
      </c>
      <c r="D1075">
        <v>3.9747644826117559E-13</v>
      </c>
      <c r="E1075">
        <v>0.21014269754909071</v>
      </c>
      <c r="F1075">
        <v>1.1624524986920191</v>
      </c>
      <c r="G1075">
        <v>26.580406128754451</v>
      </c>
      <c r="H1075">
        <v>2.3347983332195938</v>
      </c>
      <c r="I1075">
        <v>0.33851377305228969</v>
      </c>
      <c r="J1075">
        <v>0.39715500377416779</v>
      </c>
      <c r="K1075">
        <v>0.18048621600659609</v>
      </c>
      <c r="L1075">
        <v>0.38061809442377309</v>
      </c>
      <c r="M1075">
        <v>23</v>
      </c>
      <c r="N1075">
        <v>0</v>
      </c>
      <c r="O1075">
        <v>0</v>
      </c>
      <c r="P1075">
        <v>0.67090000000000005</v>
      </c>
      <c r="Q1075">
        <v>8.3499999999999991E-2</v>
      </c>
      <c r="R1075">
        <v>0</v>
      </c>
      <c r="S1075">
        <v>0</v>
      </c>
      <c r="T1075">
        <v>0.59</v>
      </c>
      <c r="U1075">
        <v>7</v>
      </c>
      <c r="V1075">
        <v>0</v>
      </c>
      <c r="W1075">
        <v>0</v>
      </c>
      <c r="X1075">
        <v>0</v>
      </c>
      <c r="Y1075">
        <v>0.44669999999999999</v>
      </c>
      <c r="Z1075">
        <v>1</v>
      </c>
    </row>
    <row r="1076" spans="1:26" x14ac:dyDescent="0.2">
      <c r="A1076" t="s">
        <v>93</v>
      </c>
      <c r="B1076">
        <v>2018</v>
      </c>
      <c r="C1076" t="str">
        <f t="shared" si="16"/>
        <v>LBM2018</v>
      </c>
      <c r="D1076">
        <v>4.7346669230486146E-13</v>
      </c>
      <c r="E1076">
        <v>0.2115366810667014</v>
      </c>
      <c r="F1076">
        <v>1.036019233344661</v>
      </c>
      <c r="G1076">
        <v>26.5557192998142</v>
      </c>
      <c r="H1076">
        <v>1.612701746685367</v>
      </c>
      <c r="I1076">
        <v>0.23632934755942339</v>
      </c>
      <c r="J1076">
        <v>-2.4384601300647679E-2</v>
      </c>
      <c r="K1076">
        <v>0.31499252900361818</v>
      </c>
      <c r="L1076">
        <v>0.49435121056812609</v>
      </c>
      <c r="M1076">
        <v>24</v>
      </c>
      <c r="N1076">
        <v>0</v>
      </c>
      <c r="O1076">
        <v>0</v>
      </c>
      <c r="P1076">
        <v>0.64879999999999993</v>
      </c>
      <c r="Q1076">
        <v>6.4699999999999994E-2</v>
      </c>
      <c r="R1076">
        <v>0</v>
      </c>
      <c r="S1076">
        <v>0</v>
      </c>
      <c r="T1076">
        <v>0.59</v>
      </c>
      <c r="U1076">
        <v>7</v>
      </c>
      <c r="V1076">
        <v>0</v>
      </c>
      <c r="W1076">
        <v>0</v>
      </c>
      <c r="X1076">
        <v>0</v>
      </c>
      <c r="Y1076">
        <v>0.4587</v>
      </c>
      <c r="Z1076">
        <v>1</v>
      </c>
    </row>
    <row r="1077" spans="1:26" x14ac:dyDescent="0.2">
      <c r="A1077" t="s">
        <v>93</v>
      </c>
      <c r="B1077">
        <v>2019</v>
      </c>
      <c r="C1077" t="str">
        <f t="shared" si="16"/>
        <v>LBM2019</v>
      </c>
      <c r="D1077">
        <v>3.8374793488275109E-13</v>
      </c>
      <c r="E1077">
        <v>0.18023627781614601</v>
      </c>
      <c r="F1077">
        <v>0.90034035379393773</v>
      </c>
      <c r="G1077">
        <v>26.713484365805979</v>
      </c>
      <c r="H1077">
        <v>1.8126883768464459</v>
      </c>
      <c r="I1077">
        <v>0.14940525765518059</v>
      </c>
      <c r="J1077">
        <v>0.17089108025739089</v>
      </c>
      <c r="K1077">
        <v>0.19807533828283591</v>
      </c>
      <c r="L1077">
        <v>0.53892828986031138</v>
      </c>
      <c r="M1077">
        <v>25</v>
      </c>
      <c r="N1077">
        <v>0</v>
      </c>
      <c r="O1077">
        <v>1</v>
      </c>
      <c r="P1077">
        <v>0.69900000000000007</v>
      </c>
      <c r="Q1077">
        <v>6.2100000000000002E-2</v>
      </c>
      <c r="R1077">
        <v>0</v>
      </c>
      <c r="S1077">
        <v>0</v>
      </c>
      <c r="T1077">
        <v>0.64900000000000002</v>
      </c>
      <c r="U1077">
        <v>6</v>
      </c>
      <c r="V1077">
        <v>0</v>
      </c>
      <c r="W1077">
        <v>0</v>
      </c>
      <c r="X1077">
        <v>0</v>
      </c>
      <c r="Y1077">
        <v>0.46</v>
      </c>
      <c r="Z1077">
        <v>1</v>
      </c>
    </row>
    <row r="1078" spans="1:26" x14ac:dyDescent="0.2">
      <c r="A1078" t="s">
        <v>93</v>
      </c>
      <c r="B1078">
        <v>2020</v>
      </c>
      <c r="C1078" t="str">
        <f t="shared" si="16"/>
        <v>LBM2020</v>
      </c>
      <c r="D1078">
        <v>3.363139033158855E-13</v>
      </c>
      <c r="E1078">
        <v>0.1807423915307316</v>
      </c>
      <c r="F1078">
        <v>1.026003195540854</v>
      </c>
      <c r="G1078">
        <v>26.834468970033019</v>
      </c>
      <c r="H1078">
        <v>2.5873096931962292</v>
      </c>
      <c r="I1078">
        <v>0.1610296830897506</v>
      </c>
      <c r="J1078">
        <v>0.128607536448198</v>
      </c>
      <c r="K1078">
        <v>0.2426158913387938</v>
      </c>
      <c r="L1078">
        <v>0.49284501961851329</v>
      </c>
      <c r="M1078">
        <v>26</v>
      </c>
      <c r="N1078">
        <v>0</v>
      </c>
      <c r="O1078">
        <v>1</v>
      </c>
      <c r="P1078">
        <v>0.69900000000000007</v>
      </c>
      <c r="Q1078">
        <v>7.2099999999999997E-2</v>
      </c>
      <c r="R1078">
        <v>0</v>
      </c>
      <c r="S1078">
        <v>0</v>
      </c>
      <c r="T1078">
        <v>0.64900000000000002</v>
      </c>
      <c r="U1078">
        <v>6</v>
      </c>
      <c r="V1078">
        <v>0</v>
      </c>
      <c r="W1078">
        <v>0</v>
      </c>
      <c r="X1078">
        <v>0</v>
      </c>
      <c r="Y1078">
        <v>0.4793</v>
      </c>
      <c r="Z1078">
        <v>1</v>
      </c>
    </row>
    <row r="1079" spans="1:26" x14ac:dyDescent="0.2">
      <c r="A1079" t="s">
        <v>93</v>
      </c>
      <c r="B1079">
        <v>2021</v>
      </c>
      <c r="C1079" t="str">
        <f t="shared" si="16"/>
        <v>LBM2021</v>
      </c>
      <c r="D1079">
        <v>2.7753464466151419E-13</v>
      </c>
      <c r="E1079">
        <v>0.18904639120059491</v>
      </c>
      <c r="F1079">
        <v>1.763529548705417</v>
      </c>
      <c r="G1079">
        <v>27.02235764746872</v>
      </c>
      <c r="H1079">
        <v>2.7380984073841459</v>
      </c>
      <c r="I1079">
        <v>0.20125228855642541</v>
      </c>
      <c r="J1079">
        <v>0.2066991750256835</v>
      </c>
      <c r="K1079">
        <v>0.30440992170009951</v>
      </c>
      <c r="L1079">
        <v>0.52106433238685035</v>
      </c>
      <c r="M1079">
        <v>27</v>
      </c>
      <c r="N1079">
        <v>0</v>
      </c>
      <c r="O1079">
        <v>0</v>
      </c>
      <c r="P1079">
        <v>0.64900000000000002</v>
      </c>
      <c r="Q1079">
        <v>2.18E-2</v>
      </c>
      <c r="R1079">
        <v>0</v>
      </c>
      <c r="S1079">
        <v>0</v>
      </c>
      <c r="T1079">
        <v>0.64900000000000002</v>
      </c>
      <c r="U1079">
        <v>7</v>
      </c>
      <c r="V1079">
        <v>0</v>
      </c>
      <c r="W1079">
        <v>0</v>
      </c>
      <c r="X1079">
        <v>0</v>
      </c>
      <c r="Y1079">
        <v>0.47310000000000002</v>
      </c>
      <c r="Z1079">
        <v>1</v>
      </c>
    </row>
    <row r="1080" spans="1:26" x14ac:dyDescent="0.2">
      <c r="A1080" t="s">
        <v>93</v>
      </c>
      <c r="B1080">
        <v>2022</v>
      </c>
      <c r="C1080" t="str">
        <f t="shared" si="16"/>
        <v>LBM2022</v>
      </c>
      <c r="D1080">
        <v>2.3887493527095691E-13</v>
      </c>
      <c r="E1080">
        <v>0.22762579070185221</v>
      </c>
      <c r="F1080">
        <v>1.4046199634247281</v>
      </c>
      <c r="G1080">
        <v>27.292757322042171</v>
      </c>
      <c r="H1080">
        <v>2.005947288276261</v>
      </c>
      <c r="I1080">
        <v>0.25175639137218098</v>
      </c>
      <c r="J1080">
        <v>0.31048811485698907</v>
      </c>
      <c r="K1080">
        <v>0.2352751264718935</v>
      </c>
      <c r="L1080">
        <v>0.50857810734387188</v>
      </c>
      <c r="M1080">
        <v>28</v>
      </c>
      <c r="N1080">
        <v>0</v>
      </c>
      <c r="O1080">
        <v>0</v>
      </c>
      <c r="P1080">
        <v>0.72920000000000007</v>
      </c>
      <c r="Q1080">
        <v>2.53E-2</v>
      </c>
      <c r="R1080">
        <v>8.0199999999999994E-2</v>
      </c>
      <c r="S1080">
        <v>0</v>
      </c>
      <c r="T1080">
        <v>0.72920000000000007</v>
      </c>
      <c r="U1080">
        <v>7</v>
      </c>
      <c r="V1080">
        <v>0</v>
      </c>
      <c r="W1080">
        <v>0</v>
      </c>
      <c r="X1080">
        <v>0</v>
      </c>
      <c r="Y1080">
        <v>0.4612</v>
      </c>
      <c r="Z1080">
        <v>1</v>
      </c>
    </row>
    <row r="1081" spans="1:26" x14ac:dyDescent="0.2">
      <c r="A1081" t="s">
        <v>93</v>
      </c>
      <c r="B1081">
        <v>2023</v>
      </c>
      <c r="C1081" t="str">
        <f t="shared" si="16"/>
        <v>LBM2023</v>
      </c>
      <c r="D1081">
        <v>531620842512.12622</v>
      </c>
      <c r="E1081">
        <v>0.183934843199037</v>
      </c>
      <c r="F1081">
        <v>4.9317913036345518</v>
      </c>
      <c r="G1081">
        <v>27.369494929702661</v>
      </c>
      <c r="H1081">
        <v>1.764390931514449</v>
      </c>
      <c r="I1081">
        <v>0.1155741303225456</v>
      </c>
      <c r="J1081">
        <v>7.9758718802455775E-2</v>
      </c>
      <c r="K1081">
        <v>0.1976302687893588</v>
      </c>
      <c r="L1081">
        <v>0.43124030925815598</v>
      </c>
      <c r="M1081">
        <v>29</v>
      </c>
      <c r="N1081">
        <v>0</v>
      </c>
      <c r="O1081">
        <v>0</v>
      </c>
      <c r="P1081">
        <v>0.72920000000000007</v>
      </c>
      <c r="Q1081">
        <v>2.53E-2</v>
      </c>
      <c r="R1081">
        <v>8.0199999999999994E-2</v>
      </c>
      <c r="S1081">
        <v>0</v>
      </c>
      <c r="T1081">
        <v>0.72920000000000007</v>
      </c>
      <c r="U1081">
        <v>7</v>
      </c>
      <c r="V1081">
        <v>0</v>
      </c>
      <c r="W1081">
        <v>0</v>
      </c>
      <c r="X1081">
        <v>0</v>
      </c>
      <c r="Y1081">
        <v>0.4612</v>
      </c>
      <c r="Z1081">
        <v>1</v>
      </c>
    </row>
    <row r="1082" spans="1:26" x14ac:dyDescent="0.2">
      <c r="A1082" t="s">
        <v>94</v>
      </c>
      <c r="B1082">
        <v>2012</v>
      </c>
      <c r="C1082" t="str">
        <f t="shared" si="16"/>
        <v>LDP2012</v>
      </c>
      <c r="D1082">
        <v>7.3846251917539228E-13</v>
      </c>
      <c r="E1082">
        <v>0.26797620565617758</v>
      </c>
      <c r="F1082">
        <v>1.0853036580989781</v>
      </c>
      <c r="G1082">
        <v>25.81862397148182</v>
      </c>
      <c r="H1082">
        <v>1.5300732084898321</v>
      </c>
      <c r="I1082">
        <v>0.55009777072757438</v>
      </c>
      <c r="J1082">
        <v>0.1123822130746437</v>
      </c>
      <c r="K1082">
        <v>0.1516584870822878</v>
      </c>
      <c r="L1082">
        <v>0.16617729931610889</v>
      </c>
      <c r="M1082">
        <v>12</v>
      </c>
      <c r="N1082">
        <v>0</v>
      </c>
      <c r="O1082">
        <v>0</v>
      </c>
      <c r="P1082">
        <v>0.68319999999999992</v>
      </c>
      <c r="Q1082">
        <v>5.5000000000000014E-3</v>
      </c>
      <c r="R1082">
        <v>0</v>
      </c>
      <c r="S1082">
        <v>0.31879999999999997</v>
      </c>
      <c r="T1082">
        <v>0.68319999999999992</v>
      </c>
      <c r="U1082">
        <v>5</v>
      </c>
      <c r="V1082">
        <v>1</v>
      </c>
      <c r="W1082">
        <v>0.6</v>
      </c>
      <c r="X1082">
        <v>1</v>
      </c>
      <c r="Y1082">
        <v>0.48249999999999998</v>
      </c>
      <c r="Z1082">
        <v>1</v>
      </c>
    </row>
    <row r="1083" spans="1:26" x14ac:dyDescent="0.2">
      <c r="A1083" t="s">
        <v>94</v>
      </c>
      <c r="B1083">
        <v>2013</v>
      </c>
      <c r="C1083" t="str">
        <f t="shared" si="16"/>
        <v>LDP2013</v>
      </c>
      <c r="D1083">
        <v>5.2010006284912566E-13</v>
      </c>
      <c r="E1083">
        <v>0.22879840411831981</v>
      </c>
      <c r="F1083">
        <v>1.267714591201023</v>
      </c>
      <c r="G1083">
        <v>25.949401524311941</v>
      </c>
      <c r="H1083">
        <v>1.545221650469994</v>
      </c>
      <c r="I1083">
        <v>0.5770239218919514</v>
      </c>
      <c r="J1083">
        <v>0.13971422690756061</v>
      </c>
      <c r="K1083">
        <v>7.419469184151449E-2</v>
      </c>
      <c r="L1083">
        <v>0.20056594004070541</v>
      </c>
      <c r="M1083">
        <v>13</v>
      </c>
      <c r="N1083">
        <v>0</v>
      </c>
      <c r="O1083">
        <v>0</v>
      </c>
      <c r="P1083">
        <v>0.68319999999999992</v>
      </c>
      <c r="Q1083">
        <v>5.5000000000000014E-3</v>
      </c>
      <c r="R1083">
        <v>0</v>
      </c>
      <c r="S1083">
        <v>0.31879999999999997</v>
      </c>
      <c r="T1083">
        <v>0.68319999999999992</v>
      </c>
      <c r="U1083">
        <v>5</v>
      </c>
      <c r="V1083">
        <v>1</v>
      </c>
      <c r="W1083">
        <v>0.4</v>
      </c>
      <c r="X1083">
        <v>1</v>
      </c>
      <c r="Y1083">
        <v>0.47</v>
      </c>
      <c r="Z1083">
        <v>1</v>
      </c>
    </row>
    <row r="1084" spans="1:26" x14ac:dyDescent="0.2">
      <c r="A1084" t="s">
        <v>94</v>
      </c>
      <c r="B1084">
        <v>2014</v>
      </c>
      <c r="C1084" t="str">
        <f t="shared" si="16"/>
        <v>LDP2014</v>
      </c>
      <c r="D1084">
        <v>4.1325543532891518E-13</v>
      </c>
      <c r="E1084">
        <v>0.2188606561972955</v>
      </c>
      <c r="F1084">
        <v>1.380437590103158</v>
      </c>
      <c r="G1084">
        <v>26.0800973273289</v>
      </c>
      <c r="H1084">
        <v>1.387883628070502</v>
      </c>
      <c r="I1084">
        <v>0.59960076958410236</v>
      </c>
      <c r="J1084">
        <v>0.13962105929071059</v>
      </c>
      <c r="K1084">
        <v>9.1651473589442131E-2</v>
      </c>
      <c r="L1084">
        <v>0.32061786291701111</v>
      </c>
      <c r="M1084">
        <v>14</v>
      </c>
      <c r="N1084">
        <v>0</v>
      </c>
      <c r="O1084">
        <v>0</v>
      </c>
      <c r="P1084">
        <v>0.44319999999999998</v>
      </c>
      <c r="Q1084">
        <v>5.5000000000000014E-3</v>
      </c>
      <c r="R1084">
        <v>0</v>
      </c>
      <c r="S1084">
        <v>0.31879999999999997</v>
      </c>
      <c r="T1084">
        <v>0.31879999999999997</v>
      </c>
      <c r="U1084">
        <v>5</v>
      </c>
      <c r="V1084">
        <v>0</v>
      </c>
      <c r="W1084">
        <v>0.4</v>
      </c>
      <c r="X1084">
        <v>1</v>
      </c>
      <c r="Y1084">
        <v>0.49090000000000011</v>
      </c>
      <c r="Z1084">
        <v>1</v>
      </c>
    </row>
    <row r="1085" spans="1:26" x14ac:dyDescent="0.2">
      <c r="A1085" t="s">
        <v>94</v>
      </c>
      <c r="B1085">
        <v>2015</v>
      </c>
      <c r="C1085" t="str">
        <f t="shared" si="16"/>
        <v>LDP2015</v>
      </c>
      <c r="D1085">
        <v>2.7798508418125682E-13</v>
      </c>
      <c r="E1085">
        <v>0.19803767375478931</v>
      </c>
      <c r="F1085">
        <v>1.2157711713503361</v>
      </c>
      <c r="G1085">
        <v>26.253992096718381</v>
      </c>
      <c r="H1085">
        <v>1.240848450911141</v>
      </c>
      <c r="I1085">
        <v>0.64580895811259087</v>
      </c>
      <c r="J1085">
        <v>0.1899303421354199</v>
      </c>
      <c r="K1085">
        <v>2.7922973384605611E-2</v>
      </c>
      <c r="L1085">
        <v>0.30865929068812309</v>
      </c>
      <c r="M1085">
        <v>15</v>
      </c>
      <c r="N1085">
        <v>1</v>
      </c>
      <c r="O1085">
        <v>0</v>
      </c>
      <c r="P1085">
        <v>0.31879999999999997</v>
      </c>
      <c r="Q1085">
        <v>7.4000000000000003E-3</v>
      </c>
      <c r="R1085">
        <v>0</v>
      </c>
      <c r="S1085">
        <v>0.31879999999999997</v>
      </c>
      <c r="T1085">
        <v>0.31879999999999997</v>
      </c>
      <c r="U1085">
        <v>5</v>
      </c>
      <c r="V1085">
        <v>0</v>
      </c>
      <c r="W1085">
        <v>0.4</v>
      </c>
      <c r="X1085">
        <v>1</v>
      </c>
      <c r="Y1085">
        <v>0.50090000000000001</v>
      </c>
      <c r="Z1085">
        <v>1</v>
      </c>
    </row>
    <row r="1086" spans="1:26" x14ac:dyDescent="0.2">
      <c r="A1086" t="s">
        <v>94</v>
      </c>
      <c r="B1086">
        <v>2016</v>
      </c>
      <c r="C1086" t="str">
        <f t="shared" si="16"/>
        <v>LDP2016</v>
      </c>
      <c r="D1086">
        <v>2.5027691640087911E-13</v>
      </c>
      <c r="E1086">
        <v>0.2053634438539674</v>
      </c>
      <c r="F1086">
        <v>1.111177449247486</v>
      </c>
      <c r="G1086">
        <v>26.36173869210732</v>
      </c>
      <c r="H1086">
        <v>1.121656573604727</v>
      </c>
      <c r="I1086">
        <v>0.65750415735791845</v>
      </c>
      <c r="J1086">
        <v>0.11376547631650551</v>
      </c>
      <c r="K1086">
        <v>3.7299381217925628E-2</v>
      </c>
      <c r="L1086">
        <v>0.26982200995315819</v>
      </c>
      <c r="M1086">
        <v>16</v>
      </c>
      <c r="N1086">
        <v>1</v>
      </c>
      <c r="O1086">
        <v>0</v>
      </c>
      <c r="P1086">
        <v>0.31879999999999997</v>
      </c>
      <c r="Q1086">
        <v>5.5000000000000014E-3</v>
      </c>
      <c r="R1086">
        <v>0</v>
      </c>
      <c r="S1086">
        <v>0.31879999999999997</v>
      </c>
      <c r="T1086">
        <v>0.31879999999999997</v>
      </c>
      <c r="U1086">
        <v>5</v>
      </c>
      <c r="V1086">
        <v>0</v>
      </c>
      <c r="W1086">
        <v>0.4</v>
      </c>
      <c r="X1086">
        <v>1</v>
      </c>
      <c r="Y1086">
        <v>0.5222</v>
      </c>
      <c r="Z1086">
        <v>1</v>
      </c>
    </row>
    <row r="1087" spans="1:26" x14ac:dyDescent="0.2">
      <c r="A1087" t="s">
        <v>94</v>
      </c>
      <c r="B1087">
        <v>2017</v>
      </c>
      <c r="C1087" t="str">
        <f t="shared" si="16"/>
        <v>LDP2017</v>
      </c>
      <c r="D1087">
        <v>1.919289344051268E-13</v>
      </c>
      <c r="E1087">
        <v>0.13639052249170869</v>
      </c>
      <c r="F1087">
        <v>1.4908631977279569</v>
      </c>
      <c r="G1087">
        <v>26.343822425943859</v>
      </c>
      <c r="H1087">
        <v>1.1366691310007251</v>
      </c>
      <c r="I1087">
        <v>0.61155192748052378</v>
      </c>
      <c r="J1087">
        <v>-1.7756724087129579E-2</v>
      </c>
      <c r="K1087">
        <v>1.5004924542567121E-3</v>
      </c>
      <c r="L1087">
        <v>0.3013283018624574</v>
      </c>
      <c r="M1087">
        <v>17</v>
      </c>
      <c r="N1087">
        <v>1</v>
      </c>
      <c r="O1087">
        <v>0</v>
      </c>
      <c r="P1087">
        <v>0.35709999999999997</v>
      </c>
      <c r="Q1087">
        <v>0</v>
      </c>
      <c r="R1087">
        <v>0</v>
      </c>
      <c r="S1087">
        <v>0.35709999999999997</v>
      </c>
      <c r="T1087">
        <v>0.35709999999999997</v>
      </c>
      <c r="U1087">
        <v>5</v>
      </c>
      <c r="V1087">
        <v>0</v>
      </c>
      <c r="W1087">
        <v>0.4</v>
      </c>
      <c r="X1087">
        <v>1</v>
      </c>
      <c r="Y1087">
        <v>0.52380000000000004</v>
      </c>
      <c r="Z1087">
        <v>1</v>
      </c>
    </row>
    <row r="1088" spans="1:26" x14ac:dyDescent="0.2">
      <c r="A1088" t="s">
        <v>94</v>
      </c>
      <c r="B1088">
        <v>2018</v>
      </c>
      <c r="C1088" t="str">
        <f t="shared" si="16"/>
        <v>LDP2018</v>
      </c>
      <c r="D1088">
        <v>-2.7912301603265469E-13</v>
      </c>
      <c r="E1088">
        <v>-0.23516725592032131</v>
      </c>
      <c r="F1088">
        <v>1.4307932994575301</v>
      </c>
      <c r="G1088">
        <v>26.313359296240531</v>
      </c>
      <c r="H1088">
        <v>1.231486349391328</v>
      </c>
      <c r="I1088">
        <v>0.68219147674073688</v>
      </c>
      <c r="J1088">
        <v>-3.000380454459917E-2</v>
      </c>
      <c r="K1088">
        <v>5.388454605227623E-2</v>
      </c>
      <c r="L1088">
        <v>0.29939568016969598</v>
      </c>
      <c r="M1088">
        <v>18</v>
      </c>
      <c r="N1088">
        <v>1</v>
      </c>
      <c r="O1088">
        <v>0</v>
      </c>
      <c r="P1088">
        <v>0.31869999999999998</v>
      </c>
      <c r="Q1088">
        <v>0</v>
      </c>
      <c r="R1088">
        <v>0</v>
      </c>
      <c r="S1088">
        <v>0.31869999999999998</v>
      </c>
      <c r="T1088">
        <v>0.31869999999999998</v>
      </c>
      <c r="U1088">
        <v>5</v>
      </c>
      <c r="V1088">
        <v>0</v>
      </c>
      <c r="W1088">
        <v>0.4</v>
      </c>
      <c r="X1088">
        <v>1</v>
      </c>
      <c r="Y1088">
        <v>0.52290000000000003</v>
      </c>
      <c r="Z1088">
        <v>1</v>
      </c>
    </row>
    <row r="1089" spans="1:26" x14ac:dyDescent="0.2">
      <c r="A1089" t="s">
        <v>94</v>
      </c>
      <c r="B1089">
        <v>2019</v>
      </c>
      <c r="C1089" t="str">
        <f t="shared" si="16"/>
        <v>LDP2019</v>
      </c>
      <c r="D1089">
        <v>9.7979884620244939E-14</v>
      </c>
      <c r="E1089">
        <v>8.4839105855163466E-2</v>
      </c>
      <c r="F1089">
        <v>1.2676665326226679</v>
      </c>
      <c r="G1089">
        <v>26.375066633610619</v>
      </c>
      <c r="H1089">
        <v>1.0357240634180269</v>
      </c>
      <c r="I1089">
        <v>0.67108268241881452</v>
      </c>
      <c r="J1089">
        <v>6.3651008270593668E-2</v>
      </c>
      <c r="K1089">
        <v>-5.291077809433626E-2</v>
      </c>
      <c r="L1089">
        <v>0.3190851636658133</v>
      </c>
      <c r="M1089">
        <v>19</v>
      </c>
      <c r="N1089">
        <v>1</v>
      </c>
      <c r="O1089">
        <v>1</v>
      </c>
      <c r="P1089">
        <v>0.83030000000000004</v>
      </c>
      <c r="Q1089">
        <v>0</v>
      </c>
      <c r="R1089">
        <v>0</v>
      </c>
      <c r="S1089">
        <v>0</v>
      </c>
      <c r="T1089">
        <v>0.51149999999999995</v>
      </c>
      <c r="U1089">
        <v>4</v>
      </c>
      <c r="V1089">
        <v>0</v>
      </c>
      <c r="W1089">
        <v>0.5</v>
      </c>
      <c r="X1089">
        <v>1</v>
      </c>
      <c r="Y1089">
        <v>0.49249999999999999</v>
      </c>
      <c r="Z1089">
        <v>1</v>
      </c>
    </row>
    <row r="1090" spans="1:26" x14ac:dyDescent="0.2">
      <c r="A1090" t="s">
        <v>94</v>
      </c>
      <c r="B1090">
        <v>2020</v>
      </c>
      <c r="C1090" t="str">
        <f t="shared" si="16"/>
        <v>LDP2020</v>
      </c>
      <c r="D1090">
        <v>-5.4842220118497869E-13</v>
      </c>
      <c r="E1090">
        <v>-0.2230864591503115</v>
      </c>
      <c r="F1090">
        <v>1.16556501510015</v>
      </c>
      <c r="G1090">
        <v>26.10595745241438</v>
      </c>
      <c r="H1090">
        <v>1.0176615730449829</v>
      </c>
      <c r="I1090">
        <v>0.46504766986038248</v>
      </c>
      <c r="J1090">
        <v>-0.23594016987222</v>
      </c>
      <c r="K1090">
        <v>-3.7579076525695247E-2</v>
      </c>
      <c r="L1090">
        <v>0.35058511561483469</v>
      </c>
      <c r="M1090">
        <v>20</v>
      </c>
      <c r="N1090">
        <v>1</v>
      </c>
      <c r="O1090">
        <v>1</v>
      </c>
      <c r="P1090">
        <v>0.87509999999999988</v>
      </c>
      <c r="Q1090">
        <v>8.6999999999999994E-3</v>
      </c>
      <c r="R1090">
        <v>0</v>
      </c>
      <c r="S1090">
        <v>0</v>
      </c>
      <c r="T1090">
        <v>0.53909999999999991</v>
      </c>
      <c r="U1090">
        <v>5</v>
      </c>
      <c r="V1090">
        <v>0</v>
      </c>
      <c r="W1090">
        <v>0.6</v>
      </c>
      <c r="X1090">
        <v>0</v>
      </c>
      <c r="Y1090">
        <v>0.46</v>
      </c>
      <c r="Z1090">
        <v>1</v>
      </c>
    </row>
    <row r="1091" spans="1:26" x14ac:dyDescent="0.2">
      <c r="A1091" t="s">
        <v>94</v>
      </c>
      <c r="B1091">
        <v>2021</v>
      </c>
      <c r="C1091" t="str">
        <f t="shared" ref="C1091:C1154" si="17">A1091&amp;B1091</f>
        <v>LDP2021</v>
      </c>
      <c r="D1091">
        <v>8.1228511793708934E-13</v>
      </c>
      <c r="E1091">
        <v>0.24690520122834689</v>
      </c>
      <c r="F1091">
        <v>2.495861189356201</v>
      </c>
      <c r="G1091">
        <v>26.098178388292009</v>
      </c>
      <c r="H1091">
        <v>1.3802019121922939</v>
      </c>
      <c r="I1091">
        <v>0.28964879825796058</v>
      </c>
      <c r="J1091">
        <v>-7.7488855075538146E-3</v>
      </c>
      <c r="K1091">
        <v>0.13573110905012761</v>
      </c>
      <c r="L1091">
        <v>0.28120433732644629</v>
      </c>
      <c r="M1091">
        <v>21</v>
      </c>
      <c r="N1091">
        <v>1</v>
      </c>
      <c r="O1091">
        <v>0</v>
      </c>
      <c r="P1091">
        <v>0.87509999999999988</v>
      </c>
      <c r="Q1091">
        <v>0.21859999999999999</v>
      </c>
      <c r="R1091">
        <v>0</v>
      </c>
      <c r="S1091">
        <v>0</v>
      </c>
      <c r="T1091">
        <v>0.53909999999999991</v>
      </c>
      <c r="U1091">
        <v>5</v>
      </c>
      <c r="V1091">
        <v>0</v>
      </c>
      <c r="W1091">
        <v>0.2</v>
      </c>
      <c r="X1091">
        <v>0</v>
      </c>
      <c r="Y1091">
        <v>0.44669999999999999</v>
      </c>
      <c r="Z1091">
        <v>1</v>
      </c>
    </row>
    <row r="1092" spans="1:26" x14ac:dyDescent="0.2">
      <c r="A1092" t="s">
        <v>94</v>
      </c>
      <c r="B1092">
        <v>2022</v>
      </c>
      <c r="C1092" t="str">
        <f t="shared" si="17"/>
        <v>LDP2022</v>
      </c>
      <c r="D1092">
        <v>-7.4592527111819258E-13</v>
      </c>
      <c r="E1092">
        <v>-0.34595161439295907</v>
      </c>
      <c r="F1092">
        <v>0.79677792871433228</v>
      </c>
      <c r="G1092">
        <v>26.154325323582832</v>
      </c>
      <c r="H1092">
        <v>2.467095469277313</v>
      </c>
      <c r="I1092">
        <v>0.50755342056594444</v>
      </c>
      <c r="J1092">
        <v>5.7753093577159083E-2</v>
      </c>
      <c r="K1092">
        <v>-0.33141998494684599</v>
      </c>
      <c r="L1092">
        <v>0.24406401811157241</v>
      </c>
      <c r="M1092">
        <v>22</v>
      </c>
      <c r="N1092">
        <v>0</v>
      </c>
      <c r="O1092">
        <v>0</v>
      </c>
      <c r="P1092">
        <v>0.51019999999999999</v>
      </c>
      <c r="Q1092">
        <v>0</v>
      </c>
      <c r="R1092">
        <v>0</v>
      </c>
      <c r="S1092">
        <v>0</v>
      </c>
      <c r="T1092">
        <v>0.51019999999999999</v>
      </c>
      <c r="U1092">
        <v>5</v>
      </c>
      <c r="V1092">
        <v>0</v>
      </c>
      <c r="W1092">
        <v>0.2</v>
      </c>
      <c r="X1092">
        <v>1</v>
      </c>
      <c r="Y1092">
        <v>0.40439999999999998</v>
      </c>
      <c r="Z1092">
        <v>1</v>
      </c>
    </row>
    <row r="1093" spans="1:26" x14ac:dyDescent="0.2">
      <c r="A1093" t="s">
        <v>94</v>
      </c>
      <c r="B1093">
        <v>2023</v>
      </c>
      <c r="C1093" t="str">
        <f t="shared" si="17"/>
        <v>LDP2023</v>
      </c>
      <c r="D1093">
        <v>136584706839.9539</v>
      </c>
      <c r="E1093">
        <v>-0.15607859377677941</v>
      </c>
      <c r="F1093">
        <v>1.375655372817105</v>
      </c>
      <c r="G1093">
        <v>25.995098521562092</v>
      </c>
      <c r="H1093">
        <v>1.3994689341818609</v>
      </c>
      <c r="I1093">
        <v>0.33865194162853701</v>
      </c>
      <c r="J1093">
        <v>-0.1471970803917185</v>
      </c>
      <c r="K1093">
        <v>3.3755450902524582E-2</v>
      </c>
      <c r="L1093">
        <v>0.23786223690264971</v>
      </c>
      <c r="M1093">
        <v>23</v>
      </c>
      <c r="N1093">
        <v>0</v>
      </c>
      <c r="O1093">
        <v>0</v>
      </c>
      <c r="P1093">
        <v>0.51019999999999999</v>
      </c>
      <c r="Q1093">
        <v>0</v>
      </c>
      <c r="R1093">
        <v>0</v>
      </c>
      <c r="S1093">
        <v>0</v>
      </c>
      <c r="T1093">
        <v>0.51019999999999999</v>
      </c>
      <c r="U1093">
        <v>5</v>
      </c>
      <c r="V1093">
        <v>0</v>
      </c>
      <c r="W1093">
        <v>0.2</v>
      </c>
      <c r="X1093">
        <v>1</v>
      </c>
      <c r="Y1093">
        <v>0.40439999999999998</v>
      </c>
      <c r="Z1093">
        <v>1</v>
      </c>
    </row>
    <row r="1094" spans="1:26" x14ac:dyDescent="0.2">
      <c r="A1094" t="s">
        <v>95</v>
      </c>
      <c r="B1094">
        <v>2012</v>
      </c>
      <c r="C1094" t="str">
        <f t="shared" si="17"/>
        <v>LIX2012</v>
      </c>
      <c r="D1094">
        <v>2.8587392368454777E-13</v>
      </c>
      <c r="E1094">
        <v>0.2153561234105896</v>
      </c>
      <c r="F1094">
        <v>1.077805318376752</v>
      </c>
      <c r="G1094">
        <v>26.848638410520671</v>
      </c>
      <c r="H1094">
        <v>1.9240888029594281</v>
      </c>
      <c r="I1094">
        <v>0.39293831105014992</v>
      </c>
      <c r="J1094">
        <v>0.1243443958004764</v>
      </c>
      <c r="K1094">
        <v>2.68732026877317E-2</v>
      </c>
      <c r="L1094">
        <v>0.1792688383153308</v>
      </c>
      <c r="M1094">
        <v>19</v>
      </c>
      <c r="N1094">
        <v>0</v>
      </c>
      <c r="O1094">
        <v>0</v>
      </c>
      <c r="P1094">
        <v>0.56469999999999998</v>
      </c>
      <c r="Q1094">
        <v>4.4400000000000002E-2</v>
      </c>
      <c r="R1094">
        <v>5.4699999999999999E-2</v>
      </c>
      <c r="S1094">
        <v>0.51</v>
      </c>
      <c r="T1094">
        <v>0.56469999999999998</v>
      </c>
      <c r="U1094">
        <v>5</v>
      </c>
      <c r="V1094">
        <v>1</v>
      </c>
      <c r="W1094">
        <v>0.4</v>
      </c>
      <c r="X1094">
        <v>0</v>
      </c>
      <c r="Y1094">
        <v>0.44130000000000003</v>
      </c>
      <c r="Z1094">
        <v>1</v>
      </c>
    </row>
    <row r="1095" spans="1:26" x14ac:dyDescent="0.2">
      <c r="A1095" t="s">
        <v>95</v>
      </c>
      <c r="B1095">
        <v>2013</v>
      </c>
      <c r="C1095" t="str">
        <f t="shared" si="17"/>
        <v>LIX2013</v>
      </c>
      <c r="D1095">
        <v>2.4325321256806619E-13</v>
      </c>
      <c r="E1095">
        <v>0.2119904647136131</v>
      </c>
      <c r="F1095">
        <v>1.641281087789414</v>
      </c>
      <c r="G1095">
        <v>26.999259149756689</v>
      </c>
      <c r="H1095">
        <v>1.849717122954174</v>
      </c>
      <c r="I1095">
        <v>0.38994144476306908</v>
      </c>
      <c r="J1095">
        <v>0.16255566271217251</v>
      </c>
      <c r="K1095">
        <v>0.14192094669329999</v>
      </c>
      <c r="L1095">
        <v>0.22315700308590311</v>
      </c>
      <c r="M1095">
        <v>20</v>
      </c>
      <c r="N1095">
        <v>0</v>
      </c>
      <c r="O1095">
        <v>0</v>
      </c>
      <c r="P1095">
        <v>0.56469999999999998</v>
      </c>
      <c r="Q1095">
        <v>3.5200000000000002E-2</v>
      </c>
      <c r="R1095">
        <v>5.4699999999999999E-2</v>
      </c>
      <c r="S1095">
        <v>0.51</v>
      </c>
      <c r="T1095">
        <v>0.56469999999999998</v>
      </c>
      <c r="U1095">
        <v>5</v>
      </c>
      <c r="V1095">
        <v>1</v>
      </c>
      <c r="W1095">
        <v>0.4</v>
      </c>
      <c r="X1095">
        <v>0</v>
      </c>
      <c r="Y1095">
        <v>0.45129999999999998</v>
      </c>
      <c r="Z1095">
        <v>1</v>
      </c>
    </row>
    <row r="1096" spans="1:26" x14ac:dyDescent="0.2">
      <c r="A1096" t="s">
        <v>95</v>
      </c>
      <c r="B1096">
        <v>2014</v>
      </c>
      <c r="C1096" t="str">
        <f t="shared" si="17"/>
        <v>LIX2014</v>
      </c>
      <c r="D1096">
        <v>2.1280800969829069E-13</v>
      </c>
      <c r="E1096">
        <v>0.22078993836282829</v>
      </c>
      <c r="F1096">
        <v>1.528161782414913</v>
      </c>
      <c r="G1096">
        <v>27.146620960408029</v>
      </c>
      <c r="H1096">
        <v>2.1255043723347948</v>
      </c>
      <c r="I1096">
        <v>0.40620521764125023</v>
      </c>
      <c r="J1096">
        <v>0.15877314365914061</v>
      </c>
      <c r="K1096">
        <v>0.1727263792983651</v>
      </c>
      <c r="L1096">
        <v>0.24599431008254199</v>
      </c>
      <c r="M1096">
        <v>21</v>
      </c>
      <c r="N1096">
        <v>0</v>
      </c>
      <c r="O1096">
        <v>0</v>
      </c>
      <c r="P1096">
        <v>0.51</v>
      </c>
      <c r="Q1096">
        <v>3.5200000000000002E-2</v>
      </c>
      <c r="R1096">
        <v>0</v>
      </c>
      <c r="S1096">
        <v>0.51</v>
      </c>
      <c r="T1096">
        <v>0.51</v>
      </c>
      <c r="U1096">
        <v>5</v>
      </c>
      <c r="V1096">
        <v>1</v>
      </c>
      <c r="W1096">
        <v>0.4</v>
      </c>
      <c r="X1096">
        <v>0</v>
      </c>
      <c r="Y1096">
        <v>0.46129999999999999</v>
      </c>
      <c r="Z1096">
        <v>1</v>
      </c>
    </row>
    <row r="1097" spans="1:26" x14ac:dyDescent="0.2">
      <c r="A1097" t="s">
        <v>95</v>
      </c>
      <c r="B1097">
        <v>2015</v>
      </c>
      <c r="C1097" t="str">
        <f t="shared" si="17"/>
        <v>LIX2015</v>
      </c>
      <c r="D1097">
        <v>2.8908300102295078E-13</v>
      </c>
      <c r="E1097">
        <v>0.40060515982356137</v>
      </c>
      <c r="F1097">
        <v>2.0100210847642752</v>
      </c>
      <c r="G1097">
        <v>27.397956059123469</v>
      </c>
      <c r="H1097">
        <v>1.9432280879156349</v>
      </c>
      <c r="I1097">
        <v>0.42840667602970772</v>
      </c>
      <c r="J1097">
        <v>0.28574086226192258</v>
      </c>
      <c r="K1097">
        <v>0.29259812283860348</v>
      </c>
      <c r="L1097">
        <v>0.19687970404127031</v>
      </c>
      <c r="M1097">
        <v>22</v>
      </c>
      <c r="N1097">
        <v>0</v>
      </c>
      <c r="O1097">
        <v>0</v>
      </c>
      <c r="P1097">
        <v>0.51</v>
      </c>
      <c r="Q1097">
        <v>3.5200000000000002E-2</v>
      </c>
      <c r="R1097">
        <v>0</v>
      </c>
      <c r="S1097">
        <v>0.51</v>
      </c>
      <c r="T1097">
        <v>0.51</v>
      </c>
      <c r="U1097">
        <v>4</v>
      </c>
      <c r="V1097">
        <v>1</v>
      </c>
      <c r="W1097">
        <v>0.25</v>
      </c>
      <c r="X1097">
        <v>0</v>
      </c>
      <c r="Y1097">
        <v>0.47499999999999998</v>
      </c>
      <c r="Z1097">
        <v>1</v>
      </c>
    </row>
    <row r="1098" spans="1:26" x14ac:dyDescent="0.2">
      <c r="A1098" t="s">
        <v>95</v>
      </c>
      <c r="B1098">
        <v>2016</v>
      </c>
      <c r="C1098" t="str">
        <f t="shared" si="17"/>
        <v>LIX2016</v>
      </c>
      <c r="D1098">
        <v>2.5822802900218811E-13</v>
      </c>
      <c r="E1098">
        <v>0.34867647955755959</v>
      </c>
      <c r="F1098">
        <v>2.7839531568258562</v>
      </c>
      <c r="G1098">
        <v>27.383213111584389</v>
      </c>
      <c r="H1098">
        <v>1.750000533172843</v>
      </c>
      <c r="I1098">
        <v>0.42195842049584392</v>
      </c>
      <c r="J1098">
        <v>-1.4634802399676071E-2</v>
      </c>
      <c r="K1098">
        <v>0.16379153122875781</v>
      </c>
      <c r="L1098">
        <v>0.31894087521704201</v>
      </c>
      <c r="M1098">
        <v>23</v>
      </c>
      <c r="N1098">
        <v>0</v>
      </c>
      <c r="O1098">
        <v>0</v>
      </c>
      <c r="P1098">
        <v>0.51</v>
      </c>
      <c r="Q1098">
        <v>5.5000000000000014E-3</v>
      </c>
      <c r="R1098">
        <v>0</v>
      </c>
      <c r="S1098">
        <v>0.51</v>
      </c>
      <c r="T1098">
        <v>0.51</v>
      </c>
      <c r="U1098">
        <v>4</v>
      </c>
      <c r="V1098">
        <v>0</v>
      </c>
      <c r="W1098">
        <v>0.25</v>
      </c>
      <c r="X1098">
        <v>0</v>
      </c>
      <c r="Y1098">
        <v>0.43569999999999998</v>
      </c>
      <c r="Z1098">
        <v>1</v>
      </c>
    </row>
    <row r="1099" spans="1:26" x14ac:dyDescent="0.2">
      <c r="A1099" t="s">
        <v>95</v>
      </c>
      <c r="B1099">
        <v>2017</v>
      </c>
      <c r="C1099" t="str">
        <f t="shared" si="17"/>
        <v>LIX2017</v>
      </c>
      <c r="D1099">
        <v>2.4491702263824848E-13</v>
      </c>
      <c r="E1099">
        <v>0.31254411415929989</v>
      </c>
      <c r="F1099">
        <v>2.18930926609527</v>
      </c>
      <c r="G1099">
        <v>27.37830519485912</v>
      </c>
      <c r="H1099">
        <v>1.390128623639048</v>
      </c>
      <c r="I1099">
        <v>0.39136837267309021</v>
      </c>
      <c r="J1099">
        <v>-4.895892581188388E-3</v>
      </c>
      <c r="K1099">
        <v>0.26249763869774312</v>
      </c>
      <c r="L1099">
        <v>0.34704549099067872</v>
      </c>
      <c r="M1099">
        <v>24</v>
      </c>
      <c r="N1099">
        <v>0</v>
      </c>
      <c r="O1099">
        <v>0</v>
      </c>
      <c r="P1099">
        <v>0.51</v>
      </c>
      <c r="Q1099">
        <v>5.6999999999999993E-3</v>
      </c>
      <c r="R1099">
        <v>0</v>
      </c>
      <c r="S1099">
        <v>0.51</v>
      </c>
      <c r="T1099">
        <v>0.51</v>
      </c>
      <c r="U1099">
        <v>5</v>
      </c>
      <c r="V1099">
        <v>0</v>
      </c>
      <c r="W1099">
        <v>0.2</v>
      </c>
      <c r="X1099">
        <v>0</v>
      </c>
      <c r="Y1099">
        <v>0.44140000000000001</v>
      </c>
      <c r="Z1099">
        <v>1</v>
      </c>
    </row>
    <row r="1100" spans="1:26" x14ac:dyDescent="0.2">
      <c r="A1100" t="s">
        <v>95</v>
      </c>
      <c r="B1100">
        <v>2018</v>
      </c>
      <c r="C1100" t="str">
        <f t="shared" si="17"/>
        <v>LIX2018</v>
      </c>
      <c r="D1100">
        <v>2.424737257569932E-13</v>
      </c>
      <c r="E1100">
        <v>0.31252917639774769</v>
      </c>
      <c r="F1100">
        <v>2.3879699879169971</v>
      </c>
      <c r="G1100">
        <v>27.382836131617019</v>
      </c>
      <c r="H1100">
        <v>1.7264769536468201</v>
      </c>
      <c r="I1100">
        <v>0.39467480713453063</v>
      </c>
      <c r="J1100">
        <v>4.5412169723180176E-3</v>
      </c>
      <c r="K1100">
        <v>0.16614803678092341</v>
      </c>
      <c r="L1100">
        <v>0.34126085869116518</v>
      </c>
      <c r="M1100">
        <v>25</v>
      </c>
      <c r="N1100">
        <v>0</v>
      </c>
      <c r="O1100">
        <v>0</v>
      </c>
      <c r="P1100">
        <v>0.51</v>
      </c>
      <c r="Q1100">
        <v>6.4000000000000003E-3</v>
      </c>
      <c r="R1100">
        <v>0</v>
      </c>
      <c r="S1100">
        <v>0.51</v>
      </c>
      <c r="T1100">
        <v>0.51</v>
      </c>
      <c r="U1100">
        <v>5</v>
      </c>
      <c r="V1100">
        <v>0</v>
      </c>
      <c r="W1100">
        <v>0.2</v>
      </c>
      <c r="X1100">
        <v>0</v>
      </c>
      <c r="Y1100">
        <v>0.43440000000000001</v>
      </c>
      <c r="Z1100">
        <v>1</v>
      </c>
    </row>
    <row r="1101" spans="1:26" x14ac:dyDescent="0.2">
      <c r="A1101" t="s">
        <v>95</v>
      </c>
      <c r="B1101">
        <v>2019</v>
      </c>
      <c r="C1101" t="str">
        <f t="shared" si="17"/>
        <v>LIX2019</v>
      </c>
      <c r="D1101">
        <v>2.223640903091292E-13</v>
      </c>
      <c r="E1101">
        <v>0.322041373637524</v>
      </c>
      <c r="F1101">
        <v>1.9345434468174061</v>
      </c>
      <c r="G1101">
        <v>27.521985973181799</v>
      </c>
      <c r="H1101">
        <v>1.659863211691152</v>
      </c>
      <c r="I1101">
        <v>0.38084466003811779</v>
      </c>
      <c r="J1101">
        <v>0.14929629945787529</v>
      </c>
      <c r="K1101">
        <v>0.1927757669447113</v>
      </c>
      <c r="L1101">
        <v>0.31304606646771571</v>
      </c>
      <c r="M1101">
        <v>26</v>
      </c>
      <c r="N1101">
        <v>0</v>
      </c>
      <c r="O1101">
        <v>1</v>
      </c>
      <c r="P1101">
        <v>0.51</v>
      </c>
      <c r="Q1101">
        <v>5.6999999999999993E-3</v>
      </c>
      <c r="R1101">
        <v>0</v>
      </c>
      <c r="S1101">
        <v>0.51</v>
      </c>
      <c r="T1101">
        <v>0.51</v>
      </c>
      <c r="U1101">
        <v>5</v>
      </c>
      <c r="V1101">
        <v>0</v>
      </c>
      <c r="W1101">
        <v>0.2</v>
      </c>
      <c r="X1101">
        <v>0</v>
      </c>
      <c r="Y1101">
        <v>0.4511</v>
      </c>
      <c r="Z1101">
        <v>1</v>
      </c>
    </row>
    <row r="1102" spans="1:26" x14ac:dyDescent="0.2">
      <c r="A1102" t="s">
        <v>95</v>
      </c>
      <c r="B1102">
        <v>2020</v>
      </c>
      <c r="C1102" t="str">
        <f t="shared" si="17"/>
        <v>LIX2020</v>
      </c>
      <c r="D1102">
        <v>2.2218745023230091E-13</v>
      </c>
      <c r="E1102">
        <v>0.36095755364188942</v>
      </c>
      <c r="F1102">
        <v>2.0927973551820549</v>
      </c>
      <c r="G1102">
        <v>27.648535603898051</v>
      </c>
      <c r="H1102">
        <v>1.832104659572741</v>
      </c>
      <c r="I1102">
        <v>0.37357391189968697</v>
      </c>
      <c r="J1102">
        <v>0.13490577596487771</v>
      </c>
      <c r="K1102">
        <v>0.13002177768838</v>
      </c>
      <c r="L1102">
        <v>0.35283810482172712</v>
      </c>
      <c r="M1102">
        <v>27</v>
      </c>
      <c r="N1102">
        <v>0</v>
      </c>
      <c r="O1102">
        <v>1</v>
      </c>
      <c r="P1102">
        <v>0.51</v>
      </c>
      <c r="Q1102">
        <v>2.5999999999999999E-3</v>
      </c>
      <c r="R1102">
        <v>0</v>
      </c>
      <c r="S1102">
        <v>0.51</v>
      </c>
      <c r="T1102">
        <v>0.51</v>
      </c>
      <c r="U1102">
        <v>5</v>
      </c>
      <c r="V1102">
        <v>0</v>
      </c>
      <c r="W1102">
        <v>0.2</v>
      </c>
      <c r="X1102">
        <v>0</v>
      </c>
      <c r="Y1102">
        <v>0.46110000000000001</v>
      </c>
      <c r="Z1102">
        <v>1</v>
      </c>
    </row>
    <row r="1103" spans="1:26" x14ac:dyDescent="0.2">
      <c r="A1103" t="s">
        <v>95</v>
      </c>
      <c r="B1103">
        <v>2021</v>
      </c>
      <c r="C1103" t="str">
        <f t="shared" si="17"/>
        <v>LIX2021</v>
      </c>
      <c r="D1103">
        <v>1.2275719084042531E-13</v>
      </c>
      <c r="E1103">
        <v>0.2234228251502644</v>
      </c>
      <c r="F1103">
        <v>1.7541849784150529</v>
      </c>
      <c r="G1103">
        <v>27.786008972880939</v>
      </c>
      <c r="H1103">
        <v>1.496801133844303</v>
      </c>
      <c r="I1103">
        <v>0.35845108700626849</v>
      </c>
      <c r="J1103">
        <v>0.14737114990448161</v>
      </c>
      <c r="K1103">
        <v>0.18274061786471599</v>
      </c>
      <c r="L1103">
        <v>0.31616402510095032</v>
      </c>
      <c r="M1103">
        <v>28</v>
      </c>
      <c r="N1103">
        <v>0</v>
      </c>
      <c r="O1103">
        <v>0</v>
      </c>
      <c r="P1103">
        <v>0.51</v>
      </c>
      <c r="Q1103">
        <v>7.000000000000001E-4</v>
      </c>
      <c r="R1103">
        <v>0</v>
      </c>
      <c r="S1103">
        <v>0.51</v>
      </c>
      <c r="T1103">
        <v>0.51</v>
      </c>
      <c r="U1103">
        <v>5</v>
      </c>
      <c r="V1103">
        <v>0</v>
      </c>
      <c r="W1103">
        <v>0.2</v>
      </c>
      <c r="X1103">
        <v>0</v>
      </c>
      <c r="Y1103">
        <v>0.439</v>
      </c>
      <c r="Z1103">
        <v>1</v>
      </c>
    </row>
    <row r="1104" spans="1:26" x14ac:dyDescent="0.2">
      <c r="A1104" t="s">
        <v>95</v>
      </c>
      <c r="B1104">
        <v>2022</v>
      </c>
      <c r="C1104" t="str">
        <f t="shared" si="17"/>
        <v>LIX2022</v>
      </c>
      <c r="D1104">
        <v>1.404166864641396E-13</v>
      </c>
      <c r="E1104">
        <v>0.2513732051737661</v>
      </c>
      <c r="F1104">
        <v>1.391069886812109</v>
      </c>
      <c r="G1104">
        <v>27.83982883850587</v>
      </c>
      <c r="H1104">
        <v>1.7021843435240129</v>
      </c>
      <c r="I1104">
        <v>0.31169047516166809</v>
      </c>
      <c r="J1104">
        <v>5.5294490219232717E-2</v>
      </c>
      <c r="K1104">
        <v>0.15555904742202881</v>
      </c>
      <c r="L1104">
        <v>0.29904435913323618</v>
      </c>
      <c r="M1104">
        <v>29</v>
      </c>
      <c r="N1104">
        <v>0</v>
      </c>
      <c r="O1104">
        <v>0</v>
      </c>
      <c r="P1104">
        <v>0.51</v>
      </c>
      <c r="Q1104">
        <v>0</v>
      </c>
      <c r="R1104">
        <v>0</v>
      </c>
      <c r="S1104">
        <v>0.51</v>
      </c>
      <c r="T1104">
        <v>0.51</v>
      </c>
      <c r="U1104">
        <v>5</v>
      </c>
      <c r="V1104">
        <v>0</v>
      </c>
      <c r="W1104">
        <v>0</v>
      </c>
      <c r="X1104">
        <v>0</v>
      </c>
      <c r="Y1104">
        <v>0.42</v>
      </c>
      <c r="Z1104">
        <v>1</v>
      </c>
    </row>
    <row r="1105" spans="1:26" x14ac:dyDescent="0.2">
      <c r="A1105" t="s">
        <v>95</v>
      </c>
      <c r="B1105">
        <v>2023</v>
      </c>
      <c r="C1105" t="str">
        <f t="shared" si="17"/>
        <v>LIX2023</v>
      </c>
      <c r="D1105">
        <v>1705696945680.873</v>
      </c>
      <c r="E1105">
        <v>0.15190690324065831</v>
      </c>
      <c r="F1105">
        <v>9.997482227070936</v>
      </c>
      <c r="G1105">
        <v>27.898018214730381</v>
      </c>
      <c r="H1105">
        <v>2.019957666122171</v>
      </c>
      <c r="I1105">
        <v>4.2112141106084987E-2</v>
      </c>
      <c r="J1105">
        <v>5.9915699538902523E-2</v>
      </c>
      <c r="K1105">
        <v>0.19566573684868699</v>
      </c>
      <c r="L1105">
        <v>0.29150487776925987</v>
      </c>
      <c r="M1105">
        <v>30</v>
      </c>
      <c r="N1105">
        <v>0</v>
      </c>
      <c r="O1105">
        <v>0</v>
      </c>
      <c r="P1105">
        <v>0.51</v>
      </c>
      <c r="Q1105">
        <v>0</v>
      </c>
      <c r="R1105">
        <v>0</v>
      </c>
      <c r="S1105">
        <v>0.51</v>
      </c>
      <c r="T1105">
        <v>0.51</v>
      </c>
      <c r="U1105">
        <v>5</v>
      </c>
      <c r="V1105">
        <v>0</v>
      </c>
      <c r="W1105">
        <v>0</v>
      </c>
      <c r="X1105">
        <v>0</v>
      </c>
      <c r="Y1105">
        <v>0.42</v>
      </c>
      <c r="Z1105">
        <v>1</v>
      </c>
    </row>
    <row r="1106" spans="1:26" x14ac:dyDescent="0.2">
      <c r="A1106" t="s">
        <v>96</v>
      </c>
      <c r="B1106">
        <v>2012</v>
      </c>
      <c r="C1106" t="str">
        <f t="shared" si="17"/>
        <v>LSS2012</v>
      </c>
      <c r="D1106">
        <v>5.2004608916867873E-15</v>
      </c>
      <c r="E1106">
        <v>2.9644538130610801E-2</v>
      </c>
      <c r="F1106">
        <v>0.82047133305133668</v>
      </c>
      <c r="G1106">
        <v>28.61537114747539</v>
      </c>
      <c r="H1106">
        <v>2.4282556824849908</v>
      </c>
      <c r="I1106">
        <v>0.52339411955764381</v>
      </c>
      <c r="J1106">
        <v>0.22101466579448051</v>
      </c>
      <c r="K1106">
        <v>3.7798315083566368E-2</v>
      </c>
      <c r="L1106">
        <v>0.52815916665555729</v>
      </c>
      <c r="M1106">
        <v>18</v>
      </c>
      <c r="N1106">
        <v>0</v>
      </c>
      <c r="O1106">
        <v>0</v>
      </c>
      <c r="P1106">
        <v>0.26500000000000001</v>
      </c>
      <c r="Q1106">
        <v>3.6299999999999999E-2</v>
      </c>
      <c r="R1106">
        <v>0</v>
      </c>
      <c r="S1106">
        <v>0</v>
      </c>
      <c r="T1106">
        <v>0.26500000000000001</v>
      </c>
      <c r="U1106">
        <v>5</v>
      </c>
      <c r="V1106">
        <v>0</v>
      </c>
      <c r="W1106">
        <v>0.2</v>
      </c>
      <c r="X1106">
        <v>0</v>
      </c>
      <c r="Y1106">
        <v>0.51380000000000003</v>
      </c>
      <c r="Z1106">
        <v>1</v>
      </c>
    </row>
    <row r="1107" spans="1:26" x14ac:dyDescent="0.2">
      <c r="A1107" t="s">
        <v>96</v>
      </c>
      <c r="B1107">
        <v>2013</v>
      </c>
      <c r="C1107" t="str">
        <f t="shared" si="17"/>
        <v>LSS2013</v>
      </c>
      <c r="D1107">
        <v>8.7212914109480774E-15</v>
      </c>
      <c r="E1107">
        <v>3.224080283600788E-2</v>
      </c>
      <c r="F1107">
        <v>0.66992870511071534</v>
      </c>
      <c r="G1107">
        <v>28.411693419409328</v>
      </c>
      <c r="H1107">
        <v>1.099406248085673</v>
      </c>
      <c r="I1107">
        <v>0.40423190749542331</v>
      </c>
      <c r="J1107">
        <v>-0.1842747858261029</v>
      </c>
      <c r="K1107">
        <v>0.22199378328303279</v>
      </c>
      <c r="L1107">
        <v>0.63035641073288096</v>
      </c>
      <c r="M1107">
        <v>19</v>
      </c>
      <c r="N1107">
        <v>1</v>
      </c>
      <c r="O1107">
        <v>0</v>
      </c>
      <c r="P1107">
        <v>0.31950000000000001</v>
      </c>
      <c r="Q1107">
        <v>3.56E-2</v>
      </c>
      <c r="R1107">
        <v>0</v>
      </c>
      <c r="S1107">
        <v>0</v>
      </c>
      <c r="T1107">
        <v>0.31950000000000001</v>
      </c>
      <c r="U1107">
        <v>4</v>
      </c>
      <c r="V1107">
        <v>0</v>
      </c>
      <c r="W1107">
        <v>0.25</v>
      </c>
      <c r="X1107">
        <v>0</v>
      </c>
      <c r="Y1107">
        <v>0.50819999999999999</v>
      </c>
      <c r="Z1107">
        <v>1</v>
      </c>
    </row>
    <row r="1108" spans="1:26" x14ac:dyDescent="0.2">
      <c r="A1108" t="s">
        <v>96</v>
      </c>
      <c r="B1108">
        <v>2014</v>
      </c>
      <c r="C1108" t="str">
        <f t="shared" si="17"/>
        <v>LSS2014</v>
      </c>
      <c r="D1108">
        <v>9.2402474840469226E-15</v>
      </c>
      <c r="E1108">
        <v>3.165369736069111E-2</v>
      </c>
      <c r="F1108">
        <v>0.64219061245019216</v>
      </c>
      <c r="G1108">
        <v>28.438120118229762</v>
      </c>
      <c r="H1108">
        <v>1.117459689613473</v>
      </c>
      <c r="I1108">
        <v>0.34550054845294992</v>
      </c>
      <c r="J1108">
        <v>0</v>
      </c>
      <c r="K1108">
        <v>0.14403767708966619</v>
      </c>
      <c r="L1108">
        <v>0.60867343742869151</v>
      </c>
      <c r="M1108">
        <v>20</v>
      </c>
      <c r="N1108">
        <v>0</v>
      </c>
      <c r="O1108">
        <v>0</v>
      </c>
      <c r="P1108">
        <v>0.30299999999999999</v>
      </c>
      <c r="Q1108">
        <v>2.2800000000000001E-2</v>
      </c>
      <c r="R1108">
        <v>0</v>
      </c>
      <c r="S1108">
        <v>0</v>
      </c>
      <c r="T1108">
        <v>0.30299999999999999</v>
      </c>
      <c r="U1108">
        <v>5</v>
      </c>
      <c r="V1108">
        <v>0</v>
      </c>
      <c r="W1108">
        <v>0.2</v>
      </c>
      <c r="X1108">
        <v>0</v>
      </c>
      <c r="Y1108">
        <v>0.47249999999999998</v>
      </c>
      <c r="Z1108">
        <v>1</v>
      </c>
    </row>
    <row r="1109" spans="1:26" x14ac:dyDescent="0.2">
      <c r="A1109" t="s">
        <v>96</v>
      </c>
      <c r="B1109">
        <v>2015</v>
      </c>
      <c r="C1109" t="str">
        <f t="shared" si="17"/>
        <v>LSS2015</v>
      </c>
      <c r="D1109">
        <v>0</v>
      </c>
      <c r="E1109">
        <v>0</v>
      </c>
      <c r="F1109">
        <v>0.62905502690815307</v>
      </c>
      <c r="G1109">
        <v>28.625938487757939</v>
      </c>
      <c r="H1109" t="e">
        <v>#N/A</v>
      </c>
      <c r="I1109">
        <v>0.39611000981996441</v>
      </c>
      <c r="J1109">
        <v>0.20661433751408359</v>
      </c>
      <c r="K1109">
        <v>9.7722236842443272E-2</v>
      </c>
      <c r="L1109">
        <v>1</v>
      </c>
      <c r="M1109">
        <v>21</v>
      </c>
      <c r="N1109">
        <v>1</v>
      </c>
      <c r="O1109">
        <v>0</v>
      </c>
      <c r="P1109">
        <v>0.37780000000000002</v>
      </c>
      <c r="Q1109">
        <v>2.2800000000000001E-2</v>
      </c>
      <c r="R1109">
        <v>0</v>
      </c>
      <c r="S1109">
        <v>0</v>
      </c>
      <c r="T1109">
        <v>0.37780000000000002</v>
      </c>
      <c r="U1109">
        <v>5</v>
      </c>
      <c r="V1109">
        <v>0</v>
      </c>
      <c r="W1109">
        <v>0.2</v>
      </c>
      <c r="X1109">
        <v>0</v>
      </c>
      <c r="Y1109">
        <v>0.48249999999999998</v>
      </c>
      <c r="Z1109">
        <v>1</v>
      </c>
    </row>
    <row r="1110" spans="1:26" x14ac:dyDescent="0.2">
      <c r="A1110" t="s">
        <v>96</v>
      </c>
      <c r="B1110">
        <v>2016</v>
      </c>
      <c r="C1110" t="str">
        <f t="shared" si="17"/>
        <v>LSS2016</v>
      </c>
      <c r="D1110">
        <v>1.499447138533903E-14</v>
      </c>
      <c r="E1110">
        <v>6.0559672972398462E-2</v>
      </c>
      <c r="F1110">
        <v>0.66957647118013952</v>
      </c>
      <c r="G1110">
        <v>28.589670265720869</v>
      </c>
      <c r="H1110">
        <v>1.1749572157333541</v>
      </c>
      <c r="I1110">
        <v>0.35422136255152692</v>
      </c>
      <c r="J1110">
        <v>-3.5618409604939782E-2</v>
      </c>
      <c r="K1110">
        <v>0.10239128669030061</v>
      </c>
      <c r="L1110">
        <v>0.54776464058278695</v>
      </c>
      <c r="M1110">
        <v>22</v>
      </c>
      <c r="N1110">
        <v>1</v>
      </c>
      <c r="O1110">
        <v>0</v>
      </c>
      <c r="P1110">
        <v>0.4446</v>
      </c>
      <c r="Q1110">
        <v>2.9600000000000001E-2</v>
      </c>
      <c r="R1110">
        <v>0</v>
      </c>
      <c r="S1110">
        <v>0</v>
      </c>
      <c r="T1110">
        <v>0.4446</v>
      </c>
      <c r="U1110">
        <v>5</v>
      </c>
      <c r="V1110">
        <v>0</v>
      </c>
      <c r="W1110">
        <v>0.2</v>
      </c>
      <c r="X1110">
        <v>0</v>
      </c>
      <c r="Y1110">
        <v>0.48149999999999998</v>
      </c>
      <c r="Z1110">
        <v>1</v>
      </c>
    </row>
    <row r="1111" spans="1:26" x14ac:dyDescent="0.2">
      <c r="A1111" t="s">
        <v>96</v>
      </c>
      <c r="B1111">
        <v>2017</v>
      </c>
      <c r="C1111" t="str">
        <f t="shared" si="17"/>
        <v>LSS2017</v>
      </c>
      <c r="D1111">
        <v>1.6782473154770441E-14</v>
      </c>
      <c r="E1111">
        <v>8.8072656890187728E-2</v>
      </c>
      <c r="F1111">
        <v>0.72909931609504608</v>
      </c>
      <c r="G1111">
        <v>28.68339040372344</v>
      </c>
      <c r="H1111">
        <v>1.3010374406379339</v>
      </c>
      <c r="I1111">
        <v>0.45417548460411961</v>
      </c>
      <c r="J1111">
        <v>9.8252343809473786E-2</v>
      </c>
      <c r="K1111">
        <v>0.1026093708573052</v>
      </c>
      <c r="L1111">
        <v>0.52842961707335867</v>
      </c>
      <c r="M1111">
        <v>23</v>
      </c>
      <c r="N1111">
        <v>1</v>
      </c>
      <c r="O1111">
        <v>0</v>
      </c>
      <c r="P1111">
        <v>0.3574</v>
      </c>
      <c r="Q1111">
        <v>5.6300000000000003E-2</v>
      </c>
      <c r="R1111">
        <v>0</v>
      </c>
      <c r="S1111">
        <v>0</v>
      </c>
      <c r="T1111">
        <v>0.28839999999999999</v>
      </c>
      <c r="U1111">
        <v>5</v>
      </c>
      <c r="V1111">
        <v>0</v>
      </c>
      <c r="W1111">
        <v>0.2</v>
      </c>
      <c r="X1111">
        <v>0</v>
      </c>
      <c r="Y1111">
        <v>0.49149999999999999</v>
      </c>
      <c r="Z1111">
        <v>1</v>
      </c>
    </row>
    <row r="1112" spans="1:26" x14ac:dyDescent="0.2">
      <c r="A1112" t="s">
        <v>96</v>
      </c>
      <c r="B1112">
        <v>2018</v>
      </c>
      <c r="C1112" t="str">
        <f t="shared" si="17"/>
        <v>LSS2018</v>
      </c>
      <c r="D1112">
        <v>7.5982390789136038E-16</v>
      </c>
      <c r="E1112">
        <v>2.7114377817936061E-3</v>
      </c>
      <c r="F1112">
        <v>0.54564361701314679</v>
      </c>
      <c r="G1112">
        <v>28.472602154365561</v>
      </c>
      <c r="H1112">
        <v>1.1464060038059321</v>
      </c>
      <c r="I1112">
        <v>0.34985936323569911</v>
      </c>
      <c r="J1112">
        <v>-0.1900544447843511</v>
      </c>
      <c r="K1112">
        <v>-1.9712596405866419E-2</v>
      </c>
      <c r="L1112">
        <v>0.46437874072473467</v>
      </c>
      <c r="M1112">
        <v>24</v>
      </c>
      <c r="N1112">
        <v>1</v>
      </c>
      <c r="O1112">
        <v>0</v>
      </c>
      <c r="P1112">
        <v>0.3574</v>
      </c>
      <c r="Q1112">
        <v>7.51E-2</v>
      </c>
      <c r="R1112">
        <v>0</v>
      </c>
      <c r="S1112">
        <v>0</v>
      </c>
      <c r="T1112">
        <v>0.28839999999999999</v>
      </c>
      <c r="U1112">
        <v>5</v>
      </c>
      <c r="V1112">
        <v>0</v>
      </c>
      <c r="W1112">
        <v>0</v>
      </c>
      <c r="X1112">
        <v>0</v>
      </c>
      <c r="Y1112">
        <v>0.49909999999999999</v>
      </c>
      <c r="Z1112">
        <v>1</v>
      </c>
    </row>
    <row r="1113" spans="1:26" x14ac:dyDescent="0.2">
      <c r="A1113" t="s">
        <v>96</v>
      </c>
      <c r="B1113">
        <v>2019</v>
      </c>
      <c r="C1113" t="str">
        <f t="shared" si="17"/>
        <v>LSS2019</v>
      </c>
      <c r="D1113">
        <v>2.72916572082265E-16</v>
      </c>
      <c r="E1113">
        <v>8.7613608142674297E-4</v>
      </c>
      <c r="F1113">
        <v>0.45599875009440788</v>
      </c>
      <c r="G1113">
        <v>28.420581140345298</v>
      </c>
      <c r="H1113">
        <v>1.202593333469679</v>
      </c>
      <c r="I1113">
        <v>0.31394346823916253</v>
      </c>
      <c r="J1113">
        <v>-5.0691082163543462E-2</v>
      </c>
      <c r="K1113">
        <v>0.1904050709117279</v>
      </c>
      <c r="L1113">
        <v>0.55545117039363789</v>
      </c>
      <c r="M1113">
        <v>25</v>
      </c>
      <c r="N1113">
        <v>1</v>
      </c>
      <c r="O1113">
        <v>1</v>
      </c>
      <c r="P1113">
        <v>0.36259999999999998</v>
      </c>
      <c r="Q1113">
        <v>7.5300000000000006E-2</v>
      </c>
      <c r="R1113">
        <v>0</v>
      </c>
      <c r="S1113">
        <v>0</v>
      </c>
      <c r="T1113">
        <v>0.29299999999999998</v>
      </c>
      <c r="U1113">
        <v>5</v>
      </c>
      <c r="V1113">
        <v>0</v>
      </c>
      <c r="W1113">
        <v>0</v>
      </c>
      <c r="X1113">
        <v>0</v>
      </c>
      <c r="Y1113">
        <v>0.48330000000000001</v>
      </c>
      <c r="Z1113">
        <v>1</v>
      </c>
    </row>
    <row r="1114" spans="1:26" x14ac:dyDescent="0.2">
      <c r="A1114" t="s">
        <v>96</v>
      </c>
      <c r="B1114">
        <v>2020</v>
      </c>
      <c r="C1114" t="str">
        <f t="shared" si="17"/>
        <v>LSS2020</v>
      </c>
      <c r="D1114">
        <v>2.9900071548736181E-15</v>
      </c>
      <c r="E1114">
        <v>1.220510293587181E-2</v>
      </c>
      <c r="F1114">
        <v>0.59220222522130683</v>
      </c>
      <c r="G1114">
        <v>28.554563936741161</v>
      </c>
      <c r="H1114">
        <v>1.0530037013209299</v>
      </c>
      <c r="I1114">
        <v>0.38309209980843922</v>
      </c>
      <c r="J1114">
        <v>0.1433731493364043</v>
      </c>
      <c r="K1114">
        <v>0.16402897038715511</v>
      </c>
      <c r="L1114">
        <v>0.64983510676698519</v>
      </c>
      <c r="M1114">
        <v>26</v>
      </c>
      <c r="N1114">
        <v>1</v>
      </c>
      <c r="O1114">
        <v>1</v>
      </c>
      <c r="P1114">
        <v>0.3574</v>
      </c>
      <c r="Q1114">
        <v>7.5300000000000006E-2</v>
      </c>
      <c r="R1114">
        <v>0</v>
      </c>
      <c r="S1114">
        <v>0</v>
      </c>
      <c r="T1114">
        <v>0.28839999999999999</v>
      </c>
      <c r="U1114">
        <v>5</v>
      </c>
      <c r="V1114">
        <v>0</v>
      </c>
      <c r="W1114">
        <v>0</v>
      </c>
      <c r="X1114">
        <v>0</v>
      </c>
      <c r="Y1114">
        <v>0.49</v>
      </c>
      <c r="Z1114">
        <v>1</v>
      </c>
    </row>
    <row r="1115" spans="1:26" x14ac:dyDescent="0.2">
      <c r="A1115" t="s">
        <v>96</v>
      </c>
      <c r="B1115">
        <v>2021</v>
      </c>
      <c r="C1115" t="str">
        <f t="shared" si="17"/>
        <v>LSS2021</v>
      </c>
      <c r="D1115">
        <v>3.4912246810960902E-15</v>
      </c>
      <c r="E1115">
        <v>1.397363798128903E-2</v>
      </c>
      <c r="F1115">
        <v>0.78759223047604954</v>
      </c>
      <c r="G1115">
        <v>28.570437934269531</v>
      </c>
      <c r="H1115">
        <v>0.99269704497785227</v>
      </c>
      <c r="I1115">
        <v>0.36077779648070463</v>
      </c>
      <c r="J1115">
        <v>1.6000658746248231E-2</v>
      </c>
      <c r="K1115">
        <v>1.5459340770735941E-2</v>
      </c>
      <c r="L1115">
        <v>0.5991478539431514</v>
      </c>
      <c r="M1115">
        <v>27</v>
      </c>
      <c r="N1115">
        <v>1</v>
      </c>
      <c r="O1115">
        <v>0</v>
      </c>
      <c r="P1115">
        <v>0.28839999999999999</v>
      </c>
      <c r="Q1115">
        <v>3.8800000000000001E-2</v>
      </c>
      <c r="R1115">
        <v>0</v>
      </c>
      <c r="S1115">
        <v>0</v>
      </c>
      <c r="T1115">
        <v>0.28839999999999999</v>
      </c>
      <c r="U1115">
        <v>5</v>
      </c>
      <c r="V1115">
        <v>0</v>
      </c>
      <c r="W1115">
        <v>0.2</v>
      </c>
      <c r="X1115">
        <v>1</v>
      </c>
      <c r="Y1115">
        <v>0.46920000000000001</v>
      </c>
      <c r="Z1115">
        <v>1</v>
      </c>
    </row>
    <row r="1116" spans="1:26" x14ac:dyDescent="0.2">
      <c r="A1116" t="s">
        <v>96</v>
      </c>
      <c r="B1116">
        <v>2022</v>
      </c>
      <c r="C1116" t="str">
        <f t="shared" si="17"/>
        <v>LSS2022</v>
      </c>
      <c r="D1116">
        <v>6.9130453311535977E-15</v>
      </c>
      <c r="E1116">
        <v>2.7032097004767171E-2</v>
      </c>
      <c r="F1116">
        <v>0.53729827458483759</v>
      </c>
      <c r="G1116">
        <v>28.563996788127799</v>
      </c>
      <c r="H1116">
        <v>1.169455961154922</v>
      </c>
      <c r="I1116">
        <v>0.34990645522114933</v>
      </c>
      <c r="J1116">
        <v>-6.4204464270687378E-3</v>
      </c>
      <c r="K1116">
        <v>2.3201596636521299E-2</v>
      </c>
      <c r="L1116">
        <v>0.55551692419857379</v>
      </c>
      <c r="M1116">
        <v>28</v>
      </c>
      <c r="N1116">
        <v>1</v>
      </c>
      <c r="O1116">
        <v>0</v>
      </c>
      <c r="P1116">
        <v>0.28820000000000001</v>
      </c>
      <c r="Q1116">
        <v>6.8499999999999991E-2</v>
      </c>
      <c r="R1116">
        <v>0</v>
      </c>
      <c r="S1116">
        <v>0</v>
      </c>
      <c r="T1116">
        <v>0.28820000000000001</v>
      </c>
      <c r="U1116">
        <v>5</v>
      </c>
      <c r="V1116">
        <v>0</v>
      </c>
      <c r="W1116">
        <v>0.2</v>
      </c>
      <c r="X1116">
        <v>0</v>
      </c>
      <c r="Y1116">
        <v>0.48330000000000001</v>
      </c>
      <c r="Z1116">
        <v>1</v>
      </c>
    </row>
    <row r="1117" spans="1:26" x14ac:dyDescent="0.2">
      <c r="A1117" t="s">
        <v>96</v>
      </c>
      <c r="B1117">
        <v>2023</v>
      </c>
      <c r="C1117" t="str">
        <f t="shared" si="17"/>
        <v>LSS2023</v>
      </c>
      <c r="D1117">
        <v>159395866483.88779</v>
      </c>
      <c r="E1117">
        <v>1.5962884493836999E-2</v>
      </c>
      <c r="F1117">
        <v>0.66079650622133812</v>
      </c>
      <c r="G1117">
        <v>28.563996788127799</v>
      </c>
      <c r="H1117">
        <v>1.345785495678709</v>
      </c>
      <c r="I1117">
        <v>0.25750984090911971</v>
      </c>
      <c r="J1117">
        <v>0.16844458764092729</v>
      </c>
      <c r="K1117">
        <v>-1.2452186639948151E-2</v>
      </c>
      <c r="L1117">
        <v>0.51172184894746342</v>
      </c>
      <c r="M1117">
        <v>29</v>
      </c>
      <c r="N1117">
        <v>1</v>
      </c>
      <c r="O1117">
        <v>0</v>
      </c>
      <c r="P1117">
        <v>0.28820000000000001</v>
      </c>
      <c r="Q1117">
        <v>6.8499999999999991E-2</v>
      </c>
      <c r="R1117">
        <v>0</v>
      </c>
      <c r="S1117">
        <v>0</v>
      </c>
      <c r="T1117">
        <v>0.28820000000000001</v>
      </c>
      <c r="U1117">
        <v>5</v>
      </c>
      <c r="V1117">
        <v>0</v>
      </c>
      <c r="W1117">
        <v>0.2</v>
      </c>
      <c r="X1117">
        <v>0</v>
      </c>
      <c r="Y1117">
        <v>0.48330000000000001</v>
      </c>
      <c r="Z1117">
        <v>1</v>
      </c>
    </row>
    <row r="1118" spans="1:26" x14ac:dyDescent="0.2">
      <c r="A1118" t="s">
        <v>97</v>
      </c>
      <c r="B1118">
        <v>2012</v>
      </c>
      <c r="C1118" t="str">
        <f t="shared" si="17"/>
        <v>MCC2012</v>
      </c>
      <c r="D1118">
        <v>2.941645690839764E-12</v>
      </c>
      <c r="E1118">
        <v>0.17967496065000099</v>
      </c>
      <c r="F1118">
        <v>1.0729028900392199</v>
      </c>
      <c r="G1118">
        <v>24.75938619015885</v>
      </c>
      <c r="H1118">
        <v>3.9417072217131199</v>
      </c>
      <c r="I1118">
        <v>7.3239315114313933E-2</v>
      </c>
      <c r="J1118">
        <v>-7.4827538565713669E-2</v>
      </c>
      <c r="K1118">
        <v>0.11619619623219279</v>
      </c>
      <c r="L1118">
        <v>0.1565534631167893</v>
      </c>
      <c r="M1118">
        <v>6</v>
      </c>
      <c r="N1118">
        <v>0</v>
      </c>
      <c r="O1118">
        <v>0</v>
      </c>
      <c r="P1118">
        <v>0.61309999999999998</v>
      </c>
      <c r="Q1118">
        <v>4.1200000000000001E-2</v>
      </c>
      <c r="R1118">
        <v>0</v>
      </c>
      <c r="S1118">
        <v>0.35149999999999998</v>
      </c>
      <c r="T1118">
        <v>0.55759999999999998</v>
      </c>
      <c r="U1118">
        <v>5</v>
      </c>
      <c r="V1118">
        <v>0</v>
      </c>
      <c r="W1118">
        <v>0</v>
      </c>
      <c r="X1118">
        <v>0</v>
      </c>
      <c r="Y1118">
        <v>0.45400000000000001</v>
      </c>
      <c r="Z1118">
        <v>1</v>
      </c>
    </row>
    <row r="1119" spans="1:26" x14ac:dyDescent="0.2">
      <c r="A1119" t="s">
        <v>97</v>
      </c>
      <c r="B1119">
        <v>2013</v>
      </c>
      <c r="C1119" t="str">
        <f t="shared" si="17"/>
        <v>MCC2013</v>
      </c>
      <c r="D1119">
        <v>1.6414450764992049E-12</v>
      </c>
      <c r="E1119">
        <v>0.1237670383412566</v>
      </c>
      <c r="F1119">
        <v>1.2910192457135521</v>
      </c>
      <c r="G1119">
        <v>24.873800937310449</v>
      </c>
      <c r="H1119">
        <v>6.3030804891852119</v>
      </c>
      <c r="I1119">
        <v>0.15826410438686081</v>
      </c>
      <c r="J1119">
        <v>0.1212170500421252</v>
      </c>
      <c r="K1119">
        <v>0.1980260097293135</v>
      </c>
      <c r="L1119">
        <v>0.1132360147336189</v>
      </c>
      <c r="M1119">
        <v>7</v>
      </c>
      <c r="N1119">
        <v>0</v>
      </c>
      <c r="O1119">
        <v>0</v>
      </c>
      <c r="P1119">
        <v>0.61399999999999999</v>
      </c>
      <c r="Q1119">
        <v>4.1200000000000001E-2</v>
      </c>
      <c r="R1119">
        <v>0</v>
      </c>
      <c r="S1119">
        <v>0.35099999999999998</v>
      </c>
      <c r="T1119">
        <v>0.5585</v>
      </c>
      <c r="U1119">
        <v>5</v>
      </c>
      <c r="V1119">
        <v>0</v>
      </c>
      <c r="W1119">
        <v>0</v>
      </c>
      <c r="X1119">
        <v>0</v>
      </c>
      <c r="Y1119">
        <v>0.46400000000000002</v>
      </c>
      <c r="Z1119">
        <v>1</v>
      </c>
    </row>
    <row r="1120" spans="1:26" x14ac:dyDescent="0.2">
      <c r="A1120" t="s">
        <v>97</v>
      </c>
      <c r="B1120">
        <v>2014</v>
      </c>
      <c r="C1120" t="str">
        <f t="shared" si="17"/>
        <v>MCC2014</v>
      </c>
      <c r="D1120">
        <v>2.6809689832759629E-12</v>
      </c>
      <c r="E1120">
        <v>0.18950104920760261</v>
      </c>
      <c r="F1120">
        <v>1.044954456537468</v>
      </c>
      <c r="G1120">
        <v>24.849331129748251</v>
      </c>
      <c r="H1120">
        <v>3.5288155011975628</v>
      </c>
      <c r="I1120">
        <v>0.12379130342591529</v>
      </c>
      <c r="J1120">
        <v>-2.417284892579907E-2</v>
      </c>
      <c r="K1120">
        <v>0.14593574438669121</v>
      </c>
      <c r="L1120">
        <v>0.10638471132695811</v>
      </c>
      <c r="M1120">
        <v>8</v>
      </c>
      <c r="N1120">
        <v>0</v>
      </c>
      <c r="O1120">
        <v>0</v>
      </c>
      <c r="P1120">
        <v>0.49819999999999992</v>
      </c>
      <c r="Q1120">
        <v>3.6400000000000002E-2</v>
      </c>
      <c r="R1120">
        <v>0</v>
      </c>
      <c r="S1120">
        <v>0.30080000000000001</v>
      </c>
      <c r="T1120">
        <v>0.49819999999999992</v>
      </c>
      <c r="U1120">
        <v>5</v>
      </c>
      <c r="V1120">
        <v>0</v>
      </c>
      <c r="W1120">
        <v>0</v>
      </c>
      <c r="X1120">
        <v>0</v>
      </c>
      <c r="Y1120">
        <v>0.47360000000000002</v>
      </c>
      <c r="Z1120">
        <v>1</v>
      </c>
    </row>
    <row r="1121" spans="1:26" x14ac:dyDescent="0.2">
      <c r="A1121" t="s">
        <v>97</v>
      </c>
      <c r="B1121">
        <v>2015</v>
      </c>
      <c r="C1121" t="str">
        <f t="shared" si="17"/>
        <v>MCC2015</v>
      </c>
      <c r="D1121">
        <v>2.446490230447146E-12</v>
      </c>
      <c r="E1121">
        <v>0.18129417505826501</v>
      </c>
      <c r="F1121">
        <v>0.98715945647122716</v>
      </c>
      <c r="G1121">
        <v>24.925068403588011</v>
      </c>
      <c r="H1121">
        <v>3.4800150531012171</v>
      </c>
      <c r="I1121">
        <v>9.8471825030747043E-2</v>
      </c>
      <c r="J1121">
        <v>7.8679139697587441E-2</v>
      </c>
      <c r="K1121">
        <v>0.13807466678874811</v>
      </c>
      <c r="L1121">
        <v>9.8581037668061311E-2</v>
      </c>
      <c r="M1121">
        <v>9</v>
      </c>
      <c r="N1121">
        <v>0</v>
      </c>
      <c r="O1121">
        <v>0</v>
      </c>
      <c r="P1121">
        <v>0.49819999999999992</v>
      </c>
      <c r="Q1121">
        <v>3.0499999999999999E-2</v>
      </c>
      <c r="R1121">
        <v>0</v>
      </c>
      <c r="S1121">
        <v>0.30080000000000001</v>
      </c>
      <c r="T1121">
        <v>0.49819999999999992</v>
      </c>
      <c r="U1121">
        <v>4</v>
      </c>
      <c r="V1121">
        <v>0</v>
      </c>
      <c r="W1121">
        <v>0</v>
      </c>
      <c r="X1121">
        <v>0</v>
      </c>
      <c r="Y1121">
        <v>0.48599999999999999</v>
      </c>
      <c r="Z1121">
        <v>1</v>
      </c>
    </row>
    <row r="1122" spans="1:26" x14ac:dyDescent="0.2">
      <c r="A1122" t="s">
        <v>97</v>
      </c>
      <c r="B1122">
        <v>2016</v>
      </c>
      <c r="C1122" t="str">
        <f t="shared" si="17"/>
        <v>MCC2016</v>
      </c>
      <c r="D1122">
        <v>2.0798004641435779E-12</v>
      </c>
      <c r="E1122">
        <v>0.17483366283804819</v>
      </c>
      <c r="F1122">
        <v>1.162691437936046</v>
      </c>
      <c r="G1122">
        <v>25.03845189588046</v>
      </c>
      <c r="H1122">
        <v>4.0887302497019284</v>
      </c>
      <c r="I1122">
        <v>0.1098604283744402</v>
      </c>
      <c r="J1122">
        <v>0.1200613855058654</v>
      </c>
      <c r="K1122">
        <v>0.1880449531841154</v>
      </c>
      <c r="L1122">
        <v>8.5344851781635131E-2</v>
      </c>
      <c r="M1122">
        <v>10</v>
      </c>
      <c r="N1122">
        <v>0</v>
      </c>
      <c r="O1122">
        <v>0</v>
      </c>
      <c r="P1122">
        <v>0.49740000000000001</v>
      </c>
      <c r="Q1122">
        <v>2.9700000000000001E-2</v>
      </c>
      <c r="R1122">
        <v>0</v>
      </c>
      <c r="S1122">
        <v>0.30080000000000001</v>
      </c>
      <c r="T1122">
        <v>0.49740000000000001</v>
      </c>
      <c r="U1122">
        <v>5</v>
      </c>
      <c r="V1122">
        <v>0</v>
      </c>
      <c r="W1122">
        <v>0</v>
      </c>
      <c r="X1122">
        <v>0</v>
      </c>
      <c r="Y1122">
        <v>0.496</v>
      </c>
      <c r="Z1122">
        <v>1</v>
      </c>
    </row>
    <row r="1123" spans="1:26" x14ac:dyDescent="0.2">
      <c r="A1123" t="s">
        <v>97</v>
      </c>
      <c r="B1123">
        <v>2017</v>
      </c>
      <c r="C1123" t="str">
        <f t="shared" si="17"/>
        <v>MCC2017</v>
      </c>
      <c r="D1123">
        <v>7.7413122316122027E-13</v>
      </c>
      <c r="E1123">
        <v>0.1040446536990525</v>
      </c>
      <c r="F1123">
        <v>1.006838066524135</v>
      </c>
      <c r="G1123">
        <v>25.291796800590351</v>
      </c>
      <c r="H1123">
        <v>4.7449421777219154</v>
      </c>
      <c r="I1123">
        <v>0.28273010501116552</v>
      </c>
      <c r="J1123">
        <v>0.28832755045422997</v>
      </c>
      <c r="K1123">
        <v>7.4344390179709438E-2</v>
      </c>
      <c r="L1123">
        <v>5.9552337077502467E-2</v>
      </c>
      <c r="M1123">
        <v>11</v>
      </c>
      <c r="N1123">
        <v>0</v>
      </c>
      <c r="O1123">
        <v>0</v>
      </c>
      <c r="P1123">
        <v>0.48899999999999999</v>
      </c>
      <c r="Q1123">
        <v>9.0700000000000003E-2</v>
      </c>
      <c r="R1123">
        <v>0</v>
      </c>
      <c r="S1123">
        <v>0.30080000000000001</v>
      </c>
      <c r="T1123">
        <v>0.36530000000000001</v>
      </c>
      <c r="U1123">
        <v>5</v>
      </c>
      <c r="V1123">
        <v>0</v>
      </c>
      <c r="W1123">
        <v>0</v>
      </c>
      <c r="X1123">
        <v>0</v>
      </c>
      <c r="Y1123">
        <v>0.50600000000000001</v>
      </c>
      <c r="Z1123">
        <v>1</v>
      </c>
    </row>
    <row r="1124" spans="1:26" x14ac:dyDescent="0.2">
      <c r="A1124" t="s">
        <v>97</v>
      </c>
      <c r="B1124">
        <v>2018</v>
      </c>
      <c r="C1124" t="str">
        <f t="shared" si="17"/>
        <v>MCC2018</v>
      </c>
      <c r="D1124">
        <v>7.0807125619795361E-13</v>
      </c>
      <c r="E1124">
        <v>7.0220930650287269E-2</v>
      </c>
      <c r="F1124">
        <v>0.94030189744280701</v>
      </c>
      <c r="G1124">
        <v>25.144410931949778</v>
      </c>
      <c r="H1124">
        <v>1.216655251829345</v>
      </c>
      <c r="I1124">
        <v>0.16114035504808169</v>
      </c>
      <c r="J1124">
        <v>-0.1370390763955204</v>
      </c>
      <c r="K1124">
        <v>0.10275332801155521</v>
      </c>
      <c r="L1124">
        <v>6.2070990047023197E-2</v>
      </c>
      <c r="M1124">
        <v>12</v>
      </c>
      <c r="N1124">
        <v>0</v>
      </c>
      <c r="O1124">
        <v>0</v>
      </c>
      <c r="P1124">
        <v>0.50409999999999999</v>
      </c>
      <c r="Q1124">
        <v>8.9900000000000008E-2</v>
      </c>
      <c r="R1124">
        <v>0</v>
      </c>
      <c r="S1124">
        <v>0.30080000000000001</v>
      </c>
      <c r="T1124">
        <v>0.38040000000000002</v>
      </c>
      <c r="U1124">
        <v>5</v>
      </c>
      <c r="V1124">
        <v>0</v>
      </c>
      <c r="W1124">
        <v>0</v>
      </c>
      <c r="X1124">
        <v>0</v>
      </c>
      <c r="Y1124">
        <v>0.51600000000000001</v>
      </c>
      <c r="Z1124">
        <v>1</v>
      </c>
    </row>
    <row r="1125" spans="1:26" x14ac:dyDescent="0.2">
      <c r="A1125" t="s">
        <v>97</v>
      </c>
      <c r="B1125">
        <v>2019</v>
      </c>
      <c r="C1125" t="str">
        <f t="shared" si="17"/>
        <v>MCC2019</v>
      </c>
      <c r="D1125">
        <v>9.7479187918825192E-13</v>
      </c>
      <c r="E1125">
        <v>9.2404989436492682E-2</v>
      </c>
      <c r="F1125">
        <v>0.85188837606671153</v>
      </c>
      <c r="G1125">
        <v>25.12650713258147</v>
      </c>
      <c r="H1125">
        <v>1.636039347984007</v>
      </c>
      <c r="I1125">
        <v>0.13797496670747661</v>
      </c>
      <c r="J1125">
        <v>-1.774447858508799E-2</v>
      </c>
      <c r="K1125">
        <v>0.15575297061528989</v>
      </c>
      <c r="L1125">
        <v>5.1425052120580558E-2</v>
      </c>
      <c r="M1125">
        <v>13</v>
      </c>
      <c r="N1125">
        <v>0</v>
      </c>
      <c r="O1125">
        <v>1</v>
      </c>
      <c r="P1125">
        <v>0.50409999999999999</v>
      </c>
      <c r="Q1125">
        <v>9.0700000000000003E-2</v>
      </c>
      <c r="R1125">
        <v>0</v>
      </c>
      <c r="S1125">
        <v>0.30080000000000001</v>
      </c>
      <c r="T1125">
        <v>0.38040000000000002</v>
      </c>
      <c r="U1125">
        <v>5</v>
      </c>
      <c r="V1125">
        <v>0</v>
      </c>
      <c r="W1125">
        <v>0</v>
      </c>
      <c r="X1125">
        <v>0</v>
      </c>
      <c r="Y1125">
        <v>0.52600000000000002</v>
      </c>
      <c r="Z1125">
        <v>1</v>
      </c>
    </row>
    <row r="1126" spans="1:26" x14ac:dyDescent="0.2">
      <c r="A1126" t="s">
        <v>97</v>
      </c>
      <c r="B1126">
        <v>2020</v>
      </c>
      <c r="C1126" t="str">
        <f t="shared" si="17"/>
        <v>MCC2020</v>
      </c>
      <c r="D1126">
        <v>3.2491787371880419E-13</v>
      </c>
      <c r="E1126">
        <v>3.4581830179183627E-2</v>
      </c>
      <c r="F1126">
        <v>1.016989574366947</v>
      </c>
      <c r="G1126">
        <v>25.17655693673704</v>
      </c>
      <c r="H1126">
        <v>1.579468492628185</v>
      </c>
      <c r="I1126">
        <v>0.1928293168922747</v>
      </c>
      <c r="J1126">
        <v>5.1323455349091329E-2</v>
      </c>
      <c r="K1126">
        <v>-1.539615920291921E-2</v>
      </c>
      <c r="L1126">
        <v>3.834439380982254E-2</v>
      </c>
      <c r="M1126">
        <v>14</v>
      </c>
      <c r="N1126">
        <v>0</v>
      </c>
      <c r="O1126">
        <v>1</v>
      </c>
      <c r="P1126">
        <v>0.74950000000000006</v>
      </c>
      <c r="Q1126">
        <v>6.9900000000000004E-2</v>
      </c>
      <c r="R1126">
        <v>0</v>
      </c>
      <c r="S1126">
        <v>0.30080000000000001</v>
      </c>
      <c r="T1126">
        <v>0.30080000000000001</v>
      </c>
      <c r="U1126">
        <v>4</v>
      </c>
      <c r="V1126">
        <v>0</v>
      </c>
      <c r="W1126">
        <v>0.25</v>
      </c>
      <c r="X1126">
        <v>0</v>
      </c>
      <c r="Y1126">
        <v>0.52560000000000007</v>
      </c>
      <c r="Z1126">
        <v>1</v>
      </c>
    </row>
    <row r="1127" spans="1:26" x14ac:dyDescent="0.2">
      <c r="A1127" t="s">
        <v>97</v>
      </c>
      <c r="B1127">
        <v>2021</v>
      </c>
      <c r="C1127" t="str">
        <f t="shared" si="17"/>
        <v>MCC2021</v>
      </c>
      <c r="D1127">
        <v>2.4762201060267321E-13</v>
      </c>
      <c r="E1127">
        <v>3.0122424731539019E-2</v>
      </c>
      <c r="F1127">
        <v>0.84196406730420226</v>
      </c>
      <c r="G1127">
        <v>25.255404411602729</v>
      </c>
      <c r="H1127">
        <v>1.4190405212036989</v>
      </c>
      <c r="I1127">
        <v>0.23584388655722191</v>
      </c>
      <c r="J1127">
        <v>8.2039271298262939E-2</v>
      </c>
      <c r="K1127">
        <v>9.8065304686901264E-2</v>
      </c>
      <c r="L1127">
        <v>2.937693735055737E-2</v>
      </c>
      <c r="M1127">
        <v>15</v>
      </c>
      <c r="N1127">
        <v>0</v>
      </c>
      <c r="O1127">
        <v>0</v>
      </c>
      <c r="P1127">
        <v>0.75090000000000001</v>
      </c>
      <c r="Q1127">
        <v>8.1500000000000003E-2</v>
      </c>
      <c r="R1127">
        <v>0</v>
      </c>
      <c r="S1127">
        <v>0.30080000000000001</v>
      </c>
      <c r="T1127">
        <v>0.30080000000000001</v>
      </c>
      <c r="U1127">
        <v>5</v>
      </c>
      <c r="V1127">
        <v>0</v>
      </c>
      <c r="W1127">
        <v>0.4</v>
      </c>
      <c r="X1127">
        <v>0</v>
      </c>
      <c r="Y1127">
        <v>0.51400000000000001</v>
      </c>
      <c r="Z1127">
        <v>1</v>
      </c>
    </row>
    <row r="1128" spans="1:26" x14ac:dyDescent="0.2">
      <c r="A1128" t="s">
        <v>97</v>
      </c>
      <c r="B1128">
        <v>2022</v>
      </c>
      <c r="C1128" t="str">
        <f t="shared" si="17"/>
        <v>MCC2022</v>
      </c>
      <c r="D1128">
        <v>4.6125584091619193E-13</v>
      </c>
      <c r="E1128">
        <v>4.9482262858450622E-2</v>
      </c>
      <c r="F1128">
        <v>0.75645080564146205</v>
      </c>
      <c r="G1128">
        <v>25.189139884951629</v>
      </c>
      <c r="H1128">
        <v>1.2364898528676549</v>
      </c>
      <c r="I1128">
        <v>0.18904494994689611</v>
      </c>
      <c r="J1128">
        <v>-6.4116734521218244E-2</v>
      </c>
      <c r="K1128">
        <v>-9.976423920439504E-3</v>
      </c>
      <c r="L1128">
        <v>1.91826115414039E-2</v>
      </c>
      <c r="M1128">
        <v>16</v>
      </c>
      <c r="N1128">
        <v>0</v>
      </c>
      <c r="O1128">
        <v>0</v>
      </c>
      <c r="P1128">
        <v>0.84889999999999999</v>
      </c>
      <c r="Q1128">
        <v>8.1500000000000003E-2</v>
      </c>
      <c r="R1128">
        <v>0</v>
      </c>
      <c r="S1128">
        <v>0.30080000000000001</v>
      </c>
      <c r="T1128">
        <v>0.30080000000000001</v>
      </c>
      <c r="U1128">
        <v>5</v>
      </c>
      <c r="V1128">
        <v>0</v>
      </c>
      <c r="W1128">
        <v>0.4</v>
      </c>
      <c r="X1128">
        <v>0</v>
      </c>
      <c r="Y1128">
        <v>0.52400000000000002</v>
      </c>
      <c r="Z1128">
        <v>1</v>
      </c>
    </row>
    <row r="1129" spans="1:26" x14ac:dyDescent="0.2">
      <c r="A1129" t="s">
        <v>97</v>
      </c>
      <c r="B1129">
        <v>2023</v>
      </c>
      <c r="C1129" t="str">
        <f t="shared" si="17"/>
        <v>MCC2023</v>
      </c>
      <c r="D1129">
        <v>6397563650.3489046</v>
      </c>
      <c r="E1129">
        <v>1.794658434459404E-3</v>
      </c>
      <c r="F1129">
        <v>0.71664067740893955</v>
      </c>
      <c r="G1129">
        <v>25.212724491139209</v>
      </c>
      <c r="H1129">
        <v>1.4902853654798209</v>
      </c>
      <c r="I1129">
        <v>4.4906878810002653E-2</v>
      </c>
      <c r="J1129">
        <v>2.386492238989657E-2</v>
      </c>
      <c r="K1129">
        <v>-2.1406193702003719E-3</v>
      </c>
      <c r="L1129">
        <v>1.427958601974144E-2</v>
      </c>
      <c r="M1129">
        <v>17</v>
      </c>
      <c r="N1129">
        <v>0</v>
      </c>
      <c r="O1129">
        <v>0</v>
      </c>
      <c r="P1129">
        <v>0.84889999999999999</v>
      </c>
      <c r="Q1129">
        <v>8.1500000000000003E-2</v>
      </c>
      <c r="R1129">
        <v>0</v>
      </c>
      <c r="S1129">
        <v>0.30080000000000001</v>
      </c>
      <c r="T1129">
        <v>0.30080000000000001</v>
      </c>
      <c r="U1129">
        <v>5</v>
      </c>
      <c r="V1129">
        <v>0</v>
      </c>
      <c r="W1129">
        <v>0.4</v>
      </c>
      <c r="X1129">
        <v>0</v>
      </c>
      <c r="Y1129">
        <v>0.52400000000000002</v>
      </c>
      <c r="Z1129">
        <v>1</v>
      </c>
    </row>
    <row r="1130" spans="1:26" x14ac:dyDescent="0.2">
      <c r="A1130" t="s">
        <v>98</v>
      </c>
      <c r="B1130">
        <v>2012</v>
      </c>
      <c r="C1130" t="str">
        <f t="shared" si="17"/>
        <v>MCP2012</v>
      </c>
      <c r="D1130">
        <v>2.7235853010902372E-13</v>
      </c>
      <c r="E1130">
        <v>0.13037309165401481</v>
      </c>
      <c r="F1130">
        <v>0.89493995149102346</v>
      </c>
      <c r="G1130">
        <v>26.343326502077261</v>
      </c>
      <c r="H1130">
        <v>1.7569752981687361</v>
      </c>
      <c r="I1130">
        <v>0.42361276776116252</v>
      </c>
      <c r="J1130">
        <v>-9.5548083325939115E-2</v>
      </c>
      <c r="K1130">
        <v>0.13429424709879251</v>
      </c>
      <c r="L1130">
        <v>0.34653270288570659</v>
      </c>
      <c r="M1130">
        <v>13</v>
      </c>
      <c r="N1130">
        <v>0</v>
      </c>
      <c r="O1130">
        <v>0</v>
      </c>
      <c r="P1130">
        <v>0.55600000000000005</v>
      </c>
      <c r="Q1130">
        <v>0.1731</v>
      </c>
      <c r="R1130">
        <v>0</v>
      </c>
      <c r="S1130">
        <v>0.39889999999999998</v>
      </c>
      <c r="T1130">
        <v>0.39889999999999998</v>
      </c>
      <c r="U1130">
        <v>5</v>
      </c>
      <c r="V1130">
        <v>0</v>
      </c>
      <c r="W1130">
        <v>0</v>
      </c>
      <c r="X1130">
        <v>0</v>
      </c>
      <c r="Y1130">
        <v>0.5363</v>
      </c>
      <c r="Z1130">
        <v>1</v>
      </c>
    </row>
    <row r="1131" spans="1:26" x14ac:dyDescent="0.2">
      <c r="A1131" t="s">
        <v>98</v>
      </c>
      <c r="B1131">
        <v>2013</v>
      </c>
      <c r="C1131" t="str">
        <f t="shared" si="17"/>
        <v>MCP2013</v>
      </c>
      <c r="D1131">
        <v>2.2763009195033182E-13</v>
      </c>
      <c r="E1131">
        <v>0.1432285097680159</v>
      </c>
      <c r="F1131">
        <v>1.0170131211874021</v>
      </c>
      <c r="G1131">
        <v>26.49482394005955</v>
      </c>
      <c r="H1131">
        <v>1.744503756630984</v>
      </c>
      <c r="I1131">
        <v>0.48978169377636638</v>
      </c>
      <c r="J1131">
        <v>0.16357532070526809</v>
      </c>
      <c r="K1131">
        <v>0.14061658983614669</v>
      </c>
      <c r="L1131">
        <v>0.38030426537698442</v>
      </c>
      <c r="M1131">
        <v>14</v>
      </c>
      <c r="N1131">
        <v>0</v>
      </c>
      <c r="O1131">
        <v>0</v>
      </c>
      <c r="P1131">
        <v>0.61699999999999999</v>
      </c>
      <c r="Q1131">
        <v>0.22900000000000001</v>
      </c>
      <c r="R1131">
        <v>0</v>
      </c>
      <c r="S1131">
        <v>0.39889999999999998</v>
      </c>
      <c r="T1131">
        <v>0.39889999999999998</v>
      </c>
      <c r="U1131">
        <v>5</v>
      </c>
      <c r="V1131">
        <v>0</v>
      </c>
      <c r="W1131">
        <v>0</v>
      </c>
      <c r="X1131">
        <v>0</v>
      </c>
      <c r="Y1131">
        <v>0.54630000000000001</v>
      </c>
      <c r="Z1131">
        <v>1</v>
      </c>
    </row>
    <row r="1132" spans="1:26" x14ac:dyDescent="0.2">
      <c r="A1132" t="s">
        <v>98</v>
      </c>
      <c r="B1132">
        <v>2014</v>
      </c>
      <c r="C1132" t="str">
        <f t="shared" si="17"/>
        <v>MCP2014</v>
      </c>
      <c r="D1132">
        <v>9.1825658268907155E-14</v>
      </c>
      <c r="E1132">
        <v>8.0462785606600945E-2</v>
      </c>
      <c r="F1132">
        <v>0.99731583851075656</v>
      </c>
      <c r="G1132">
        <v>26.641947235719691</v>
      </c>
      <c r="H1132">
        <v>1.390289622307527</v>
      </c>
      <c r="I1132">
        <v>0.57555672363021038</v>
      </c>
      <c r="J1132">
        <v>0.15849679185131271</v>
      </c>
      <c r="K1132">
        <v>-1.522000076165702E-2</v>
      </c>
      <c r="L1132">
        <v>0.28518817689845161</v>
      </c>
      <c r="M1132">
        <v>15</v>
      </c>
      <c r="N1132">
        <v>0</v>
      </c>
      <c r="O1132">
        <v>0</v>
      </c>
      <c r="P1132">
        <v>0.61709999999999998</v>
      </c>
      <c r="Q1132">
        <v>0.2271</v>
      </c>
      <c r="R1132">
        <v>0</v>
      </c>
      <c r="S1132">
        <v>0.3911</v>
      </c>
      <c r="T1132">
        <v>0.3911</v>
      </c>
      <c r="U1132">
        <v>5</v>
      </c>
      <c r="V1132">
        <v>0</v>
      </c>
      <c r="W1132">
        <v>0</v>
      </c>
      <c r="X1132">
        <v>0</v>
      </c>
      <c r="Y1132">
        <v>0.55630000000000002</v>
      </c>
      <c r="Z1132">
        <v>1</v>
      </c>
    </row>
    <row r="1133" spans="1:26" x14ac:dyDescent="0.2">
      <c r="A1133" t="s">
        <v>98</v>
      </c>
      <c r="B1133">
        <v>2015</v>
      </c>
      <c r="C1133" t="str">
        <f t="shared" si="17"/>
        <v>MCP2015</v>
      </c>
      <c r="D1133">
        <v>1.6552122867089999E-13</v>
      </c>
      <c r="E1133">
        <v>8.7092749214397483E-2</v>
      </c>
      <c r="F1133">
        <v>0.69901871446123709</v>
      </c>
      <c r="G1133">
        <v>26.514769909688859</v>
      </c>
      <c r="H1133">
        <v>1.504893593584993</v>
      </c>
      <c r="I1133">
        <v>0.37757079464596482</v>
      </c>
      <c r="J1133">
        <v>-0.1194224905629228</v>
      </c>
      <c r="K1133">
        <v>0.14050370360835879</v>
      </c>
      <c r="L1133">
        <v>0.41466049605300548</v>
      </c>
      <c r="M1133">
        <v>16</v>
      </c>
      <c r="N1133">
        <v>0</v>
      </c>
      <c r="O1133">
        <v>0</v>
      </c>
      <c r="P1133">
        <v>0.62539999999999996</v>
      </c>
      <c r="Q1133">
        <v>0.65319999999999989</v>
      </c>
      <c r="R1133">
        <v>0</v>
      </c>
      <c r="S1133">
        <v>0.3901</v>
      </c>
      <c r="T1133">
        <v>0.3901</v>
      </c>
      <c r="U1133">
        <v>5</v>
      </c>
      <c r="V1133">
        <v>0</v>
      </c>
      <c r="W1133">
        <v>0</v>
      </c>
      <c r="X1133">
        <v>0</v>
      </c>
      <c r="Y1133">
        <v>0.56630000000000003</v>
      </c>
      <c r="Z1133">
        <v>1</v>
      </c>
    </row>
    <row r="1134" spans="1:26" x14ac:dyDescent="0.2">
      <c r="A1134" t="s">
        <v>98</v>
      </c>
      <c r="B1134">
        <v>2016</v>
      </c>
      <c r="C1134" t="str">
        <f t="shared" si="17"/>
        <v>MCP2016</v>
      </c>
      <c r="D1134">
        <v>2.2951013255309651E-13</v>
      </c>
      <c r="E1134">
        <v>0.105002041571355</v>
      </c>
      <c r="F1134">
        <v>1.338090795406693</v>
      </c>
      <c r="G1134">
        <v>26.453570739865221</v>
      </c>
      <c r="H1134">
        <v>1.847100045167384</v>
      </c>
      <c r="I1134">
        <v>0.3266452632342926</v>
      </c>
      <c r="J1134">
        <v>-5.9364125163389403E-2</v>
      </c>
      <c r="K1134">
        <v>0.18565428243811999</v>
      </c>
      <c r="L1134">
        <v>0.36867773942999649</v>
      </c>
      <c r="M1134">
        <v>17</v>
      </c>
      <c r="N1134">
        <v>0</v>
      </c>
      <c r="O1134">
        <v>0</v>
      </c>
      <c r="P1134">
        <v>0.62539999999999996</v>
      </c>
      <c r="Q1134">
        <v>0.26250000000000001</v>
      </c>
      <c r="R1134">
        <v>0</v>
      </c>
      <c r="S1134">
        <v>0.3901</v>
      </c>
      <c r="T1134">
        <v>0.3901</v>
      </c>
      <c r="U1134">
        <v>5</v>
      </c>
      <c r="V1134">
        <v>0</v>
      </c>
      <c r="W1134">
        <v>0</v>
      </c>
      <c r="X1134">
        <v>0</v>
      </c>
      <c r="Y1134">
        <v>0.57630000000000003</v>
      </c>
      <c r="Z1134">
        <v>1</v>
      </c>
    </row>
    <row r="1135" spans="1:26" x14ac:dyDescent="0.2">
      <c r="A1135" t="s">
        <v>98</v>
      </c>
      <c r="B1135">
        <v>2017</v>
      </c>
      <c r="C1135" t="str">
        <f t="shared" si="17"/>
        <v>MCP2017</v>
      </c>
      <c r="D1135">
        <v>2.470136819569802E-13</v>
      </c>
      <c r="E1135">
        <v>0.11658645530381249</v>
      </c>
      <c r="F1135">
        <v>1.588418454652335</v>
      </c>
      <c r="G1135">
        <v>26.468842055044309</v>
      </c>
      <c r="H1135">
        <v>2.2263580536071661</v>
      </c>
      <c r="I1135">
        <v>0.33725729208722371</v>
      </c>
      <c r="J1135">
        <v>1.538851756423831E-2</v>
      </c>
      <c r="K1135">
        <v>9.5689926395588321E-2</v>
      </c>
      <c r="L1135">
        <v>0.30644083961311808</v>
      </c>
      <c r="M1135">
        <v>18</v>
      </c>
      <c r="N1135">
        <v>0</v>
      </c>
      <c r="O1135">
        <v>0</v>
      </c>
      <c r="P1135">
        <v>0.62660000000000005</v>
      </c>
      <c r="Q1135">
        <v>0.26250000000000001</v>
      </c>
      <c r="R1135">
        <v>0</v>
      </c>
      <c r="S1135">
        <v>0.39129999999999998</v>
      </c>
      <c r="T1135">
        <v>0.39129999999999998</v>
      </c>
      <c r="U1135">
        <v>5</v>
      </c>
      <c r="V1135">
        <v>0</v>
      </c>
      <c r="W1135">
        <v>0</v>
      </c>
      <c r="X1135">
        <v>0</v>
      </c>
      <c r="Y1135">
        <v>0.57289999999999996</v>
      </c>
      <c r="Z1135">
        <v>1</v>
      </c>
    </row>
    <row r="1136" spans="1:26" x14ac:dyDescent="0.2">
      <c r="A1136" t="s">
        <v>98</v>
      </c>
      <c r="B1136">
        <v>2018</v>
      </c>
      <c r="C1136" t="str">
        <f t="shared" si="17"/>
        <v>MCP2018</v>
      </c>
      <c r="D1136">
        <v>3.1206273066364738E-13</v>
      </c>
      <c r="E1136">
        <v>0.1052622762056082</v>
      </c>
      <c r="F1136">
        <v>1.522155207844978</v>
      </c>
      <c r="G1136">
        <v>26.303718324768521</v>
      </c>
      <c r="H1136">
        <v>2.0979862632924591</v>
      </c>
      <c r="I1136">
        <v>0.21380754908794911</v>
      </c>
      <c r="J1136">
        <v>-0.15221119954391649</v>
      </c>
      <c r="K1136">
        <v>0.18962355413006399</v>
      </c>
      <c r="L1136">
        <v>0.29609365548825389</v>
      </c>
      <c r="M1136">
        <v>19</v>
      </c>
      <c r="N1136">
        <v>0</v>
      </c>
      <c r="O1136">
        <v>0</v>
      </c>
      <c r="P1136">
        <v>0.32929999999999998</v>
      </c>
      <c r="Q1136">
        <v>0.2903</v>
      </c>
      <c r="R1136">
        <v>0</v>
      </c>
      <c r="S1136">
        <v>0</v>
      </c>
      <c r="T1136">
        <v>0</v>
      </c>
      <c r="U1136">
        <v>7</v>
      </c>
      <c r="V1136">
        <v>0</v>
      </c>
      <c r="W1136">
        <v>0</v>
      </c>
      <c r="X1136">
        <v>0</v>
      </c>
      <c r="Y1136">
        <v>0.54</v>
      </c>
      <c r="Z1136">
        <v>1</v>
      </c>
    </row>
    <row r="1137" spans="1:26" x14ac:dyDescent="0.2">
      <c r="A1137" t="s">
        <v>98</v>
      </c>
      <c r="B1137">
        <v>2019</v>
      </c>
      <c r="C1137" t="str">
        <f t="shared" si="17"/>
        <v>MCP2019</v>
      </c>
      <c r="D1137">
        <v>1.0979438158580119E-14</v>
      </c>
      <c r="E1137">
        <v>5.0580857651328619E-3</v>
      </c>
      <c r="F1137">
        <v>1.0315865974383041</v>
      </c>
      <c r="G1137">
        <v>26.426746442621418</v>
      </c>
      <c r="H1137">
        <v>3.226725476050738</v>
      </c>
      <c r="I1137">
        <v>0.34899536208157761</v>
      </c>
      <c r="J1137">
        <v>0.130916219436332</v>
      </c>
      <c r="K1137">
        <v>0.1547521132159122</v>
      </c>
      <c r="L1137">
        <v>0.21512912033755899</v>
      </c>
      <c r="M1137">
        <v>20</v>
      </c>
      <c r="N1137">
        <v>0</v>
      </c>
      <c r="O1137">
        <v>1</v>
      </c>
      <c r="P1137">
        <v>0.52469999999999994</v>
      </c>
      <c r="Q1137">
        <v>0.2903</v>
      </c>
      <c r="R1137">
        <v>0</v>
      </c>
      <c r="S1137">
        <v>0</v>
      </c>
      <c r="T1137">
        <v>0</v>
      </c>
      <c r="U1137">
        <v>7</v>
      </c>
      <c r="V1137">
        <v>0</v>
      </c>
      <c r="W1137">
        <v>0</v>
      </c>
      <c r="X1137">
        <v>1</v>
      </c>
      <c r="Y1137">
        <v>0.51500000000000001</v>
      </c>
      <c r="Z1137">
        <v>1</v>
      </c>
    </row>
    <row r="1138" spans="1:26" x14ac:dyDescent="0.2">
      <c r="A1138" t="s">
        <v>98</v>
      </c>
      <c r="B1138">
        <v>2020</v>
      </c>
      <c r="C1138" t="str">
        <f t="shared" si="17"/>
        <v>MCP2020</v>
      </c>
      <c r="D1138">
        <v>1.3859286350819451E-13</v>
      </c>
      <c r="E1138">
        <v>8.9999744878038135E-2</v>
      </c>
      <c r="F1138">
        <v>1.393545890361723</v>
      </c>
      <c r="G1138">
        <v>26.645229859364601</v>
      </c>
      <c r="H1138">
        <v>2.2135316134460812</v>
      </c>
      <c r="I1138">
        <v>0.42538641869415827</v>
      </c>
      <c r="J1138">
        <v>0.2441883837605916</v>
      </c>
      <c r="K1138">
        <v>1.0563306108478899E-3</v>
      </c>
      <c r="L1138">
        <v>0.13243714324270189</v>
      </c>
      <c r="M1138">
        <v>21</v>
      </c>
      <c r="N1138">
        <v>0</v>
      </c>
      <c r="O1138">
        <v>1</v>
      </c>
      <c r="P1138">
        <v>0.52469999999999994</v>
      </c>
      <c r="Q1138">
        <v>0</v>
      </c>
      <c r="R1138">
        <v>0</v>
      </c>
      <c r="S1138">
        <v>0</v>
      </c>
      <c r="T1138">
        <v>0</v>
      </c>
      <c r="U1138">
        <v>3</v>
      </c>
      <c r="V1138">
        <v>0</v>
      </c>
      <c r="W1138">
        <v>0.33333333333333331</v>
      </c>
      <c r="X1138">
        <v>1</v>
      </c>
      <c r="Y1138">
        <v>0.43330000000000002</v>
      </c>
      <c r="Z1138">
        <v>1</v>
      </c>
    </row>
    <row r="1139" spans="1:26" x14ac:dyDescent="0.2">
      <c r="A1139" t="s">
        <v>98</v>
      </c>
      <c r="B1139">
        <v>2021</v>
      </c>
      <c r="C1139" t="str">
        <f t="shared" si="17"/>
        <v>MCP2021</v>
      </c>
      <c r="D1139">
        <v>2.0275947669574251E-13</v>
      </c>
      <c r="E1139">
        <v>0.1013100732701222</v>
      </c>
      <c r="F1139">
        <v>1.617163989640104</v>
      </c>
      <c r="G1139">
        <v>26.533795685919241</v>
      </c>
      <c r="H1139">
        <v>2.0134780723658272</v>
      </c>
      <c r="I1139">
        <v>0.3319490551483803</v>
      </c>
      <c r="J1139">
        <v>-0.1054497253722687</v>
      </c>
      <c r="K1139">
        <v>1.014585514827261E-2</v>
      </c>
      <c r="L1139">
        <v>0.1068771421988669</v>
      </c>
      <c r="M1139">
        <v>22</v>
      </c>
      <c r="N1139">
        <v>0</v>
      </c>
      <c r="O1139">
        <v>0</v>
      </c>
      <c r="P1139">
        <v>0.25190000000000001</v>
      </c>
      <c r="Q1139">
        <v>0.29449999999999998</v>
      </c>
      <c r="R1139">
        <v>0</v>
      </c>
      <c r="S1139">
        <v>0</v>
      </c>
      <c r="T1139">
        <v>0</v>
      </c>
      <c r="U1139">
        <v>3</v>
      </c>
      <c r="V1139">
        <v>0</v>
      </c>
      <c r="W1139">
        <v>0.33333333333333331</v>
      </c>
      <c r="X1139">
        <v>1</v>
      </c>
      <c r="Y1139">
        <v>0.44330000000000003</v>
      </c>
      <c r="Z1139">
        <v>1</v>
      </c>
    </row>
    <row r="1140" spans="1:26" x14ac:dyDescent="0.2">
      <c r="A1140" t="s">
        <v>98</v>
      </c>
      <c r="B1140">
        <v>2022</v>
      </c>
      <c r="C1140" t="str">
        <f t="shared" si="17"/>
        <v>MCP2022</v>
      </c>
      <c r="D1140">
        <v>1.1630893258833691E-13</v>
      </c>
      <c r="E1140">
        <v>4.8611516111617528E-2</v>
      </c>
      <c r="F1140">
        <v>1.028298412410608</v>
      </c>
      <c r="G1140">
        <v>26.464380799227659</v>
      </c>
      <c r="H1140">
        <v>2.207131881103821</v>
      </c>
      <c r="I1140">
        <v>0.25491048507361808</v>
      </c>
      <c r="J1140">
        <v>-6.7060464424151034E-2</v>
      </c>
      <c r="K1140">
        <v>6.0671187971887607E-2</v>
      </c>
      <c r="L1140">
        <v>0.111195304562338</v>
      </c>
      <c r="M1140">
        <v>23</v>
      </c>
      <c r="N1140">
        <v>0</v>
      </c>
      <c r="O1140">
        <v>0</v>
      </c>
      <c r="P1140">
        <v>0.79180000000000006</v>
      </c>
      <c r="Q1140">
        <v>0.29449999999999998</v>
      </c>
      <c r="R1140">
        <v>0</v>
      </c>
      <c r="S1140">
        <v>0</v>
      </c>
      <c r="T1140">
        <v>0</v>
      </c>
      <c r="U1140">
        <v>3</v>
      </c>
      <c r="V1140">
        <v>0</v>
      </c>
      <c r="W1140">
        <v>0.33333333333333331</v>
      </c>
      <c r="X1140">
        <v>1</v>
      </c>
      <c r="Y1140">
        <v>0.44290000000000002</v>
      </c>
      <c r="Z1140">
        <v>1</v>
      </c>
    </row>
    <row r="1141" spans="1:26" x14ac:dyDescent="0.2">
      <c r="A1141" t="s">
        <v>98</v>
      </c>
      <c r="B1141">
        <v>2023</v>
      </c>
      <c r="C1141" t="str">
        <f t="shared" si="17"/>
        <v>MCP2023</v>
      </c>
      <c r="D1141">
        <v>79025720027.367981</v>
      </c>
      <c r="E1141">
        <v>5.9953344084647683E-2</v>
      </c>
      <c r="F1141">
        <v>1.5604832965215361</v>
      </c>
      <c r="G1141">
        <v>26.488722370824188</v>
      </c>
      <c r="H1141">
        <v>2.798553082869867</v>
      </c>
      <c r="I1141">
        <v>8.8249534833344231E-2</v>
      </c>
      <c r="J1141">
        <v>2.4640246129181701E-2</v>
      </c>
      <c r="K1141">
        <v>0.1083852440950679</v>
      </c>
      <c r="L1141">
        <v>8.1345576360434074E-2</v>
      </c>
      <c r="M1141">
        <v>24</v>
      </c>
      <c r="N1141">
        <v>0</v>
      </c>
      <c r="O1141">
        <v>0</v>
      </c>
      <c r="P1141">
        <v>0.79180000000000006</v>
      </c>
      <c r="Q1141">
        <v>0.29449999999999998</v>
      </c>
      <c r="R1141">
        <v>0</v>
      </c>
      <c r="S1141">
        <v>0</v>
      </c>
      <c r="T1141">
        <v>0</v>
      </c>
      <c r="U1141">
        <v>3</v>
      </c>
      <c r="V1141">
        <v>0</v>
      </c>
      <c r="W1141">
        <v>0.33333333333333331</v>
      </c>
      <c r="X1141">
        <v>1</v>
      </c>
      <c r="Y1141">
        <v>0.44290000000000002</v>
      </c>
      <c r="Z1141">
        <v>1</v>
      </c>
    </row>
    <row r="1142" spans="1:26" x14ac:dyDescent="0.2">
      <c r="A1142" t="s">
        <v>99</v>
      </c>
      <c r="B1142">
        <v>2017</v>
      </c>
      <c r="C1142" t="str">
        <f t="shared" si="17"/>
        <v>MED2017</v>
      </c>
      <c r="D1142">
        <v>1.376433842484867E-13</v>
      </c>
      <c r="E1142">
        <v>0.2846894305754642</v>
      </c>
      <c r="F1142">
        <v>0.89427442895923537</v>
      </c>
      <c r="G1142">
        <v>27.035092250636719</v>
      </c>
      <c r="H1142" t="e">
        <v>#N/A</v>
      </c>
      <c r="I1142">
        <v>0.73357475087230883</v>
      </c>
      <c r="J1142">
        <v>0</v>
      </c>
      <c r="K1142">
        <v>4.8391707855203123E-2</v>
      </c>
      <c r="L1142">
        <v>9.7443347871916802E-2</v>
      </c>
      <c r="M1142">
        <v>12</v>
      </c>
      <c r="N1142">
        <v>0</v>
      </c>
      <c r="O1142">
        <v>0</v>
      </c>
      <c r="P1142">
        <v>0.11360000000000001</v>
      </c>
      <c r="Q1142">
        <v>1.55E-2</v>
      </c>
      <c r="R1142">
        <v>0</v>
      </c>
      <c r="S1142">
        <v>0.11360000000000001</v>
      </c>
      <c r="T1142">
        <v>0.11360000000000001</v>
      </c>
      <c r="U1142">
        <v>5</v>
      </c>
      <c r="V1142">
        <v>0</v>
      </c>
      <c r="W1142">
        <v>0.2</v>
      </c>
      <c r="X1142">
        <v>1</v>
      </c>
      <c r="Y1142">
        <v>0.5171</v>
      </c>
      <c r="Z1142">
        <v>0.8</v>
      </c>
    </row>
    <row r="1143" spans="1:26" x14ac:dyDescent="0.2">
      <c r="A1143" t="s">
        <v>99</v>
      </c>
      <c r="B1143">
        <v>2018</v>
      </c>
      <c r="C1143" t="str">
        <f t="shared" si="17"/>
        <v>MED2018</v>
      </c>
      <c r="D1143">
        <v>1.4157408654397349E-13</v>
      </c>
      <c r="E1143">
        <v>0.27320123441007871</v>
      </c>
      <c r="F1143">
        <v>1.0759123525043559</v>
      </c>
      <c r="G1143">
        <v>26.995054070460309</v>
      </c>
      <c r="H1143">
        <v>1.195757559492435</v>
      </c>
      <c r="I1143">
        <v>0.72565052569161148</v>
      </c>
      <c r="J1143">
        <v>-3.9247243257675923E-2</v>
      </c>
      <c r="K1143">
        <v>1.3434857238803071E-2</v>
      </c>
      <c r="L1143">
        <v>0.10350033249991521</v>
      </c>
      <c r="M1143">
        <v>13</v>
      </c>
      <c r="N1143">
        <v>0</v>
      </c>
      <c r="O1143">
        <v>0</v>
      </c>
      <c r="P1143">
        <v>0.63880000000000003</v>
      </c>
      <c r="Q1143">
        <v>0</v>
      </c>
      <c r="R1143">
        <v>0</v>
      </c>
      <c r="S1143">
        <v>0.1137</v>
      </c>
      <c r="T1143">
        <v>0.1137</v>
      </c>
      <c r="U1143">
        <v>7</v>
      </c>
      <c r="V1143">
        <v>1</v>
      </c>
      <c r="W1143">
        <v>0.14285714285714279</v>
      </c>
      <c r="X1143">
        <v>0</v>
      </c>
      <c r="Y1143">
        <v>0.495</v>
      </c>
      <c r="Z1143">
        <v>0.8571428571428571</v>
      </c>
    </row>
    <row r="1144" spans="1:26" x14ac:dyDescent="0.2">
      <c r="A1144" t="s">
        <v>99</v>
      </c>
      <c r="B1144">
        <v>2019</v>
      </c>
      <c r="C1144" t="str">
        <f t="shared" si="17"/>
        <v>MED2019</v>
      </c>
      <c r="D1144">
        <v>1.108484460948343E-13</v>
      </c>
      <c r="E1144">
        <v>0.21245044871336621</v>
      </c>
      <c r="F1144">
        <v>1.0024296789852261</v>
      </c>
      <c r="G1144">
        <v>27.067263106166411</v>
      </c>
      <c r="H1144">
        <v>1.2098918937849781</v>
      </c>
      <c r="I1144">
        <v>0.70308306829667855</v>
      </c>
      <c r="J1144">
        <v>7.4880008883143834E-2</v>
      </c>
      <c r="K1144">
        <v>0.20586620198873129</v>
      </c>
      <c r="L1144">
        <v>0.1010200008893284</v>
      </c>
      <c r="M1144">
        <v>14</v>
      </c>
      <c r="N1144">
        <v>0</v>
      </c>
      <c r="O1144">
        <v>1</v>
      </c>
      <c r="P1144">
        <v>0.63859999999999995</v>
      </c>
      <c r="Q1144">
        <v>0.1326</v>
      </c>
      <c r="R1144">
        <v>0</v>
      </c>
      <c r="S1144">
        <v>0.1137</v>
      </c>
      <c r="T1144">
        <v>0.1137</v>
      </c>
      <c r="U1144">
        <v>7</v>
      </c>
      <c r="V1144">
        <v>1</v>
      </c>
      <c r="W1144">
        <v>0.14285714285714279</v>
      </c>
      <c r="X1144">
        <v>0</v>
      </c>
      <c r="Y1144">
        <v>0.4617</v>
      </c>
      <c r="Z1144">
        <v>0.8571428571428571</v>
      </c>
    </row>
    <row r="1145" spans="1:26" x14ac:dyDescent="0.2">
      <c r="A1145" t="s">
        <v>99</v>
      </c>
      <c r="B1145">
        <v>2020</v>
      </c>
      <c r="C1145" t="str">
        <f t="shared" si="17"/>
        <v>MED2020</v>
      </c>
      <c r="D1145">
        <v>8.9335510722249E-14</v>
      </c>
      <c r="E1145">
        <v>0.13433921729412271</v>
      </c>
      <c r="F1145">
        <v>1.120742033858704</v>
      </c>
      <c r="G1145">
        <v>26.982563759861321</v>
      </c>
      <c r="H1145">
        <v>1.1720215472183331</v>
      </c>
      <c r="I1145">
        <v>0.65230386790209882</v>
      </c>
      <c r="J1145">
        <v>-8.1211519968883858E-2</v>
      </c>
      <c r="K1145">
        <v>0.17735419096032101</v>
      </c>
      <c r="L1145">
        <v>0.12594154043239281</v>
      </c>
      <c r="M1145">
        <v>15</v>
      </c>
      <c r="N1145">
        <v>0</v>
      </c>
      <c r="O1145">
        <v>1</v>
      </c>
      <c r="P1145">
        <v>0.63859999999999995</v>
      </c>
      <c r="Q1145">
        <v>0.14829999999999999</v>
      </c>
      <c r="R1145">
        <v>0</v>
      </c>
      <c r="S1145">
        <v>0.1137</v>
      </c>
      <c r="T1145">
        <v>0.1137</v>
      </c>
      <c r="U1145">
        <v>7</v>
      </c>
      <c r="V1145">
        <v>0</v>
      </c>
      <c r="W1145">
        <v>0.14285714285714279</v>
      </c>
      <c r="X1145">
        <v>0</v>
      </c>
      <c r="Y1145">
        <v>0.47170000000000001</v>
      </c>
      <c r="Z1145">
        <v>0.8571428571428571</v>
      </c>
    </row>
    <row r="1146" spans="1:26" x14ac:dyDescent="0.2">
      <c r="A1146" t="s">
        <v>99</v>
      </c>
      <c r="B1146">
        <v>2021</v>
      </c>
      <c r="C1146" t="str">
        <f t="shared" si="17"/>
        <v>MED2021</v>
      </c>
      <c r="D1146">
        <v>1.444753633549377E-14</v>
      </c>
      <c r="E1146">
        <v>2.1849960950573101E-2</v>
      </c>
      <c r="F1146">
        <v>1.044197582276277</v>
      </c>
      <c r="G1146">
        <v>26.938927940871601</v>
      </c>
      <c r="H1146">
        <v>1.2090325671341069</v>
      </c>
      <c r="I1146">
        <v>0.66904352417571666</v>
      </c>
      <c r="J1146">
        <v>-4.2697474600872913E-2</v>
      </c>
      <c r="K1146">
        <v>0.13081651533158309</v>
      </c>
      <c r="L1146">
        <v>0.23271150830139489</v>
      </c>
      <c r="M1146">
        <v>16</v>
      </c>
      <c r="N1146">
        <v>0</v>
      </c>
      <c r="O1146">
        <v>0</v>
      </c>
      <c r="P1146">
        <v>0.69589999999999985</v>
      </c>
      <c r="Q1146">
        <v>8.1500000000000003E-2</v>
      </c>
      <c r="R1146">
        <v>0</v>
      </c>
      <c r="S1146">
        <v>0.1137</v>
      </c>
      <c r="T1146">
        <v>0.1137</v>
      </c>
      <c r="U1146">
        <v>7</v>
      </c>
      <c r="V1146">
        <v>0</v>
      </c>
      <c r="W1146">
        <v>0.14285714285714279</v>
      </c>
      <c r="X1146">
        <v>0</v>
      </c>
      <c r="Y1146">
        <v>0.49909999999999999</v>
      </c>
      <c r="Z1146">
        <v>0.8571428571428571</v>
      </c>
    </row>
    <row r="1147" spans="1:26" x14ac:dyDescent="0.2">
      <c r="A1147" t="s">
        <v>99</v>
      </c>
      <c r="B1147">
        <v>2022</v>
      </c>
      <c r="C1147" t="str">
        <f t="shared" si="17"/>
        <v>MED2022</v>
      </c>
      <c r="D1147">
        <v>1.236405493549088E-14</v>
      </c>
      <c r="E1147">
        <v>1.8721341561170109E-2</v>
      </c>
      <c r="F1147">
        <v>0.91252492750942382</v>
      </c>
      <c r="G1147">
        <v>27.27132277786356</v>
      </c>
      <c r="H1147">
        <v>1.0286380226571601</v>
      </c>
      <c r="I1147">
        <v>0.53909761457929328</v>
      </c>
      <c r="J1147">
        <v>0.39430326234947638</v>
      </c>
      <c r="K1147">
        <v>-6.1124002853679173E-3</v>
      </c>
      <c r="L1147">
        <v>0.2819147909457293</v>
      </c>
      <c r="M1147">
        <v>17</v>
      </c>
      <c r="N1147">
        <v>0</v>
      </c>
      <c r="O1147">
        <v>0</v>
      </c>
      <c r="P1147">
        <v>0.70369999999999999</v>
      </c>
      <c r="Q1147">
        <v>0.14710000000000001</v>
      </c>
      <c r="R1147">
        <v>0</v>
      </c>
      <c r="S1147">
        <v>0.115</v>
      </c>
      <c r="T1147">
        <v>0.115</v>
      </c>
      <c r="U1147">
        <v>7</v>
      </c>
      <c r="V1147">
        <v>0</v>
      </c>
      <c r="W1147">
        <v>0.14285714285714279</v>
      </c>
      <c r="X1147">
        <v>0</v>
      </c>
      <c r="Y1147">
        <v>0.5091</v>
      </c>
      <c r="Z1147">
        <v>0.8571428571428571</v>
      </c>
    </row>
    <row r="1148" spans="1:26" x14ac:dyDescent="0.2">
      <c r="A1148" t="s">
        <v>99</v>
      </c>
      <c r="B1148">
        <v>2023</v>
      </c>
      <c r="C1148" t="str">
        <f t="shared" si="17"/>
        <v>MED2023</v>
      </c>
      <c r="D1148">
        <v>-82759532817.254074</v>
      </c>
      <c r="E1148">
        <v>2.1976218992784419E-2</v>
      </c>
      <c r="F1148">
        <v>0.64837297174565656</v>
      </c>
      <c r="G1148">
        <v>27.118283711071431</v>
      </c>
      <c r="H1148">
        <v>1.213392986041375</v>
      </c>
      <c r="I1148">
        <v>0.1076440718869715</v>
      </c>
      <c r="J1148">
        <v>-0.14190380190922949</v>
      </c>
      <c r="K1148">
        <v>-6.228204696632763E-2</v>
      </c>
      <c r="L1148">
        <v>0.35689561351572813</v>
      </c>
      <c r="M1148">
        <v>18</v>
      </c>
      <c r="N1148">
        <v>0</v>
      </c>
      <c r="O1148">
        <v>0</v>
      </c>
      <c r="P1148">
        <v>0.70369999999999999</v>
      </c>
      <c r="Q1148">
        <v>0.14710000000000001</v>
      </c>
      <c r="R1148">
        <v>0</v>
      </c>
      <c r="S1148">
        <v>0.115</v>
      </c>
      <c r="T1148">
        <v>0.115</v>
      </c>
      <c r="U1148">
        <v>7</v>
      </c>
      <c r="V1148">
        <v>0</v>
      </c>
      <c r="W1148">
        <v>0.14285714285714279</v>
      </c>
      <c r="X1148">
        <v>0</v>
      </c>
      <c r="Y1148">
        <v>0.5091</v>
      </c>
      <c r="Z1148">
        <v>0.8571428571428571</v>
      </c>
    </row>
    <row r="1149" spans="1:26" x14ac:dyDescent="0.2">
      <c r="A1149" t="s">
        <v>100</v>
      </c>
      <c r="B1149">
        <v>2012</v>
      </c>
      <c r="C1149" t="str">
        <f t="shared" si="17"/>
        <v>MKV2012</v>
      </c>
      <c r="D1149">
        <v>-6.5598002603599684E-12</v>
      </c>
      <c r="E1149">
        <v>-0.22820234527121239</v>
      </c>
      <c r="F1149">
        <v>0.97678324469734235</v>
      </c>
      <c r="G1149">
        <v>23.636700670485599</v>
      </c>
      <c r="H1149">
        <v>1.8067220085771369</v>
      </c>
      <c r="I1149">
        <v>0.47050826690290959</v>
      </c>
      <c r="J1149">
        <v>-5.3838179782986988E-2</v>
      </c>
      <c r="K1149">
        <v>0.15745958328008541</v>
      </c>
      <c r="L1149">
        <v>0.33524188917373632</v>
      </c>
      <c r="M1149">
        <v>14</v>
      </c>
      <c r="N1149">
        <v>0</v>
      </c>
      <c r="O1149">
        <v>0</v>
      </c>
      <c r="P1149">
        <v>0.15579999999999999</v>
      </c>
      <c r="Q1149">
        <v>5.1399999999999987E-2</v>
      </c>
      <c r="R1149">
        <v>0</v>
      </c>
      <c r="S1149">
        <v>0</v>
      </c>
      <c r="T1149">
        <v>0</v>
      </c>
      <c r="U1149">
        <v>5</v>
      </c>
      <c r="V1149">
        <v>0</v>
      </c>
      <c r="W1149">
        <v>0.4</v>
      </c>
      <c r="X1149">
        <v>0</v>
      </c>
      <c r="Y1149">
        <v>0.40400000000000003</v>
      </c>
      <c r="Z1149">
        <v>0.8</v>
      </c>
    </row>
    <row r="1150" spans="1:26" x14ac:dyDescent="0.2">
      <c r="A1150" t="s">
        <v>100</v>
      </c>
      <c r="B1150">
        <v>2013</v>
      </c>
      <c r="C1150" t="str">
        <f t="shared" si="17"/>
        <v>MKV2013</v>
      </c>
      <c r="D1150">
        <v>1.8572882052428791E-13</v>
      </c>
      <c r="E1150">
        <v>3.4918691830076953E-2</v>
      </c>
      <c r="F1150">
        <v>0.95473413130322804</v>
      </c>
      <c r="G1150">
        <v>24.942697918924921</v>
      </c>
      <c r="H1150">
        <v>1.2724202057917879</v>
      </c>
      <c r="I1150">
        <v>0.63834255860666245</v>
      </c>
      <c r="J1150">
        <v>2.725420386626749</v>
      </c>
      <c r="K1150">
        <v>-0.16231228661829811</v>
      </c>
      <c r="L1150">
        <v>0.57556873154864918</v>
      </c>
      <c r="M1150">
        <v>15</v>
      </c>
      <c r="N1150">
        <v>0</v>
      </c>
      <c r="O1150">
        <v>0</v>
      </c>
      <c r="P1150">
        <v>0.7087</v>
      </c>
      <c r="Q1150">
        <v>1.1999999999999999E-3</v>
      </c>
      <c r="R1150">
        <v>0.57189999999999996</v>
      </c>
      <c r="S1150">
        <v>0</v>
      </c>
      <c r="T1150">
        <v>0.7087</v>
      </c>
      <c r="U1150">
        <v>5</v>
      </c>
      <c r="V1150">
        <v>0</v>
      </c>
      <c r="W1150">
        <v>0</v>
      </c>
      <c r="X1150">
        <v>0</v>
      </c>
      <c r="Y1150">
        <v>0.42559999999999998</v>
      </c>
      <c r="Z1150">
        <v>1</v>
      </c>
    </row>
    <row r="1151" spans="1:26" x14ac:dyDescent="0.2">
      <c r="A1151" t="s">
        <v>100</v>
      </c>
      <c r="B1151">
        <v>2014</v>
      </c>
      <c r="C1151" t="str">
        <f t="shared" si="17"/>
        <v>MKV2014</v>
      </c>
      <c r="D1151">
        <v>4.0004414824983981E-13</v>
      </c>
      <c r="E1151">
        <v>9.0161588983998106E-2</v>
      </c>
      <c r="F1151">
        <v>0.96724231306151942</v>
      </c>
      <c r="G1151">
        <v>25.080589036357601</v>
      </c>
      <c r="H1151">
        <v>1.391163467144362</v>
      </c>
      <c r="I1151">
        <v>0.65370375178602502</v>
      </c>
      <c r="J1151">
        <v>0.1373587234194478</v>
      </c>
      <c r="K1151">
        <v>7.6824926871509906E-3</v>
      </c>
      <c r="L1151">
        <v>0.53886861348811577</v>
      </c>
      <c r="M1151">
        <v>16</v>
      </c>
      <c r="N1151">
        <v>0</v>
      </c>
      <c r="O1151">
        <v>0</v>
      </c>
      <c r="P1151">
        <v>0.7087</v>
      </c>
      <c r="Q1151">
        <v>1.1999999999999999E-3</v>
      </c>
      <c r="R1151">
        <v>0.57189999999999996</v>
      </c>
      <c r="S1151">
        <v>0</v>
      </c>
      <c r="T1151">
        <v>0.7087</v>
      </c>
      <c r="U1151">
        <v>5</v>
      </c>
      <c r="V1151">
        <v>0</v>
      </c>
      <c r="W1151">
        <v>0</v>
      </c>
      <c r="X1151">
        <v>0</v>
      </c>
      <c r="Y1151">
        <v>0.41670000000000001</v>
      </c>
      <c r="Z1151">
        <v>1</v>
      </c>
    </row>
    <row r="1152" spans="1:26" x14ac:dyDescent="0.2">
      <c r="A1152" t="s">
        <v>100</v>
      </c>
      <c r="B1152">
        <v>2015</v>
      </c>
      <c r="C1152" t="str">
        <f t="shared" si="17"/>
        <v>MKV2015</v>
      </c>
      <c r="D1152">
        <v>1.6956448862612489E-13</v>
      </c>
      <c r="E1152">
        <v>3.7124264003753807E-2</v>
      </c>
      <c r="F1152">
        <v>0.95409399768927894</v>
      </c>
      <c r="G1152">
        <v>25.085008929224479</v>
      </c>
      <c r="H1152">
        <v>1.2616638636322159</v>
      </c>
      <c r="I1152">
        <v>0.6419381852124294</v>
      </c>
      <c r="J1152">
        <v>4.4296750000365481E-3</v>
      </c>
      <c r="K1152">
        <v>3.4604905123586972E-2</v>
      </c>
      <c r="L1152">
        <v>0.52691898723702535</v>
      </c>
      <c r="M1152">
        <v>17</v>
      </c>
      <c r="N1152">
        <v>0</v>
      </c>
      <c r="O1152">
        <v>0</v>
      </c>
      <c r="P1152">
        <v>0.70209999999999995</v>
      </c>
      <c r="Q1152">
        <v>1.1999999999999999E-3</v>
      </c>
      <c r="R1152">
        <v>0.57189999999999996</v>
      </c>
      <c r="S1152">
        <v>0</v>
      </c>
      <c r="T1152">
        <v>0.57189999999999996</v>
      </c>
      <c r="U1152">
        <v>5</v>
      </c>
      <c r="V1152">
        <v>0</v>
      </c>
      <c r="W1152">
        <v>0</v>
      </c>
      <c r="X1152">
        <v>0</v>
      </c>
      <c r="Y1152">
        <v>0.4325</v>
      </c>
      <c r="Z1152">
        <v>1</v>
      </c>
    </row>
    <row r="1153" spans="1:26" x14ac:dyDescent="0.2">
      <c r="A1153" t="s">
        <v>100</v>
      </c>
      <c r="B1153">
        <v>2016</v>
      </c>
      <c r="C1153" t="str">
        <f t="shared" si="17"/>
        <v>MKV2016</v>
      </c>
      <c r="D1153">
        <v>1.2297439103097101E-13</v>
      </c>
      <c r="E1153">
        <v>3.9448910221978613E-2</v>
      </c>
      <c r="F1153">
        <v>1.269395813674759</v>
      </c>
      <c r="G1153">
        <v>25.596442702473269</v>
      </c>
      <c r="H1153">
        <v>0.96654717910810783</v>
      </c>
      <c r="I1153">
        <v>0.59245694905321267</v>
      </c>
      <c r="J1153">
        <v>0.66768055740530519</v>
      </c>
      <c r="K1153">
        <v>-0.20036618898194661</v>
      </c>
      <c r="L1153">
        <v>0.56942548075685606</v>
      </c>
      <c r="M1153">
        <v>18</v>
      </c>
      <c r="N1153">
        <v>0</v>
      </c>
      <c r="O1153">
        <v>0</v>
      </c>
      <c r="P1153">
        <v>0.78509999999999991</v>
      </c>
      <c r="Q1153">
        <v>7.000000000000001E-4</v>
      </c>
      <c r="R1153">
        <v>0</v>
      </c>
      <c r="S1153">
        <v>0</v>
      </c>
      <c r="T1153">
        <v>0.57179999999999997</v>
      </c>
      <c r="U1153">
        <v>5</v>
      </c>
      <c r="V1153">
        <v>0</v>
      </c>
      <c r="W1153">
        <v>0</v>
      </c>
      <c r="X1153">
        <v>0</v>
      </c>
      <c r="Y1153">
        <v>0.4425</v>
      </c>
      <c r="Z1153">
        <v>1</v>
      </c>
    </row>
    <row r="1154" spans="1:26" x14ac:dyDescent="0.2">
      <c r="A1154" t="s">
        <v>100</v>
      </c>
      <c r="B1154">
        <v>2017</v>
      </c>
      <c r="C1154" t="str">
        <f t="shared" si="17"/>
        <v>MKV2017</v>
      </c>
      <c r="D1154">
        <v>1.060780416130241E-14</v>
      </c>
      <c r="E1154">
        <v>3.6901107714496129E-3</v>
      </c>
      <c r="F1154">
        <v>1.015081365406078</v>
      </c>
      <c r="G1154">
        <v>25.624530854449869</v>
      </c>
      <c r="H1154">
        <v>1.046194213403401</v>
      </c>
      <c r="I1154">
        <v>0.61347424109324733</v>
      </c>
      <c r="J1154">
        <v>2.848634352956592E-2</v>
      </c>
      <c r="K1154">
        <v>2.678625107281387E-2</v>
      </c>
      <c r="L1154">
        <v>0.55438578577068665</v>
      </c>
      <c r="M1154">
        <v>19</v>
      </c>
      <c r="N1154">
        <v>0</v>
      </c>
      <c r="O1154">
        <v>0</v>
      </c>
      <c r="P1154">
        <v>0.78510000000000002</v>
      </c>
      <c r="Q1154">
        <v>6.8999999999999999E-3</v>
      </c>
      <c r="R1154">
        <v>0</v>
      </c>
      <c r="S1154">
        <v>0</v>
      </c>
      <c r="T1154">
        <v>0.57179999999999997</v>
      </c>
      <c r="U1154">
        <v>5</v>
      </c>
      <c r="V1154">
        <v>0</v>
      </c>
      <c r="W1154">
        <v>0</v>
      </c>
      <c r="X1154">
        <v>0</v>
      </c>
      <c r="Y1154">
        <v>0.40749999999999997</v>
      </c>
      <c r="Z1154">
        <v>1</v>
      </c>
    </row>
    <row r="1155" spans="1:26" x14ac:dyDescent="0.2">
      <c r="A1155" t="s">
        <v>100</v>
      </c>
      <c r="B1155">
        <v>2018</v>
      </c>
      <c r="C1155" t="str">
        <f t="shared" ref="C1155:C1218" si="18">A1155&amp;B1155</f>
        <v>MKV2018</v>
      </c>
      <c r="D1155">
        <v>-1.323037123767131E-14</v>
      </c>
      <c r="E1155">
        <v>-4.2033709465947979E-3</v>
      </c>
      <c r="F1155">
        <v>1.1422870998123831</v>
      </c>
      <c r="G1155">
        <v>25.577086207005479</v>
      </c>
      <c r="H1155">
        <v>0.8945154403595027</v>
      </c>
      <c r="I1155">
        <v>0.59639018840501068</v>
      </c>
      <c r="J1155">
        <v>-4.6336740629711153E-2</v>
      </c>
      <c r="K1155">
        <v>8.126451474306691E-2</v>
      </c>
      <c r="L1155">
        <v>0.56956718632668979</v>
      </c>
      <c r="M1155">
        <v>20</v>
      </c>
      <c r="N1155">
        <v>0</v>
      </c>
      <c r="O1155">
        <v>0</v>
      </c>
      <c r="P1155">
        <v>0.78510000000000002</v>
      </c>
      <c r="Q1155">
        <v>6.8999999999999999E-3</v>
      </c>
      <c r="R1155">
        <v>0</v>
      </c>
      <c r="S1155">
        <v>0</v>
      </c>
      <c r="T1155">
        <v>0.57179999999999997</v>
      </c>
      <c r="U1155">
        <v>5</v>
      </c>
      <c r="V1155">
        <v>0</v>
      </c>
      <c r="W1155">
        <v>0</v>
      </c>
      <c r="X1155">
        <v>0</v>
      </c>
      <c r="Y1155">
        <v>0.40329999999999999</v>
      </c>
      <c r="Z1155">
        <v>1</v>
      </c>
    </row>
    <row r="1156" spans="1:26" x14ac:dyDescent="0.2">
      <c r="A1156" t="s">
        <v>100</v>
      </c>
      <c r="B1156">
        <v>2019</v>
      </c>
      <c r="C1156" t="str">
        <f t="shared" si="18"/>
        <v>MKV2019</v>
      </c>
      <c r="D1156">
        <v>1.6861769503084389E-13</v>
      </c>
      <c r="E1156">
        <v>3.5590599540027107E-2</v>
      </c>
      <c r="F1156">
        <v>1.0667081228594939</v>
      </c>
      <c r="G1156">
        <v>25.38402135674648</v>
      </c>
      <c r="H1156">
        <v>0.93505768712676207</v>
      </c>
      <c r="I1156">
        <v>0.49914934267797012</v>
      </c>
      <c r="J1156">
        <v>-0.1755714919967899</v>
      </c>
      <c r="K1156">
        <v>0.1335472427313317</v>
      </c>
      <c r="L1156">
        <v>0.61121034015847864</v>
      </c>
      <c r="M1156">
        <v>21</v>
      </c>
      <c r="N1156">
        <v>0</v>
      </c>
      <c r="O1156">
        <v>1</v>
      </c>
      <c r="P1156">
        <v>0.78510000000000002</v>
      </c>
      <c r="Q1156">
        <v>6.8999999999999999E-3</v>
      </c>
      <c r="R1156">
        <v>0</v>
      </c>
      <c r="S1156">
        <v>0</v>
      </c>
      <c r="T1156">
        <v>0.57179999999999997</v>
      </c>
      <c r="U1156">
        <v>5</v>
      </c>
      <c r="V1156">
        <v>0</v>
      </c>
      <c r="W1156">
        <v>0</v>
      </c>
      <c r="X1156">
        <v>0</v>
      </c>
      <c r="Y1156">
        <v>0.39400000000000002</v>
      </c>
      <c r="Z1156">
        <v>1</v>
      </c>
    </row>
    <row r="1157" spans="1:26" x14ac:dyDescent="0.2">
      <c r="A1157" t="s">
        <v>100</v>
      </c>
      <c r="B1157">
        <v>2020</v>
      </c>
      <c r="C1157" t="str">
        <f t="shared" si="18"/>
        <v>MKV2020</v>
      </c>
      <c r="D1157">
        <v>7.1253071179089841E-13</v>
      </c>
      <c r="E1157">
        <v>0.1171813410543385</v>
      </c>
      <c r="F1157">
        <v>1.7268280936514919</v>
      </c>
      <c r="G1157">
        <v>25.32332657659677</v>
      </c>
      <c r="H1157">
        <v>1.1327161901893299</v>
      </c>
      <c r="I1157">
        <v>0.39504075224174923</v>
      </c>
      <c r="J1157">
        <v>-5.8889558467988927E-2</v>
      </c>
      <c r="K1157">
        <v>0.27039955420054879</v>
      </c>
      <c r="L1157">
        <v>0.56461077208870991</v>
      </c>
      <c r="M1157">
        <v>22</v>
      </c>
      <c r="N1157">
        <v>0</v>
      </c>
      <c r="O1157">
        <v>1</v>
      </c>
      <c r="P1157">
        <v>0.98000000000000009</v>
      </c>
      <c r="Q1157">
        <v>0.19489999999999999</v>
      </c>
      <c r="R1157">
        <v>0</v>
      </c>
      <c r="S1157">
        <v>0</v>
      </c>
      <c r="T1157">
        <v>0.57179999999999997</v>
      </c>
      <c r="U1157">
        <v>5</v>
      </c>
      <c r="V1157">
        <v>0</v>
      </c>
      <c r="W1157">
        <v>0</v>
      </c>
      <c r="X1157">
        <v>0</v>
      </c>
      <c r="Y1157">
        <v>0.40400000000000003</v>
      </c>
      <c r="Z1157">
        <v>1</v>
      </c>
    </row>
    <row r="1158" spans="1:26" x14ac:dyDescent="0.2">
      <c r="A1158" t="s">
        <v>100</v>
      </c>
      <c r="B1158">
        <v>2021</v>
      </c>
      <c r="C1158" t="str">
        <f t="shared" si="18"/>
        <v>MKV2021</v>
      </c>
      <c r="D1158">
        <v>6.3873991548236447E-13</v>
      </c>
      <c r="E1158">
        <v>0.1111772876117617</v>
      </c>
      <c r="F1158">
        <v>1.016431500005895</v>
      </c>
      <c r="G1158">
        <v>25.410619878289829</v>
      </c>
      <c r="H1158">
        <v>1.2309773609502319</v>
      </c>
      <c r="I1158">
        <v>0.37626519753530951</v>
      </c>
      <c r="J1158">
        <v>9.121668848865315E-2</v>
      </c>
      <c r="K1158">
        <v>-2.1520117752594221E-2</v>
      </c>
      <c r="L1158">
        <v>0.44029151699871433</v>
      </c>
      <c r="M1158">
        <v>23</v>
      </c>
      <c r="N1158">
        <v>1</v>
      </c>
      <c r="O1158">
        <v>0</v>
      </c>
      <c r="P1158">
        <v>0.98</v>
      </c>
      <c r="Q1158">
        <v>0.19489999999999999</v>
      </c>
      <c r="R1158">
        <v>0</v>
      </c>
      <c r="S1158">
        <v>0</v>
      </c>
      <c r="T1158">
        <v>0.57179999999999997</v>
      </c>
      <c r="U1158">
        <v>5</v>
      </c>
      <c r="V1158">
        <v>0</v>
      </c>
      <c r="W1158">
        <v>0</v>
      </c>
      <c r="X1158">
        <v>1</v>
      </c>
      <c r="Y1158">
        <v>0.40360000000000001</v>
      </c>
      <c r="Z1158">
        <v>1</v>
      </c>
    </row>
    <row r="1159" spans="1:26" x14ac:dyDescent="0.2">
      <c r="A1159" t="s">
        <v>100</v>
      </c>
      <c r="B1159">
        <v>2022</v>
      </c>
      <c r="C1159" t="str">
        <f t="shared" si="18"/>
        <v>MKV2022</v>
      </c>
      <c r="D1159">
        <v>5.2502532108694634E-13</v>
      </c>
      <c r="E1159">
        <v>8.0196115269725615E-2</v>
      </c>
      <c r="F1159">
        <v>0.82441055579491129</v>
      </c>
      <c r="G1159">
        <v>25.38711719062443</v>
      </c>
      <c r="H1159">
        <v>1.522399010663263</v>
      </c>
      <c r="I1159">
        <v>0.30575649544515499</v>
      </c>
      <c r="J1159">
        <v>-2.3228650569245168E-2</v>
      </c>
      <c r="K1159">
        <v>7.3282052261634298E-2</v>
      </c>
      <c r="L1159">
        <v>0.38234584786523229</v>
      </c>
      <c r="M1159">
        <v>24</v>
      </c>
      <c r="N1159">
        <v>1</v>
      </c>
      <c r="O1159">
        <v>0</v>
      </c>
      <c r="P1159">
        <v>0.52839999999999998</v>
      </c>
      <c r="Q1159">
        <v>0.19489999999999999</v>
      </c>
      <c r="R1159">
        <v>0</v>
      </c>
      <c r="S1159">
        <v>0</v>
      </c>
      <c r="T1159">
        <v>0</v>
      </c>
      <c r="U1159">
        <v>3</v>
      </c>
      <c r="V1159">
        <v>0</v>
      </c>
      <c r="W1159">
        <v>0</v>
      </c>
      <c r="X1159">
        <v>1</v>
      </c>
      <c r="Y1159">
        <v>0.41110000000000002</v>
      </c>
      <c r="Z1159">
        <v>1</v>
      </c>
    </row>
    <row r="1160" spans="1:26" x14ac:dyDescent="0.2">
      <c r="A1160" t="s">
        <v>100</v>
      </c>
      <c r="B1160">
        <v>2023</v>
      </c>
      <c r="C1160" t="str">
        <f t="shared" si="18"/>
        <v>MKV2023</v>
      </c>
      <c r="D1160">
        <v>-119764272673.8015</v>
      </c>
      <c r="E1160">
        <v>6.3070490048127315E-2</v>
      </c>
      <c r="F1160">
        <v>0.54919359680963398</v>
      </c>
      <c r="G1160">
        <v>25.311554147790002</v>
      </c>
      <c r="H1160">
        <v>2.0991093098363161</v>
      </c>
      <c r="I1160">
        <v>0</v>
      </c>
      <c r="J1160">
        <v>-7.2778725965869873E-2</v>
      </c>
      <c r="K1160">
        <v>0.26159562844712059</v>
      </c>
      <c r="L1160">
        <v>0.34944006028123031</v>
      </c>
      <c r="M1160">
        <v>25</v>
      </c>
      <c r="N1160">
        <v>0</v>
      </c>
      <c r="O1160">
        <v>0</v>
      </c>
      <c r="P1160">
        <v>0.52839999999999998</v>
      </c>
      <c r="Q1160">
        <v>0.19489999999999999</v>
      </c>
      <c r="R1160">
        <v>0</v>
      </c>
      <c r="S1160">
        <v>0</v>
      </c>
      <c r="T1160">
        <v>0</v>
      </c>
      <c r="U1160">
        <v>3</v>
      </c>
      <c r="V1160">
        <v>0</v>
      </c>
      <c r="W1160">
        <v>0</v>
      </c>
      <c r="X1160">
        <v>1</v>
      </c>
      <c r="Y1160">
        <v>0.41110000000000002</v>
      </c>
      <c r="Z1160">
        <v>1</v>
      </c>
    </row>
    <row r="1161" spans="1:26" x14ac:dyDescent="0.2">
      <c r="A1161" t="s">
        <v>101</v>
      </c>
      <c r="B1161">
        <v>2013</v>
      </c>
      <c r="C1161" t="str">
        <f t="shared" si="18"/>
        <v>MSH2013</v>
      </c>
      <c r="D1161">
        <v>5.1691613841750733E-14</v>
      </c>
      <c r="E1161">
        <v>0.2348645026401136</v>
      </c>
      <c r="F1161">
        <v>1.351359736822302</v>
      </c>
      <c r="G1161">
        <v>27.87651498300718</v>
      </c>
      <c r="H1161" t="e">
        <v>#N/A</v>
      </c>
      <c r="I1161">
        <v>0.71866786597264132</v>
      </c>
      <c r="J1161">
        <v>0</v>
      </c>
      <c r="K1161">
        <v>6.3609432040152333E-2</v>
      </c>
      <c r="L1161">
        <v>0.33461192065241319</v>
      </c>
      <c r="M1161">
        <v>8</v>
      </c>
      <c r="N1161">
        <v>0</v>
      </c>
      <c r="O1161">
        <v>0</v>
      </c>
      <c r="P1161">
        <v>0</v>
      </c>
      <c r="Q1161">
        <v>0.4758</v>
      </c>
      <c r="R1161">
        <v>0</v>
      </c>
      <c r="S1161">
        <v>0</v>
      </c>
      <c r="T1161">
        <v>0</v>
      </c>
      <c r="U1161">
        <v>4</v>
      </c>
      <c r="V1161">
        <v>0</v>
      </c>
      <c r="W1161">
        <v>0</v>
      </c>
      <c r="X1161">
        <v>0</v>
      </c>
      <c r="Y1161">
        <v>0.49330000000000002</v>
      </c>
      <c r="Z1161">
        <v>1</v>
      </c>
    </row>
    <row r="1162" spans="1:26" x14ac:dyDescent="0.2">
      <c r="A1162" t="s">
        <v>101</v>
      </c>
      <c r="B1162">
        <v>2014</v>
      </c>
      <c r="C1162" t="str">
        <f t="shared" si="18"/>
        <v>MSH2014</v>
      </c>
      <c r="D1162">
        <v>5.7666047224699677E-14</v>
      </c>
      <c r="E1162">
        <v>0.27473465134614822</v>
      </c>
      <c r="F1162">
        <v>1.180158598766371</v>
      </c>
      <c r="G1162">
        <v>28.080962498187539</v>
      </c>
      <c r="H1162">
        <v>1.3415358661515611</v>
      </c>
      <c r="I1162">
        <v>0.67083488387364143</v>
      </c>
      <c r="J1162">
        <v>0.2266653278772324</v>
      </c>
      <c r="K1162">
        <v>0.15280652393668431</v>
      </c>
      <c r="L1162">
        <v>0.29882660194424021</v>
      </c>
      <c r="M1162">
        <v>9</v>
      </c>
      <c r="N1162">
        <v>0</v>
      </c>
      <c r="O1162">
        <v>0</v>
      </c>
      <c r="P1162">
        <v>0.64300000000000013</v>
      </c>
      <c r="Q1162">
        <v>0.48720000000000002</v>
      </c>
      <c r="R1162">
        <v>0</v>
      </c>
      <c r="S1162">
        <v>0</v>
      </c>
      <c r="T1162">
        <v>0.1429</v>
      </c>
      <c r="U1162">
        <v>5</v>
      </c>
      <c r="V1162">
        <v>0</v>
      </c>
      <c r="W1162">
        <v>0.2</v>
      </c>
      <c r="X1162">
        <v>0</v>
      </c>
      <c r="Y1162">
        <v>0.48220000000000002</v>
      </c>
      <c r="Z1162">
        <v>1</v>
      </c>
    </row>
    <row r="1163" spans="1:26" x14ac:dyDescent="0.2">
      <c r="A1163" t="s">
        <v>101</v>
      </c>
      <c r="B1163">
        <v>2015</v>
      </c>
      <c r="C1163" t="str">
        <f t="shared" si="18"/>
        <v>MSH2015</v>
      </c>
      <c r="D1163">
        <v>4.3264721918919032E-14</v>
      </c>
      <c r="E1163">
        <v>0.26067142037046631</v>
      </c>
      <c r="F1163">
        <v>1.7293231437848959</v>
      </c>
      <c r="G1163">
        <v>28.28389861995424</v>
      </c>
      <c r="H1163">
        <v>1.1562454538282569</v>
      </c>
      <c r="I1163">
        <v>0.68115354289257501</v>
      </c>
      <c r="J1163">
        <v>0.2251757031317165</v>
      </c>
      <c r="K1163">
        <v>0.15950298684377351</v>
      </c>
      <c r="L1163">
        <v>0.34114401679431777</v>
      </c>
      <c r="M1163">
        <v>10</v>
      </c>
      <c r="N1163">
        <v>0</v>
      </c>
      <c r="O1163">
        <v>0</v>
      </c>
      <c r="P1163">
        <v>0.64300000000000013</v>
      </c>
      <c r="Q1163">
        <v>0.34620000000000001</v>
      </c>
      <c r="R1163">
        <v>0</v>
      </c>
      <c r="S1163">
        <v>0</v>
      </c>
      <c r="T1163">
        <v>0.1429</v>
      </c>
      <c r="U1163">
        <v>4</v>
      </c>
      <c r="V1163">
        <v>1</v>
      </c>
      <c r="W1163">
        <v>0.25</v>
      </c>
      <c r="X1163">
        <v>0</v>
      </c>
      <c r="Y1163">
        <v>0.48880000000000001</v>
      </c>
      <c r="Z1163">
        <v>1</v>
      </c>
    </row>
    <row r="1164" spans="1:26" x14ac:dyDescent="0.2">
      <c r="A1164" t="s">
        <v>101</v>
      </c>
      <c r="B1164">
        <v>2016</v>
      </c>
      <c r="C1164" t="str">
        <f t="shared" si="18"/>
        <v>MSH2016</v>
      </c>
      <c r="D1164">
        <v>3.8476282237316861E-14</v>
      </c>
      <c r="E1164">
        <v>0.28301045919954848</v>
      </c>
      <c r="F1164">
        <v>1.362091642105302</v>
      </c>
      <c r="G1164">
        <v>28.415931217293149</v>
      </c>
      <c r="H1164">
        <v>1.1218973205515661</v>
      </c>
      <c r="I1164">
        <v>0.70196124429228413</v>
      </c>
      <c r="J1164">
        <v>0.14114551696812019</v>
      </c>
      <c r="K1164">
        <v>8.7515914132452813E-2</v>
      </c>
      <c r="L1164">
        <v>0.31475464933171238</v>
      </c>
      <c r="M1164">
        <v>11</v>
      </c>
      <c r="N1164">
        <v>0</v>
      </c>
      <c r="O1164">
        <v>0</v>
      </c>
      <c r="P1164">
        <v>0.64300000000000013</v>
      </c>
      <c r="Q1164">
        <v>0.34620000000000001</v>
      </c>
      <c r="R1164">
        <v>0</v>
      </c>
      <c r="S1164">
        <v>0</v>
      </c>
      <c r="T1164">
        <v>0.1429</v>
      </c>
      <c r="U1164">
        <v>4</v>
      </c>
      <c r="V1164">
        <v>0</v>
      </c>
      <c r="W1164">
        <v>0.25</v>
      </c>
      <c r="X1164">
        <v>0</v>
      </c>
      <c r="Y1164">
        <v>0.49249999999999999</v>
      </c>
      <c r="Z1164">
        <v>1</v>
      </c>
    </row>
    <row r="1165" spans="1:26" x14ac:dyDescent="0.2">
      <c r="A1165" t="s">
        <v>101</v>
      </c>
      <c r="B1165">
        <v>2017</v>
      </c>
      <c r="C1165" t="str">
        <f t="shared" si="18"/>
        <v>MSH2017</v>
      </c>
      <c r="D1165">
        <v>3.5358647584960093E-14</v>
      </c>
      <c r="E1165">
        <v>0.26533538766172571</v>
      </c>
      <c r="F1165">
        <v>1.3403056694454329</v>
      </c>
      <c r="G1165">
        <v>28.498373522410919</v>
      </c>
      <c r="H1165">
        <v>1.0927405432817201</v>
      </c>
      <c r="I1165">
        <v>0.68276080874977185</v>
      </c>
      <c r="J1165">
        <v>8.5936018680936352E-2</v>
      </c>
      <c r="K1165">
        <v>7.8377187131794313E-2</v>
      </c>
      <c r="L1165">
        <v>0.27086053105444369</v>
      </c>
      <c r="M1165">
        <v>12</v>
      </c>
      <c r="N1165">
        <v>0</v>
      </c>
      <c r="O1165">
        <v>0</v>
      </c>
      <c r="P1165">
        <v>0.60489999999999999</v>
      </c>
      <c r="Q1165">
        <v>0.37730000000000002</v>
      </c>
      <c r="R1165">
        <v>0</v>
      </c>
      <c r="S1165">
        <v>0</v>
      </c>
      <c r="T1165">
        <v>0.1361</v>
      </c>
      <c r="U1165">
        <v>4</v>
      </c>
      <c r="V1165">
        <v>0</v>
      </c>
      <c r="W1165">
        <v>0.25</v>
      </c>
      <c r="X1165">
        <v>0</v>
      </c>
      <c r="Y1165">
        <v>0.50249999999999995</v>
      </c>
      <c r="Z1165">
        <v>1</v>
      </c>
    </row>
    <row r="1166" spans="1:26" x14ac:dyDescent="0.2">
      <c r="A1166" t="s">
        <v>101</v>
      </c>
      <c r="B1166">
        <v>2018</v>
      </c>
      <c r="C1166" t="str">
        <f t="shared" si="18"/>
        <v>MSH2018</v>
      </c>
      <c r="D1166">
        <v>5.819151551815223E-14</v>
      </c>
      <c r="E1166">
        <v>0.39607679276515312</v>
      </c>
      <c r="F1166">
        <v>1.4042181877374249</v>
      </c>
      <c r="G1166">
        <v>28.555667739682661</v>
      </c>
      <c r="H1166">
        <v>1.168721512400607</v>
      </c>
      <c r="I1166">
        <v>0.62961857545679722</v>
      </c>
      <c r="J1166">
        <v>6.7206657966439209E-2</v>
      </c>
      <c r="K1166">
        <v>0.16443805980257389</v>
      </c>
      <c r="L1166">
        <v>0.23536134983057899</v>
      </c>
      <c r="M1166">
        <v>13</v>
      </c>
      <c r="N1166">
        <v>0</v>
      </c>
      <c r="O1166">
        <v>0</v>
      </c>
      <c r="P1166">
        <v>0.53929999999999989</v>
      </c>
      <c r="Q1166">
        <v>0.34689999999999999</v>
      </c>
      <c r="R1166">
        <v>0</v>
      </c>
      <c r="S1166">
        <v>0</v>
      </c>
      <c r="T1166">
        <v>0.1361</v>
      </c>
      <c r="U1166">
        <v>4</v>
      </c>
      <c r="V1166">
        <v>0</v>
      </c>
      <c r="W1166">
        <v>0.25</v>
      </c>
      <c r="X1166">
        <v>1</v>
      </c>
      <c r="Y1166">
        <v>0.51439999999999997</v>
      </c>
      <c r="Z1166">
        <v>1</v>
      </c>
    </row>
    <row r="1167" spans="1:26" x14ac:dyDescent="0.2">
      <c r="A1167" t="s">
        <v>101</v>
      </c>
      <c r="B1167">
        <v>2019</v>
      </c>
      <c r="C1167" t="str">
        <f t="shared" si="18"/>
        <v>MSH2019</v>
      </c>
      <c r="D1167">
        <v>6.8309120903930198E-14</v>
      </c>
      <c r="E1167">
        <v>0.36402844190192818</v>
      </c>
      <c r="F1167">
        <v>1.3817584221086929</v>
      </c>
      <c r="G1167">
        <v>28.573451872927251</v>
      </c>
      <c r="H1167">
        <v>1.2550120979716011</v>
      </c>
      <c r="I1167">
        <v>0.51845613214260311</v>
      </c>
      <c r="J1167">
        <v>1.0084222138391221E-2</v>
      </c>
      <c r="K1167">
        <v>0.26045572462179639</v>
      </c>
      <c r="L1167">
        <v>0.222072829568984</v>
      </c>
      <c r="M1167">
        <v>14</v>
      </c>
      <c r="N1167">
        <v>0</v>
      </c>
      <c r="O1167">
        <v>1</v>
      </c>
      <c r="P1167">
        <v>0.55159999999999998</v>
      </c>
      <c r="Q1167">
        <v>0.36840000000000012</v>
      </c>
      <c r="R1167">
        <v>0</v>
      </c>
      <c r="S1167">
        <v>0</v>
      </c>
      <c r="T1167">
        <v>0.12959999999999999</v>
      </c>
      <c r="U1167">
        <v>6</v>
      </c>
      <c r="V1167">
        <v>0</v>
      </c>
      <c r="W1167">
        <v>0.1666666666666666</v>
      </c>
      <c r="X1167">
        <v>1</v>
      </c>
      <c r="Y1167">
        <v>0.51180000000000003</v>
      </c>
      <c r="Z1167">
        <v>1</v>
      </c>
    </row>
    <row r="1168" spans="1:26" x14ac:dyDescent="0.2">
      <c r="A1168" t="s">
        <v>101</v>
      </c>
      <c r="B1168">
        <v>2020</v>
      </c>
      <c r="C1168" t="str">
        <f t="shared" si="18"/>
        <v>MSH2020</v>
      </c>
      <c r="D1168">
        <v>3.3568626154890987E-14</v>
      </c>
      <c r="E1168">
        <v>0.16072294895517431</v>
      </c>
      <c r="F1168">
        <v>1.2067061337079461</v>
      </c>
      <c r="G1168">
        <v>28.597151087134211</v>
      </c>
      <c r="H1168">
        <v>1.5287422996803191</v>
      </c>
      <c r="I1168">
        <v>0.45116652744610902</v>
      </c>
      <c r="J1168">
        <v>2.3982272245255402E-2</v>
      </c>
      <c r="K1168">
        <v>8.3998515432801305E-2</v>
      </c>
      <c r="L1168">
        <v>0.21154510181136421</v>
      </c>
      <c r="M1168">
        <v>15</v>
      </c>
      <c r="N1168">
        <v>0</v>
      </c>
      <c r="O1168">
        <v>1</v>
      </c>
      <c r="P1168">
        <v>0.58620000000000005</v>
      </c>
      <c r="Q1168">
        <v>0.37509999999999999</v>
      </c>
      <c r="R1168">
        <v>0</v>
      </c>
      <c r="S1168">
        <v>0</v>
      </c>
      <c r="T1168">
        <v>0.12959999999999999</v>
      </c>
      <c r="U1168">
        <v>6</v>
      </c>
      <c r="V1168">
        <v>0</v>
      </c>
      <c r="W1168">
        <v>0.1666666666666666</v>
      </c>
      <c r="X1168">
        <v>1</v>
      </c>
      <c r="Y1168">
        <v>0.50780000000000003</v>
      </c>
      <c r="Z1168">
        <v>1</v>
      </c>
    </row>
    <row r="1169" spans="1:26" x14ac:dyDescent="0.2">
      <c r="A1169" t="s">
        <v>101</v>
      </c>
      <c r="B1169">
        <v>2021</v>
      </c>
      <c r="C1169" t="str">
        <f t="shared" si="18"/>
        <v>MSH2021</v>
      </c>
      <c r="D1169">
        <v>4.3128691401248057E-14</v>
      </c>
      <c r="E1169">
        <v>0.29581757501548689</v>
      </c>
      <c r="F1169">
        <v>1.768224073399689</v>
      </c>
      <c r="G1169">
        <v>28.79499554598468</v>
      </c>
      <c r="H1169">
        <v>1.688021397285379</v>
      </c>
      <c r="I1169">
        <v>0.53307193251327722</v>
      </c>
      <c r="J1169">
        <v>0.21877280975411889</v>
      </c>
      <c r="K1169">
        <v>7.9043915605525053E-2</v>
      </c>
      <c r="L1169">
        <v>0.20285064739787939</v>
      </c>
      <c r="M1169">
        <v>16</v>
      </c>
      <c r="N1169">
        <v>0</v>
      </c>
      <c r="O1169">
        <v>0</v>
      </c>
      <c r="P1169">
        <v>0.55620000000000003</v>
      </c>
      <c r="Q1169">
        <v>0.26340000000000002</v>
      </c>
      <c r="R1169">
        <v>0</v>
      </c>
      <c r="S1169">
        <v>0</v>
      </c>
      <c r="T1169">
        <v>0.12959999999999999</v>
      </c>
      <c r="U1169">
        <v>7</v>
      </c>
      <c r="V1169">
        <v>0</v>
      </c>
      <c r="W1169">
        <v>0.2857142857142857</v>
      </c>
      <c r="X1169">
        <v>1</v>
      </c>
      <c r="Y1169">
        <v>0.51780000000000004</v>
      </c>
      <c r="Z1169">
        <v>1</v>
      </c>
    </row>
    <row r="1170" spans="1:26" x14ac:dyDescent="0.2">
      <c r="A1170" t="s">
        <v>101</v>
      </c>
      <c r="B1170">
        <v>2022</v>
      </c>
      <c r="C1170" t="str">
        <f t="shared" si="18"/>
        <v>MSH2022</v>
      </c>
      <c r="D1170">
        <v>3.1118107388355622E-14</v>
      </c>
      <c r="E1170">
        <v>0.1964370065628176</v>
      </c>
      <c r="F1170">
        <v>1.2296203324356969</v>
      </c>
      <c r="G1170">
        <v>28.823183250080969</v>
      </c>
      <c r="H1170">
        <v>1.6282914084892</v>
      </c>
      <c r="I1170">
        <v>0.47815767054644998</v>
      </c>
      <c r="J1170">
        <v>2.858873662176897E-2</v>
      </c>
      <c r="K1170">
        <v>0.292246492347771</v>
      </c>
      <c r="L1170">
        <v>0.25893592504275342</v>
      </c>
      <c r="M1170">
        <v>17</v>
      </c>
      <c r="N1170">
        <v>0</v>
      </c>
      <c r="O1170">
        <v>0</v>
      </c>
      <c r="P1170">
        <v>0.63170000000000004</v>
      </c>
      <c r="Q1170">
        <v>0.46110000000000001</v>
      </c>
      <c r="R1170">
        <v>0</v>
      </c>
      <c r="S1170">
        <v>0</v>
      </c>
      <c r="T1170">
        <v>0.12790000000000001</v>
      </c>
      <c r="U1170">
        <v>8</v>
      </c>
      <c r="V1170">
        <v>0</v>
      </c>
      <c r="W1170">
        <v>0.375</v>
      </c>
      <c r="X1170">
        <v>1</v>
      </c>
      <c r="Y1170">
        <v>0.52329999999999999</v>
      </c>
      <c r="Z1170">
        <v>1</v>
      </c>
    </row>
    <row r="1171" spans="1:26" x14ac:dyDescent="0.2">
      <c r="A1171" t="s">
        <v>101</v>
      </c>
      <c r="B1171">
        <v>2023</v>
      </c>
      <c r="C1171" t="str">
        <f t="shared" si="18"/>
        <v>MSH2023</v>
      </c>
      <c r="D1171">
        <v>9665249497067.8906</v>
      </c>
      <c r="E1171">
        <v>9.3662647679879807E-2</v>
      </c>
      <c r="F1171">
        <v>1.030297907871254</v>
      </c>
      <c r="G1171">
        <v>28.870290351368329</v>
      </c>
      <c r="H1171">
        <v>1.845047847518944</v>
      </c>
      <c r="I1171">
        <v>0.24172520853035931</v>
      </c>
      <c r="J1171">
        <v>4.8234270307695233E-2</v>
      </c>
      <c r="K1171">
        <v>3.2323118296922158E-2</v>
      </c>
      <c r="L1171">
        <v>0.23820546992433889</v>
      </c>
      <c r="M1171">
        <v>18</v>
      </c>
      <c r="N1171">
        <v>0</v>
      </c>
      <c r="O1171">
        <v>0</v>
      </c>
      <c r="P1171">
        <v>0.63170000000000004</v>
      </c>
      <c r="Q1171">
        <v>0.46110000000000001</v>
      </c>
      <c r="R1171">
        <v>0</v>
      </c>
      <c r="S1171">
        <v>0</v>
      </c>
      <c r="T1171">
        <v>0.12790000000000001</v>
      </c>
      <c r="U1171">
        <v>8</v>
      </c>
      <c r="V1171">
        <v>0</v>
      </c>
      <c r="W1171">
        <v>0.375</v>
      </c>
      <c r="X1171">
        <v>1</v>
      </c>
      <c r="Y1171">
        <v>0.52329999999999999</v>
      </c>
      <c r="Z1171">
        <v>1</v>
      </c>
    </row>
    <row r="1172" spans="1:26" x14ac:dyDescent="0.2">
      <c r="A1172" t="s">
        <v>102</v>
      </c>
      <c r="B1172">
        <v>2012</v>
      </c>
      <c r="C1172" t="str">
        <f t="shared" si="18"/>
        <v>MSN2012</v>
      </c>
      <c r="D1172">
        <v>1.310463088541583E-15</v>
      </c>
      <c r="E1172">
        <v>0.14135804100840421</v>
      </c>
      <c r="F1172">
        <v>2.3023037844965288</v>
      </c>
      <c r="G1172">
        <v>31.286841490973281</v>
      </c>
      <c r="H1172">
        <v>3.4589587959345609</v>
      </c>
      <c r="I1172">
        <v>0.49083297622052469</v>
      </c>
      <c r="J1172">
        <v>0.15270292138960029</v>
      </c>
      <c r="K1172">
        <v>7.2231750398508959E-2</v>
      </c>
      <c r="L1172">
        <v>0.43580256426635178</v>
      </c>
      <c r="M1172">
        <v>8</v>
      </c>
      <c r="N1172">
        <v>1</v>
      </c>
      <c r="O1172">
        <v>0</v>
      </c>
      <c r="P1172">
        <v>0.57220000000000004</v>
      </c>
      <c r="Q1172">
        <v>5.57E-2</v>
      </c>
      <c r="R1172">
        <v>6.2600000000000003E-2</v>
      </c>
      <c r="S1172">
        <v>0</v>
      </c>
      <c r="T1172">
        <v>0.57220000000000004</v>
      </c>
      <c r="U1172">
        <v>6</v>
      </c>
      <c r="V1172">
        <v>0</v>
      </c>
      <c r="W1172">
        <v>0.1666666666666666</v>
      </c>
      <c r="X1172">
        <v>0</v>
      </c>
      <c r="Y1172">
        <v>0.42499999999999999</v>
      </c>
      <c r="Z1172">
        <v>1</v>
      </c>
    </row>
    <row r="1173" spans="1:26" x14ac:dyDescent="0.2">
      <c r="A1173" t="s">
        <v>102</v>
      </c>
      <c r="B1173">
        <v>2013</v>
      </c>
      <c r="C1173" t="str">
        <f t="shared" si="18"/>
        <v>MSN2013</v>
      </c>
      <c r="D1173">
        <v>6.0451087120170956E-16</v>
      </c>
      <c r="E1173">
        <v>9.0572078412972407E-2</v>
      </c>
      <c r="F1173">
        <v>1.8035907074687161</v>
      </c>
      <c r="G1173">
        <v>31.470519470472659</v>
      </c>
      <c r="H1173">
        <v>1.9419789637020251</v>
      </c>
      <c r="I1173">
        <v>0.4997757845171043</v>
      </c>
      <c r="J1173">
        <v>0.20162881167534599</v>
      </c>
      <c r="K1173">
        <v>3.6162205950904499E-3</v>
      </c>
      <c r="L1173">
        <v>0.46949857642038462</v>
      </c>
      <c r="M1173">
        <v>9</v>
      </c>
      <c r="N1173">
        <v>1</v>
      </c>
      <c r="O1173">
        <v>0</v>
      </c>
      <c r="P1173">
        <v>0.6419999999999999</v>
      </c>
      <c r="Q1173">
        <v>6.4100000000000004E-2</v>
      </c>
      <c r="R1173">
        <v>0.16539999999999999</v>
      </c>
      <c r="S1173">
        <v>0</v>
      </c>
      <c r="T1173">
        <v>0.6419999999999999</v>
      </c>
      <c r="U1173">
        <v>6</v>
      </c>
      <c r="V1173">
        <v>1</v>
      </c>
      <c r="W1173">
        <v>0.1666666666666666</v>
      </c>
      <c r="X1173">
        <v>0</v>
      </c>
      <c r="Y1173">
        <v>0.42180000000000001</v>
      </c>
      <c r="Z1173">
        <v>1</v>
      </c>
    </row>
    <row r="1174" spans="1:26" x14ac:dyDescent="0.2">
      <c r="A1174" t="s">
        <v>102</v>
      </c>
      <c r="B1174">
        <v>2014</v>
      </c>
      <c r="C1174" t="str">
        <f t="shared" si="18"/>
        <v>MSN2014</v>
      </c>
      <c r="D1174">
        <v>7.2614004914630498E-16</v>
      </c>
      <c r="E1174">
        <v>0.13565734819126929</v>
      </c>
      <c r="F1174">
        <v>1.7391081413987699</v>
      </c>
      <c r="G1174">
        <v>31.600654322014499</v>
      </c>
      <c r="H1174">
        <v>1.144598693444286</v>
      </c>
      <c r="I1174">
        <v>0.5860455469733844</v>
      </c>
      <c r="J1174">
        <v>0.13898196644322261</v>
      </c>
      <c r="K1174">
        <v>1.4485784035147669E-2</v>
      </c>
      <c r="L1174">
        <v>0.42038683963591122</v>
      </c>
      <c r="M1174">
        <v>10</v>
      </c>
      <c r="N1174">
        <v>1</v>
      </c>
      <c r="O1174">
        <v>0</v>
      </c>
      <c r="P1174">
        <v>0.62909999999999999</v>
      </c>
      <c r="Q1174">
        <v>3.9699999999999999E-2</v>
      </c>
      <c r="R1174">
        <v>0.1633</v>
      </c>
      <c r="S1174">
        <v>0</v>
      </c>
      <c r="T1174">
        <v>0.62909999999999999</v>
      </c>
      <c r="U1174">
        <v>6</v>
      </c>
      <c r="V1174">
        <v>1</v>
      </c>
      <c r="W1174">
        <v>0.1666666666666666</v>
      </c>
      <c r="X1174">
        <v>0</v>
      </c>
      <c r="Y1174">
        <v>0.4355</v>
      </c>
      <c r="Z1174">
        <v>1</v>
      </c>
    </row>
    <row r="1175" spans="1:26" x14ac:dyDescent="0.2">
      <c r="A1175" t="s">
        <v>102</v>
      </c>
      <c r="B1175">
        <v>2015</v>
      </c>
      <c r="C1175" t="str">
        <f t="shared" si="18"/>
        <v>MSN2015</v>
      </c>
      <c r="D1175">
        <v>4.8955138881335498E-16</v>
      </c>
      <c r="E1175">
        <v>9.3225338877657299E-2</v>
      </c>
      <c r="F1175">
        <v>1.4281380190522719</v>
      </c>
      <c r="G1175">
        <v>31.90559755307952</v>
      </c>
      <c r="H1175">
        <v>1.3926139525137251</v>
      </c>
      <c r="I1175">
        <v>0.62269785399243138</v>
      </c>
      <c r="J1175">
        <v>0.35654799103560642</v>
      </c>
      <c r="K1175">
        <v>6.3890023201210303E-2</v>
      </c>
      <c r="L1175">
        <v>0.35458052016918651</v>
      </c>
      <c r="M1175">
        <v>11</v>
      </c>
      <c r="N1175">
        <v>1</v>
      </c>
      <c r="O1175">
        <v>0</v>
      </c>
      <c r="P1175">
        <v>0.5806</v>
      </c>
      <c r="Q1175">
        <v>4.3200000000000002E-2</v>
      </c>
      <c r="R1175">
        <v>0.1216</v>
      </c>
      <c r="S1175">
        <v>0</v>
      </c>
      <c r="T1175">
        <v>0.5806</v>
      </c>
      <c r="U1175">
        <v>6</v>
      </c>
      <c r="V1175">
        <v>1</v>
      </c>
      <c r="W1175">
        <v>0.1666666666666666</v>
      </c>
      <c r="X1175">
        <v>0</v>
      </c>
      <c r="Y1175">
        <v>0.44550000000000001</v>
      </c>
      <c r="Z1175">
        <v>1</v>
      </c>
    </row>
    <row r="1176" spans="1:26" x14ac:dyDescent="0.2">
      <c r="A1176" t="s">
        <v>102</v>
      </c>
      <c r="B1176">
        <v>2016</v>
      </c>
      <c r="C1176" t="str">
        <f t="shared" si="18"/>
        <v>MSN2016</v>
      </c>
      <c r="D1176">
        <v>7.071618351447972E-16</v>
      </c>
      <c r="E1176">
        <v>0.18572178632746869</v>
      </c>
      <c r="F1176">
        <v>1.395135295555235</v>
      </c>
      <c r="G1176">
        <v>31.922015181263241</v>
      </c>
      <c r="H1176">
        <v>1.113579122858509</v>
      </c>
      <c r="I1176">
        <v>0.72189358518111912</v>
      </c>
      <c r="J1176">
        <v>1.655313800892699E-2</v>
      </c>
      <c r="K1176">
        <v>7.1677600682528153E-2</v>
      </c>
      <c r="L1176">
        <v>0.35174943021566091</v>
      </c>
      <c r="M1176">
        <v>12</v>
      </c>
      <c r="N1176">
        <v>1</v>
      </c>
      <c r="O1176">
        <v>0</v>
      </c>
      <c r="P1176">
        <v>0.50639999999999996</v>
      </c>
      <c r="Q1176">
        <v>4.6399999999999997E-2</v>
      </c>
      <c r="R1176">
        <v>5.21E-2</v>
      </c>
      <c r="S1176">
        <v>0</v>
      </c>
      <c r="T1176">
        <v>0.50639999999999996</v>
      </c>
      <c r="U1176">
        <v>6</v>
      </c>
      <c r="V1176">
        <v>1</v>
      </c>
      <c r="W1176">
        <v>0.1666666666666666</v>
      </c>
      <c r="X1176">
        <v>0</v>
      </c>
      <c r="Y1176">
        <v>0.4617</v>
      </c>
      <c r="Z1176">
        <v>1</v>
      </c>
    </row>
    <row r="1177" spans="1:26" x14ac:dyDescent="0.2">
      <c r="A1177" t="s">
        <v>102</v>
      </c>
      <c r="B1177">
        <v>2017</v>
      </c>
      <c r="C1177" t="str">
        <f t="shared" si="18"/>
        <v>MSN2017</v>
      </c>
      <c r="D1177">
        <v>8.9390570612631484E-16</v>
      </c>
      <c r="E1177">
        <v>0.17837603049068251</v>
      </c>
      <c r="F1177">
        <v>1.946284631356606</v>
      </c>
      <c r="G1177">
        <v>31.782510086336959</v>
      </c>
      <c r="H1177">
        <v>1.2781115094759921</v>
      </c>
      <c r="I1177">
        <v>0.68163599020924803</v>
      </c>
      <c r="J1177">
        <v>-0.13021140831564629</v>
      </c>
      <c r="K1177">
        <v>5.1061442921653363E-2</v>
      </c>
      <c r="L1177">
        <v>0.4031344850113151</v>
      </c>
      <c r="M1177">
        <v>13</v>
      </c>
      <c r="N1177">
        <v>1</v>
      </c>
      <c r="O1177">
        <v>0</v>
      </c>
      <c r="P1177">
        <v>0.61</v>
      </c>
      <c r="Q1177">
        <v>4.2500000000000003E-2</v>
      </c>
      <c r="R1177">
        <v>0.1066</v>
      </c>
      <c r="S1177">
        <v>0</v>
      </c>
      <c r="T1177">
        <v>0.61</v>
      </c>
      <c r="U1177">
        <v>6</v>
      </c>
      <c r="V1177">
        <v>1</v>
      </c>
      <c r="W1177">
        <v>0.1666666666666666</v>
      </c>
      <c r="X1177">
        <v>0</v>
      </c>
      <c r="Y1177">
        <v>0.47170000000000001</v>
      </c>
      <c r="Z1177">
        <v>1</v>
      </c>
    </row>
    <row r="1178" spans="1:26" x14ac:dyDescent="0.2">
      <c r="A1178" t="s">
        <v>102</v>
      </c>
      <c r="B1178">
        <v>2018</v>
      </c>
      <c r="C1178" t="str">
        <f t="shared" si="18"/>
        <v>MSN2018</v>
      </c>
      <c r="D1178">
        <v>1.3479543203130681E-15</v>
      </c>
      <c r="E1178">
        <v>0.16495182260818311</v>
      </c>
      <c r="F1178">
        <v>1.8681575736227101</v>
      </c>
      <c r="G1178">
        <v>31.798904403790502</v>
      </c>
      <c r="H1178">
        <v>0.97501768333418426</v>
      </c>
      <c r="I1178">
        <v>0.47227609239610019</v>
      </c>
      <c r="J1178">
        <v>1.6529441689199009E-2</v>
      </c>
      <c r="K1178">
        <v>7.319582723153252E-2</v>
      </c>
      <c r="L1178">
        <v>0.40213853772300739</v>
      </c>
      <c r="M1178">
        <v>14</v>
      </c>
      <c r="N1178">
        <v>1</v>
      </c>
      <c r="O1178">
        <v>0</v>
      </c>
      <c r="P1178">
        <v>0.54149999999999998</v>
      </c>
      <c r="Q1178">
        <v>3.9100000000000003E-2</v>
      </c>
      <c r="R1178">
        <v>9.4499999999999987E-2</v>
      </c>
      <c r="S1178">
        <v>0</v>
      </c>
      <c r="T1178">
        <v>0.54149999999999998</v>
      </c>
      <c r="U1178">
        <v>5</v>
      </c>
      <c r="V1178">
        <v>1</v>
      </c>
      <c r="W1178">
        <v>0.2</v>
      </c>
      <c r="X1178">
        <v>0</v>
      </c>
      <c r="Y1178">
        <v>0.48099999999999998</v>
      </c>
      <c r="Z1178">
        <v>1</v>
      </c>
    </row>
    <row r="1179" spans="1:26" x14ac:dyDescent="0.2">
      <c r="A1179" t="s">
        <v>102</v>
      </c>
      <c r="B1179">
        <v>2019</v>
      </c>
      <c r="C1179" t="str">
        <f t="shared" si="18"/>
        <v>MSN2019</v>
      </c>
      <c r="D1179">
        <v>6.7231220887560852E-16</v>
      </c>
      <c r="E1179">
        <v>0.12265967232333801</v>
      </c>
      <c r="F1179">
        <v>1.1455032604723849</v>
      </c>
      <c r="G1179">
        <v>32.208791851895079</v>
      </c>
      <c r="H1179">
        <v>0.79133969357757561</v>
      </c>
      <c r="I1179">
        <v>0.4667022298502555</v>
      </c>
      <c r="J1179">
        <v>0.50664819945885187</v>
      </c>
      <c r="K1179">
        <v>5.5665642598679378E-2</v>
      </c>
      <c r="L1179">
        <v>0.33351253675193759</v>
      </c>
      <c r="M1179">
        <v>15</v>
      </c>
      <c r="N1179">
        <v>1</v>
      </c>
      <c r="O1179">
        <v>1</v>
      </c>
      <c r="P1179">
        <v>0.59519999999999995</v>
      </c>
      <c r="Q1179">
        <v>3.9399999999999998E-2</v>
      </c>
      <c r="R1179">
        <v>0.15040000000000001</v>
      </c>
      <c r="S1179">
        <v>0</v>
      </c>
      <c r="T1179">
        <v>0.59519999999999995</v>
      </c>
      <c r="U1179">
        <v>6</v>
      </c>
      <c r="V1179">
        <v>1</v>
      </c>
      <c r="W1179">
        <v>0.1666666666666666</v>
      </c>
      <c r="X1179">
        <v>0</v>
      </c>
      <c r="Y1179">
        <v>0.48920000000000002</v>
      </c>
      <c r="Z1179">
        <v>1</v>
      </c>
    </row>
    <row r="1180" spans="1:26" x14ac:dyDescent="0.2">
      <c r="A1180" t="s">
        <v>102</v>
      </c>
      <c r="B1180">
        <v>2020</v>
      </c>
      <c r="C1180" t="str">
        <f t="shared" si="18"/>
        <v>MSN2020</v>
      </c>
      <c r="D1180">
        <v>1.041446824549284E-16</v>
      </c>
      <c r="E1180">
        <v>5.5733018397437759E-2</v>
      </c>
      <c r="F1180">
        <v>1.6860326607023279</v>
      </c>
      <c r="G1180">
        <v>32.382337707122943</v>
      </c>
      <c r="H1180">
        <v>0.79567558789068327</v>
      </c>
      <c r="I1180">
        <v>0.78373058117969674</v>
      </c>
      <c r="J1180">
        <v>0.18951523101099729</v>
      </c>
      <c r="K1180">
        <v>1.7390710119763189E-2</v>
      </c>
      <c r="L1180">
        <v>0.31639786396972808</v>
      </c>
      <c r="M1180">
        <v>16</v>
      </c>
      <c r="N1180">
        <v>1</v>
      </c>
      <c r="O1180">
        <v>1</v>
      </c>
      <c r="P1180">
        <v>0.62540000000000007</v>
      </c>
      <c r="Q1180">
        <v>4.0599999999999997E-2</v>
      </c>
      <c r="R1180">
        <v>0.18279999999999999</v>
      </c>
      <c r="S1180">
        <v>0</v>
      </c>
      <c r="T1180">
        <v>0.62540000000000007</v>
      </c>
      <c r="U1180">
        <v>6</v>
      </c>
      <c r="V1180">
        <v>0</v>
      </c>
      <c r="W1180">
        <v>0.1666666666666666</v>
      </c>
      <c r="X1180">
        <v>0</v>
      </c>
      <c r="Y1180">
        <v>0.48670000000000002</v>
      </c>
      <c r="Z1180">
        <v>1</v>
      </c>
    </row>
    <row r="1181" spans="1:26" x14ac:dyDescent="0.2">
      <c r="A1181" t="s">
        <v>102</v>
      </c>
      <c r="B1181">
        <v>2021</v>
      </c>
      <c r="C1181" t="str">
        <f t="shared" si="18"/>
        <v>MSN2021</v>
      </c>
      <c r="D1181">
        <v>6.3532442542950393E-16</v>
      </c>
      <c r="E1181">
        <v>0.2385965947425413</v>
      </c>
      <c r="F1181">
        <v>2.265210474949968</v>
      </c>
      <c r="G1181">
        <v>32.468044581191023</v>
      </c>
      <c r="H1181">
        <v>0.76555480365193129</v>
      </c>
      <c r="I1181">
        <v>0.6642439004633317</v>
      </c>
      <c r="J1181">
        <v>8.9486924624562439E-2</v>
      </c>
      <c r="K1181">
        <v>1.490040669909071E-2</v>
      </c>
      <c r="L1181">
        <v>0.26474809310309178</v>
      </c>
      <c r="M1181">
        <v>17</v>
      </c>
      <c r="N1181">
        <v>1</v>
      </c>
      <c r="O1181">
        <v>0</v>
      </c>
      <c r="P1181">
        <v>0.59740000000000004</v>
      </c>
      <c r="Q1181">
        <v>4.0899999999999999E-2</v>
      </c>
      <c r="R1181">
        <v>0.1489</v>
      </c>
      <c r="S1181">
        <v>0</v>
      </c>
      <c r="T1181">
        <v>0.59740000000000004</v>
      </c>
      <c r="U1181">
        <v>7</v>
      </c>
      <c r="V1181">
        <v>0</v>
      </c>
      <c r="W1181">
        <v>0.2857142857142857</v>
      </c>
      <c r="X1181">
        <v>1</v>
      </c>
      <c r="Y1181">
        <v>0.49380000000000002</v>
      </c>
      <c r="Z1181">
        <v>1</v>
      </c>
    </row>
    <row r="1182" spans="1:26" x14ac:dyDescent="0.2">
      <c r="A1182" t="s">
        <v>102</v>
      </c>
      <c r="B1182">
        <v>2022</v>
      </c>
      <c r="C1182" t="str">
        <f t="shared" si="18"/>
        <v>MSN2022</v>
      </c>
      <c r="D1182">
        <v>2.3798346454822039E-16</v>
      </c>
      <c r="E1182">
        <v>0.1297709384014773</v>
      </c>
      <c r="F1182">
        <v>1.6775701037155659</v>
      </c>
      <c r="G1182">
        <v>32.582209367506287</v>
      </c>
      <c r="H1182">
        <v>1.2628917191803271</v>
      </c>
      <c r="I1182">
        <v>0.740795179436606</v>
      </c>
      <c r="J1182">
        <v>0.12093682471473891</v>
      </c>
      <c r="K1182">
        <v>-2.23319452071193E-2</v>
      </c>
      <c r="L1182">
        <v>0.24257113458508661</v>
      </c>
      <c r="M1182">
        <v>18</v>
      </c>
      <c r="N1182">
        <v>1</v>
      </c>
      <c r="O1182">
        <v>0</v>
      </c>
      <c r="P1182">
        <v>0.53890000000000005</v>
      </c>
      <c r="Q1182">
        <v>4.0999999999999988E-2</v>
      </c>
      <c r="R1182">
        <v>9.2600000000000002E-2</v>
      </c>
      <c r="S1182">
        <v>0</v>
      </c>
      <c r="T1182">
        <v>0.53890000000000005</v>
      </c>
      <c r="U1182">
        <v>7</v>
      </c>
      <c r="V1182">
        <v>0</v>
      </c>
      <c r="W1182">
        <v>0.2857142857142857</v>
      </c>
      <c r="X1182">
        <v>1</v>
      </c>
      <c r="Y1182">
        <v>0.49220000000000003</v>
      </c>
      <c r="Z1182">
        <v>1</v>
      </c>
    </row>
    <row r="1183" spans="1:26" x14ac:dyDescent="0.2">
      <c r="A1183" t="s">
        <v>102</v>
      </c>
      <c r="B1183">
        <v>2023</v>
      </c>
      <c r="C1183" t="str">
        <f t="shared" si="18"/>
        <v>MSN2023</v>
      </c>
      <c r="D1183">
        <v>7360954539421.9502</v>
      </c>
      <c r="E1183">
        <v>2.4031535952304971E-2</v>
      </c>
      <c r="F1183">
        <v>1.122504423033269</v>
      </c>
      <c r="G1183">
        <v>32.624058959138907</v>
      </c>
      <c r="H1183">
        <v>0.7298527850445119</v>
      </c>
      <c r="I1183">
        <v>0.47204812083677877</v>
      </c>
      <c r="J1183">
        <v>4.2737630490803591E-2</v>
      </c>
      <c r="K1183">
        <v>1.5747213500303479E-2</v>
      </c>
      <c r="L1183">
        <v>0.2300584695141393</v>
      </c>
      <c r="M1183">
        <v>19</v>
      </c>
      <c r="N1183">
        <v>0</v>
      </c>
      <c r="O1183">
        <v>0</v>
      </c>
      <c r="P1183">
        <v>0.53890000000000005</v>
      </c>
      <c r="Q1183">
        <v>4.0999999999999988E-2</v>
      </c>
      <c r="R1183">
        <v>9.2600000000000002E-2</v>
      </c>
      <c r="S1183">
        <v>0</v>
      </c>
      <c r="T1183">
        <v>0.53890000000000005</v>
      </c>
      <c r="U1183">
        <v>7</v>
      </c>
      <c r="V1183">
        <v>0</v>
      </c>
      <c r="W1183">
        <v>0.2857142857142857</v>
      </c>
      <c r="X1183">
        <v>1</v>
      </c>
      <c r="Y1183">
        <v>0.49220000000000003</v>
      </c>
      <c r="Z1183">
        <v>1</v>
      </c>
    </row>
    <row r="1184" spans="1:26" x14ac:dyDescent="0.2">
      <c r="A1184" t="s">
        <v>103</v>
      </c>
      <c r="B1184">
        <v>2012</v>
      </c>
      <c r="C1184" t="str">
        <f t="shared" si="18"/>
        <v>NAG2012</v>
      </c>
      <c r="D1184">
        <v>-7.765800200730792E-14</v>
      </c>
      <c r="E1184">
        <v>-7.0017801961384254E-2</v>
      </c>
      <c r="F1184">
        <v>0.72283224221578213</v>
      </c>
      <c r="G1184">
        <v>26.581108095553251</v>
      </c>
      <c r="H1184">
        <v>1.3305654715814159</v>
      </c>
      <c r="I1184">
        <v>0.60402483560319131</v>
      </c>
      <c r="J1184">
        <v>-0.2353351827518616</v>
      </c>
      <c r="K1184">
        <v>0.1756262434044277</v>
      </c>
      <c r="L1184">
        <v>0.10742554930713941</v>
      </c>
      <c r="M1184">
        <v>5</v>
      </c>
      <c r="N1184">
        <v>0</v>
      </c>
      <c r="O1184">
        <v>0</v>
      </c>
      <c r="P1184">
        <v>0.63170000000000004</v>
      </c>
      <c r="Q1184">
        <v>0.44379999999999997</v>
      </c>
      <c r="R1184">
        <v>0</v>
      </c>
      <c r="S1184">
        <v>0</v>
      </c>
      <c r="T1184">
        <v>0.187</v>
      </c>
      <c r="U1184">
        <v>5</v>
      </c>
      <c r="V1184">
        <v>0</v>
      </c>
      <c r="W1184">
        <v>0.4</v>
      </c>
      <c r="X1184">
        <v>1</v>
      </c>
      <c r="Y1184">
        <v>0.36559999999999998</v>
      </c>
      <c r="Z1184">
        <v>1</v>
      </c>
    </row>
    <row r="1185" spans="1:26" x14ac:dyDescent="0.2">
      <c r="A1185" t="s">
        <v>103</v>
      </c>
      <c r="B1185">
        <v>2013</v>
      </c>
      <c r="C1185" t="str">
        <f t="shared" si="18"/>
        <v>NAG2013</v>
      </c>
      <c r="D1185">
        <v>1.7886460056196971E-14</v>
      </c>
      <c r="E1185">
        <v>9.5547726623789048E-3</v>
      </c>
      <c r="F1185">
        <v>0.63116938916020771</v>
      </c>
      <c r="G1185">
        <v>26.323794534748401</v>
      </c>
      <c r="H1185">
        <v>1.2962522811144801</v>
      </c>
      <c r="I1185">
        <v>0.48298614163330872</v>
      </c>
      <c r="J1185">
        <v>-0.22687424617915</v>
      </c>
      <c r="K1185">
        <v>0.19781670982618971</v>
      </c>
      <c r="L1185">
        <v>0.1096588611323277</v>
      </c>
      <c r="M1185">
        <v>6</v>
      </c>
      <c r="N1185">
        <v>0</v>
      </c>
      <c r="O1185">
        <v>0</v>
      </c>
      <c r="P1185">
        <v>0.53370000000000006</v>
      </c>
      <c r="Q1185">
        <v>0.35499999999999998</v>
      </c>
      <c r="R1185">
        <v>0</v>
      </c>
      <c r="S1185">
        <v>0</v>
      </c>
      <c r="T1185">
        <v>0.187</v>
      </c>
      <c r="U1185">
        <v>5</v>
      </c>
      <c r="V1185">
        <v>0</v>
      </c>
      <c r="W1185">
        <v>0.4</v>
      </c>
      <c r="X1185">
        <v>1</v>
      </c>
      <c r="Y1185">
        <v>0.37559999999999999</v>
      </c>
      <c r="Z1185">
        <v>1</v>
      </c>
    </row>
    <row r="1186" spans="1:26" x14ac:dyDescent="0.2">
      <c r="A1186" t="s">
        <v>103</v>
      </c>
      <c r="B1186">
        <v>2014</v>
      </c>
      <c r="C1186" t="str">
        <f t="shared" si="18"/>
        <v>NAG2014</v>
      </c>
      <c r="D1186">
        <v>2.018213380214326E-13</v>
      </c>
      <c r="E1186">
        <v>0.10003595551277469</v>
      </c>
      <c r="F1186">
        <v>0.76507278413856916</v>
      </c>
      <c r="G1186">
        <v>26.338965263749749</v>
      </c>
      <c r="H1186">
        <v>1.8533152661523269</v>
      </c>
      <c r="I1186">
        <v>0.43532900170970618</v>
      </c>
      <c r="J1186">
        <v>1.5286388650793899E-2</v>
      </c>
      <c r="K1186">
        <v>2.484527855726238E-2</v>
      </c>
      <c r="L1186">
        <v>9.1622093996172146E-2</v>
      </c>
      <c r="M1186">
        <v>7</v>
      </c>
      <c r="N1186">
        <v>0</v>
      </c>
      <c r="O1186">
        <v>0</v>
      </c>
      <c r="P1186">
        <v>0.53370000000000006</v>
      </c>
      <c r="Q1186">
        <v>0.35410000000000003</v>
      </c>
      <c r="R1186">
        <v>0</v>
      </c>
      <c r="S1186">
        <v>0</v>
      </c>
      <c r="T1186">
        <v>0.187</v>
      </c>
      <c r="U1186">
        <v>3</v>
      </c>
      <c r="V1186">
        <v>1</v>
      </c>
      <c r="W1186">
        <v>0.66666666666666652</v>
      </c>
      <c r="X1186">
        <v>1</v>
      </c>
      <c r="Y1186">
        <v>0.38</v>
      </c>
      <c r="Z1186">
        <v>1</v>
      </c>
    </row>
    <row r="1187" spans="1:26" x14ac:dyDescent="0.2">
      <c r="A1187" t="s">
        <v>103</v>
      </c>
      <c r="B1187">
        <v>2015</v>
      </c>
      <c r="C1187" t="str">
        <f t="shared" si="18"/>
        <v>NAG2015</v>
      </c>
      <c r="D1187">
        <v>1.3135717535670151E-13</v>
      </c>
      <c r="E1187">
        <v>6.3785002764146226E-2</v>
      </c>
      <c r="F1187">
        <v>0.65668960435859414</v>
      </c>
      <c r="G1187">
        <v>26.37099122161462</v>
      </c>
      <c r="H1187">
        <v>2.0490515506809568</v>
      </c>
      <c r="I1187">
        <v>0.41586773944190952</v>
      </c>
      <c r="J1187">
        <v>3.2544307602860201E-2</v>
      </c>
      <c r="K1187">
        <v>-2.484868207854354E-2</v>
      </c>
      <c r="L1187">
        <v>8.1269576233820848E-2</v>
      </c>
      <c r="M1187">
        <v>8</v>
      </c>
      <c r="N1187">
        <v>0</v>
      </c>
      <c r="O1187">
        <v>0</v>
      </c>
      <c r="P1187">
        <v>0.53370000000000006</v>
      </c>
      <c r="Q1187">
        <v>0.35479999999999989</v>
      </c>
      <c r="R1187">
        <v>0</v>
      </c>
      <c r="S1187">
        <v>0</v>
      </c>
      <c r="T1187">
        <v>0.187</v>
      </c>
      <c r="U1187">
        <v>6</v>
      </c>
      <c r="V1187">
        <v>1</v>
      </c>
      <c r="W1187">
        <v>0.5</v>
      </c>
      <c r="X1187">
        <v>1</v>
      </c>
      <c r="Y1187">
        <v>0.38219999999999998</v>
      </c>
      <c r="Z1187">
        <v>1</v>
      </c>
    </row>
    <row r="1188" spans="1:26" x14ac:dyDescent="0.2">
      <c r="A1188" t="s">
        <v>103</v>
      </c>
      <c r="B1188">
        <v>2016</v>
      </c>
      <c r="C1188" t="str">
        <f t="shared" si="18"/>
        <v>NAG2016</v>
      </c>
      <c r="D1188">
        <v>9.9027431774804638E-14</v>
      </c>
      <c r="E1188">
        <v>6.3813955708392434E-2</v>
      </c>
      <c r="F1188">
        <v>0.68266723677503993</v>
      </c>
      <c r="G1188">
        <v>26.55722802031136</v>
      </c>
      <c r="H1188">
        <v>2.1857273118666911</v>
      </c>
      <c r="I1188">
        <v>0.4697295413057529</v>
      </c>
      <c r="J1188">
        <v>0.2047074997700398</v>
      </c>
      <c r="K1188">
        <v>-0.12970681675174631</v>
      </c>
      <c r="L1188">
        <v>6.5187394600969617E-2</v>
      </c>
      <c r="M1188">
        <v>9</v>
      </c>
      <c r="N1188">
        <v>0</v>
      </c>
      <c r="O1188">
        <v>0</v>
      </c>
      <c r="P1188">
        <v>0.7056</v>
      </c>
      <c r="Q1188">
        <v>0.35479999999999989</v>
      </c>
      <c r="R1188">
        <v>0</v>
      </c>
      <c r="S1188">
        <v>0</v>
      </c>
      <c r="T1188">
        <v>0.187</v>
      </c>
      <c r="U1188">
        <v>5</v>
      </c>
      <c r="V1188">
        <v>1</v>
      </c>
      <c r="W1188">
        <v>0.6</v>
      </c>
      <c r="X1188">
        <v>1</v>
      </c>
      <c r="Y1188">
        <v>0.39219999999999999</v>
      </c>
      <c r="Z1188">
        <v>1</v>
      </c>
    </row>
    <row r="1189" spans="1:26" x14ac:dyDescent="0.2">
      <c r="A1189" t="s">
        <v>103</v>
      </c>
      <c r="B1189">
        <v>2017</v>
      </c>
      <c r="C1189" t="str">
        <f t="shared" si="18"/>
        <v>NAG2017</v>
      </c>
      <c r="D1189">
        <v>1.231830478134979E-13</v>
      </c>
      <c r="E1189">
        <v>8.4819476544928399E-2</v>
      </c>
      <c r="F1189">
        <v>0.75175802573500561</v>
      </c>
      <c r="G1189">
        <v>26.611599175934611</v>
      </c>
      <c r="H1189">
        <v>1.8754931039417591</v>
      </c>
      <c r="I1189">
        <v>0.4760063378889689</v>
      </c>
      <c r="J1189">
        <v>5.5876423906426893E-2</v>
      </c>
      <c r="K1189">
        <v>-1.6226411337847031E-2</v>
      </c>
      <c r="L1189">
        <v>6.2038761039089882E-2</v>
      </c>
      <c r="M1189">
        <v>10</v>
      </c>
      <c r="N1189">
        <v>0</v>
      </c>
      <c r="O1189">
        <v>0</v>
      </c>
      <c r="P1189">
        <v>0.7056</v>
      </c>
      <c r="Q1189">
        <v>0.38840000000000002</v>
      </c>
      <c r="R1189">
        <v>0</v>
      </c>
      <c r="S1189">
        <v>0</v>
      </c>
      <c r="T1189">
        <v>0.187</v>
      </c>
      <c r="U1189">
        <v>5</v>
      </c>
      <c r="V1189">
        <v>1</v>
      </c>
      <c r="W1189">
        <v>0.6</v>
      </c>
      <c r="X1189">
        <v>1</v>
      </c>
      <c r="Y1189">
        <v>0.40439999999999998</v>
      </c>
      <c r="Z1189">
        <v>1</v>
      </c>
    </row>
    <row r="1190" spans="1:26" x14ac:dyDescent="0.2">
      <c r="A1190" t="s">
        <v>103</v>
      </c>
      <c r="B1190">
        <v>2018</v>
      </c>
      <c r="C1190" t="str">
        <f t="shared" si="18"/>
        <v>NAG2018</v>
      </c>
      <c r="D1190">
        <v>2.6865968354920471E-14</v>
      </c>
      <c r="E1190">
        <v>5.0419651102385443E-2</v>
      </c>
      <c r="F1190">
        <v>0.80115972861213725</v>
      </c>
      <c r="G1190">
        <v>27.14293678974461</v>
      </c>
      <c r="H1190">
        <v>1.843513334061103</v>
      </c>
      <c r="I1190">
        <v>0.67293781544834497</v>
      </c>
      <c r="J1190">
        <v>0.7012063444933605</v>
      </c>
      <c r="K1190">
        <v>-0.17382706493552011</v>
      </c>
      <c r="L1190">
        <v>3.929284708976527E-2</v>
      </c>
      <c r="M1190">
        <v>11</v>
      </c>
      <c r="N1190">
        <v>0</v>
      </c>
      <c r="O1190">
        <v>0</v>
      </c>
      <c r="P1190">
        <v>0.7056</v>
      </c>
      <c r="Q1190">
        <v>0.38840000000000002</v>
      </c>
      <c r="R1190">
        <v>0</v>
      </c>
      <c r="S1190">
        <v>0</v>
      </c>
      <c r="T1190">
        <v>0.187</v>
      </c>
      <c r="U1190">
        <v>5</v>
      </c>
      <c r="V1190">
        <v>1</v>
      </c>
      <c r="W1190">
        <v>0.6</v>
      </c>
      <c r="X1190">
        <v>1</v>
      </c>
      <c r="Y1190">
        <v>0.41439999999999999</v>
      </c>
      <c r="Z1190">
        <v>1</v>
      </c>
    </row>
    <row r="1191" spans="1:26" x14ac:dyDescent="0.2">
      <c r="A1191" t="s">
        <v>103</v>
      </c>
      <c r="B1191">
        <v>2019</v>
      </c>
      <c r="C1191" t="str">
        <f t="shared" si="18"/>
        <v>NAG2019</v>
      </c>
      <c r="D1191">
        <v>2.9461521505959392E-14</v>
      </c>
      <c r="E1191">
        <v>5.6588070361017477E-2</v>
      </c>
      <c r="F1191">
        <v>0.77650573848730142</v>
      </c>
      <c r="G1191">
        <v>27.18365917248126</v>
      </c>
      <c r="H1191">
        <v>1.3465767627433589</v>
      </c>
      <c r="I1191">
        <v>0.66715390706879418</v>
      </c>
      <c r="J1191">
        <v>4.1562909559877292E-2</v>
      </c>
      <c r="K1191">
        <v>1.168249299790337E-2</v>
      </c>
      <c r="L1191">
        <v>3.6449576953709831E-2</v>
      </c>
      <c r="M1191">
        <v>12</v>
      </c>
      <c r="N1191">
        <v>0</v>
      </c>
      <c r="O1191">
        <v>1</v>
      </c>
      <c r="P1191">
        <v>0.52190000000000003</v>
      </c>
      <c r="Q1191">
        <v>0.38840000000000002</v>
      </c>
      <c r="R1191">
        <v>0</v>
      </c>
      <c r="S1191">
        <v>0</v>
      </c>
      <c r="T1191">
        <v>0.17519999999999999</v>
      </c>
      <c r="U1191">
        <v>5</v>
      </c>
      <c r="V1191">
        <v>1</v>
      </c>
      <c r="W1191">
        <v>0.6</v>
      </c>
      <c r="X1191">
        <v>1</v>
      </c>
      <c r="Y1191">
        <v>0.4244</v>
      </c>
      <c r="Z1191">
        <v>1</v>
      </c>
    </row>
    <row r="1192" spans="1:26" x14ac:dyDescent="0.2">
      <c r="A1192" t="s">
        <v>103</v>
      </c>
      <c r="B1192">
        <v>2020</v>
      </c>
      <c r="C1192" t="str">
        <f t="shared" si="18"/>
        <v>NAG2020</v>
      </c>
      <c r="D1192">
        <v>1.3818014954271061E-14</v>
      </c>
      <c r="E1192">
        <v>3.8844270110122092E-2</v>
      </c>
      <c r="F1192">
        <v>0.82751159333880908</v>
      </c>
      <c r="G1192">
        <v>27.374293377319379</v>
      </c>
      <c r="H1192">
        <v>1.369457264173477</v>
      </c>
      <c r="I1192">
        <v>0.72481595338032878</v>
      </c>
      <c r="J1192">
        <v>0.21001675284362281</v>
      </c>
      <c r="K1192">
        <v>-1.55933850210317E-2</v>
      </c>
      <c r="L1192">
        <v>5.4953881509548851E-2</v>
      </c>
      <c r="M1192">
        <v>13</v>
      </c>
      <c r="N1192">
        <v>0</v>
      </c>
      <c r="O1192">
        <v>1</v>
      </c>
      <c r="P1192">
        <v>0.52190000000000003</v>
      </c>
      <c r="Q1192">
        <v>0.38840000000000002</v>
      </c>
      <c r="R1192">
        <v>0</v>
      </c>
      <c r="S1192">
        <v>0</v>
      </c>
      <c r="T1192">
        <v>0.17519999999999999</v>
      </c>
      <c r="U1192">
        <v>5</v>
      </c>
      <c r="V1192">
        <v>0</v>
      </c>
      <c r="W1192">
        <v>0.6</v>
      </c>
      <c r="X1192">
        <v>1</v>
      </c>
      <c r="Y1192">
        <v>0.43440000000000001</v>
      </c>
      <c r="Z1192">
        <v>1</v>
      </c>
    </row>
    <row r="1193" spans="1:26" x14ac:dyDescent="0.2">
      <c r="A1193" t="s">
        <v>103</v>
      </c>
      <c r="B1193">
        <v>2021</v>
      </c>
      <c r="C1193" t="str">
        <f t="shared" si="18"/>
        <v>NAG2021</v>
      </c>
      <c r="D1193">
        <v>1.070463750414476E-14</v>
      </c>
      <c r="E1193">
        <v>6.7453362906466391E-2</v>
      </c>
      <c r="F1193">
        <v>1.008037662982445</v>
      </c>
      <c r="G1193">
        <v>27.81418365673796</v>
      </c>
      <c r="H1193">
        <v>1.2643084645604119</v>
      </c>
      <c r="I1193">
        <v>0.80940353587036717</v>
      </c>
      <c r="J1193">
        <v>0.55253686391842738</v>
      </c>
      <c r="K1193">
        <v>-0.24886457003716411</v>
      </c>
      <c r="L1193">
        <v>2.0686745974026449E-2</v>
      </c>
      <c r="M1193">
        <v>14</v>
      </c>
      <c r="N1193">
        <v>0</v>
      </c>
      <c r="O1193">
        <v>0</v>
      </c>
      <c r="P1193">
        <v>0.60040000000000004</v>
      </c>
      <c r="Q1193">
        <v>0.38869999999999999</v>
      </c>
      <c r="R1193">
        <v>0</v>
      </c>
      <c r="S1193">
        <v>0</v>
      </c>
      <c r="T1193">
        <v>0.1867</v>
      </c>
      <c r="U1193">
        <v>5</v>
      </c>
      <c r="V1193">
        <v>0</v>
      </c>
      <c r="W1193">
        <v>0.6</v>
      </c>
      <c r="X1193">
        <v>1</v>
      </c>
      <c r="Y1193">
        <v>0.44440000000000002</v>
      </c>
      <c r="Z1193">
        <v>1</v>
      </c>
    </row>
    <row r="1194" spans="1:26" x14ac:dyDescent="0.2">
      <c r="A1194" t="s">
        <v>103</v>
      </c>
      <c r="B1194">
        <v>2022</v>
      </c>
      <c r="C1194" t="str">
        <f t="shared" si="18"/>
        <v>NAG2022</v>
      </c>
      <c r="D1194">
        <v>1.0798366106961479E-14</v>
      </c>
      <c r="E1194">
        <v>5.9883779638929269E-2</v>
      </c>
      <c r="F1194">
        <v>1.0718837047092831</v>
      </c>
      <c r="G1194">
        <v>28.021554954100189</v>
      </c>
      <c r="H1194">
        <v>1.127912744942634</v>
      </c>
      <c r="I1194">
        <v>0.73352557422920406</v>
      </c>
      <c r="J1194">
        <v>0.2304393458594966</v>
      </c>
      <c r="K1194">
        <v>-4.2737793974957333E-2</v>
      </c>
      <c r="L1194">
        <v>6.0604010513821992E-2</v>
      </c>
      <c r="M1194">
        <v>15</v>
      </c>
      <c r="N1194">
        <v>0</v>
      </c>
      <c r="O1194">
        <v>0</v>
      </c>
      <c r="P1194">
        <v>0.47899999999999998</v>
      </c>
      <c r="Q1194">
        <v>4.6600000000000003E-2</v>
      </c>
      <c r="R1194">
        <v>0</v>
      </c>
      <c r="S1194">
        <v>0</v>
      </c>
      <c r="T1194">
        <v>0.1016</v>
      </c>
      <c r="U1194">
        <v>5</v>
      </c>
      <c r="V1194">
        <v>0</v>
      </c>
      <c r="W1194">
        <v>0.4</v>
      </c>
      <c r="X1194">
        <v>1</v>
      </c>
      <c r="Y1194">
        <v>0.41899999999999998</v>
      </c>
      <c r="Z1194">
        <v>1</v>
      </c>
    </row>
    <row r="1195" spans="1:26" x14ac:dyDescent="0.2">
      <c r="A1195" t="s">
        <v>103</v>
      </c>
      <c r="B1195">
        <v>2023</v>
      </c>
      <c r="C1195" t="str">
        <f t="shared" si="18"/>
        <v>NAG2023</v>
      </c>
      <c r="D1195">
        <v>39373211389.269836</v>
      </c>
      <c r="E1195">
        <v>4.1182018449275243E-2</v>
      </c>
      <c r="F1195">
        <v>0.77638057480475553</v>
      </c>
      <c r="G1195">
        <v>28.095378415472361</v>
      </c>
      <c r="H1195">
        <v>1.2131138534798389</v>
      </c>
      <c r="I1195">
        <v>0.61614684584379475</v>
      </c>
      <c r="J1195">
        <v>7.6616724279181092E-2</v>
      </c>
      <c r="K1195">
        <v>4.685845902087993E-3</v>
      </c>
      <c r="L1195">
        <v>6.1003540764894823E-2</v>
      </c>
      <c r="M1195">
        <v>16</v>
      </c>
      <c r="N1195">
        <v>0</v>
      </c>
      <c r="O1195">
        <v>0</v>
      </c>
      <c r="P1195">
        <v>0.47899999999999998</v>
      </c>
      <c r="Q1195">
        <v>4.6600000000000003E-2</v>
      </c>
      <c r="R1195">
        <v>0</v>
      </c>
      <c r="S1195">
        <v>0</v>
      </c>
      <c r="T1195">
        <v>0.1016</v>
      </c>
      <c r="U1195">
        <v>5</v>
      </c>
      <c r="V1195">
        <v>0</v>
      </c>
      <c r="W1195">
        <v>0.4</v>
      </c>
      <c r="X1195">
        <v>1</v>
      </c>
      <c r="Y1195">
        <v>0.41899999999999998</v>
      </c>
      <c r="Z1195">
        <v>1</v>
      </c>
    </row>
    <row r="1196" spans="1:26" x14ac:dyDescent="0.2">
      <c r="A1196" t="s">
        <v>104</v>
      </c>
      <c r="B1196">
        <v>2012</v>
      </c>
      <c r="C1196" t="str">
        <f t="shared" si="18"/>
        <v>NAV2012</v>
      </c>
      <c r="D1196">
        <v>1.3350990800226881E-13</v>
      </c>
      <c r="E1196">
        <v>4.7904134652864111E-2</v>
      </c>
      <c r="F1196">
        <v>0.79545432932179883</v>
      </c>
      <c r="G1196">
        <v>25.933402311981961</v>
      </c>
      <c r="H1196">
        <v>1.7515534931479511</v>
      </c>
      <c r="I1196">
        <v>0.48964306766738508</v>
      </c>
      <c r="J1196">
        <v>8.0013928762008302E-2</v>
      </c>
      <c r="K1196">
        <v>-0.12360132147562961</v>
      </c>
      <c r="L1196">
        <v>0.1190152165580943</v>
      </c>
      <c r="M1196">
        <v>11</v>
      </c>
      <c r="N1196">
        <v>0</v>
      </c>
      <c r="O1196">
        <v>0</v>
      </c>
      <c r="P1196">
        <v>0.29120000000000001</v>
      </c>
      <c r="Q1196">
        <v>0.17430000000000001</v>
      </c>
      <c r="R1196">
        <v>0</v>
      </c>
      <c r="S1196">
        <v>0.2</v>
      </c>
      <c r="T1196">
        <v>0.2</v>
      </c>
      <c r="U1196">
        <v>7</v>
      </c>
      <c r="V1196">
        <v>0</v>
      </c>
      <c r="W1196">
        <v>0</v>
      </c>
      <c r="X1196">
        <v>0</v>
      </c>
      <c r="Y1196">
        <v>0.53380000000000005</v>
      </c>
      <c r="Z1196">
        <v>1</v>
      </c>
    </row>
    <row r="1197" spans="1:26" x14ac:dyDescent="0.2">
      <c r="A1197" t="s">
        <v>104</v>
      </c>
      <c r="B1197">
        <v>2013</v>
      </c>
      <c r="C1197" t="str">
        <f t="shared" si="18"/>
        <v>NAV2013</v>
      </c>
      <c r="D1197">
        <v>1.1890244410205779E-13</v>
      </c>
      <c r="E1197">
        <v>3.9481202931230322E-2</v>
      </c>
      <c r="F1197">
        <v>0.76622706037541433</v>
      </c>
      <c r="G1197">
        <v>25.908993546077451</v>
      </c>
      <c r="H1197">
        <v>1.5354014746601241</v>
      </c>
      <c r="I1197">
        <v>0.46181283764638159</v>
      </c>
      <c r="J1197">
        <v>-2.4113281000836762E-2</v>
      </c>
      <c r="K1197">
        <v>1.9503088894128561E-2</v>
      </c>
      <c r="L1197">
        <v>0.129742654024355</v>
      </c>
      <c r="M1197">
        <v>12</v>
      </c>
      <c r="N1197">
        <v>0</v>
      </c>
      <c r="O1197">
        <v>0</v>
      </c>
      <c r="P1197">
        <v>0.29120000000000001</v>
      </c>
      <c r="Q1197">
        <v>0.1749</v>
      </c>
      <c r="R1197">
        <v>0</v>
      </c>
      <c r="S1197">
        <v>0.2</v>
      </c>
      <c r="T1197">
        <v>0.2</v>
      </c>
      <c r="U1197">
        <v>7</v>
      </c>
      <c r="V1197">
        <v>0</v>
      </c>
      <c r="W1197">
        <v>0</v>
      </c>
      <c r="X1197">
        <v>0</v>
      </c>
      <c r="Y1197">
        <v>0.54380000000000006</v>
      </c>
      <c r="Z1197">
        <v>1</v>
      </c>
    </row>
    <row r="1198" spans="1:26" x14ac:dyDescent="0.2">
      <c r="A1198" t="s">
        <v>104</v>
      </c>
      <c r="B1198">
        <v>2014</v>
      </c>
      <c r="C1198" t="str">
        <f t="shared" si="18"/>
        <v>NAV2014</v>
      </c>
      <c r="D1198">
        <v>2.8331017031173762E-13</v>
      </c>
      <c r="E1198">
        <v>7.8014661723053713E-2</v>
      </c>
      <c r="F1198">
        <v>0.74166226666967716</v>
      </c>
      <c r="G1198">
        <v>25.827648502995679</v>
      </c>
      <c r="H1198">
        <v>1.592776186013158</v>
      </c>
      <c r="I1198">
        <v>0.40173835489596399</v>
      </c>
      <c r="J1198">
        <v>-7.8124450236016107E-2</v>
      </c>
      <c r="K1198">
        <v>0.15463047906831329</v>
      </c>
      <c r="L1198">
        <v>0.17681894655842911</v>
      </c>
      <c r="M1198">
        <v>13</v>
      </c>
      <c r="N1198">
        <v>0</v>
      </c>
      <c r="O1198">
        <v>0</v>
      </c>
      <c r="P1198">
        <v>0.29120000000000001</v>
      </c>
      <c r="Q1198">
        <v>0.1739</v>
      </c>
      <c r="R1198">
        <v>0</v>
      </c>
      <c r="S1198">
        <v>0.2</v>
      </c>
      <c r="T1198">
        <v>0.2</v>
      </c>
      <c r="U1198">
        <v>7</v>
      </c>
      <c r="V1198">
        <v>0</v>
      </c>
      <c r="W1198">
        <v>0</v>
      </c>
      <c r="X1198">
        <v>0</v>
      </c>
      <c r="Y1198">
        <v>0.54430000000000001</v>
      </c>
      <c r="Z1198">
        <v>1</v>
      </c>
    </row>
    <row r="1199" spans="1:26" x14ac:dyDescent="0.2">
      <c r="A1199" t="s">
        <v>104</v>
      </c>
      <c r="B1199">
        <v>2015</v>
      </c>
      <c r="C1199" t="str">
        <f t="shared" si="18"/>
        <v>NAV2015</v>
      </c>
      <c r="D1199">
        <v>2.3478661644876099E-13</v>
      </c>
      <c r="E1199">
        <v>6.3949032961511443E-2</v>
      </c>
      <c r="F1199">
        <v>0.87550901613132659</v>
      </c>
      <c r="G1199">
        <v>25.828012202858829</v>
      </c>
      <c r="H1199">
        <v>1.6896915091620821</v>
      </c>
      <c r="I1199">
        <v>0.39493430051243411</v>
      </c>
      <c r="J1199">
        <v>3.6376602817500547E-4</v>
      </c>
      <c r="K1199">
        <v>-7.5954908777656538E-2</v>
      </c>
      <c r="L1199">
        <v>0.1396460840641254</v>
      </c>
      <c r="M1199">
        <v>14</v>
      </c>
      <c r="N1199">
        <v>0</v>
      </c>
      <c r="O1199">
        <v>0</v>
      </c>
      <c r="P1199">
        <v>0.29120000000000001</v>
      </c>
      <c r="Q1199">
        <v>0.13150000000000001</v>
      </c>
      <c r="R1199">
        <v>0</v>
      </c>
      <c r="S1199">
        <v>0.2</v>
      </c>
      <c r="T1199">
        <v>0.2</v>
      </c>
      <c r="U1199">
        <v>7</v>
      </c>
      <c r="V1199">
        <v>0</v>
      </c>
      <c r="W1199">
        <v>0</v>
      </c>
      <c r="X1199">
        <v>0</v>
      </c>
      <c r="Y1199">
        <v>0.53</v>
      </c>
      <c r="Z1199">
        <v>1</v>
      </c>
    </row>
    <row r="1200" spans="1:26" x14ac:dyDescent="0.2">
      <c r="A1200" t="s">
        <v>104</v>
      </c>
      <c r="B1200">
        <v>2016</v>
      </c>
      <c r="C1200" t="str">
        <f t="shared" si="18"/>
        <v>NAV2016</v>
      </c>
      <c r="D1200">
        <v>-7.2876317506504902E-13</v>
      </c>
      <c r="E1200">
        <v>-0.1502678089263321</v>
      </c>
      <c r="F1200">
        <v>0.76059775679888242</v>
      </c>
      <c r="G1200">
        <v>25.581373189160381</v>
      </c>
      <c r="H1200">
        <v>2.0307895027276088</v>
      </c>
      <c r="I1200">
        <v>0.37544645048458691</v>
      </c>
      <c r="J1200">
        <v>-0.2185772744768916</v>
      </c>
      <c r="K1200">
        <v>0.32085173333081718</v>
      </c>
      <c r="L1200">
        <v>0.14334633100631591</v>
      </c>
      <c r="M1200">
        <v>15</v>
      </c>
      <c r="N1200">
        <v>0</v>
      </c>
      <c r="O1200">
        <v>0</v>
      </c>
      <c r="P1200">
        <v>0.33139999999999997</v>
      </c>
      <c r="Q1200">
        <v>0.186</v>
      </c>
      <c r="R1200">
        <v>0</v>
      </c>
      <c r="S1200">
        <v>0.2</v>
      </c>
      <c r="T1200">
        <v>0.2</v>
      </c>
      <c r="U1200">
        <v>4</v>
      </c>
      <c r="V1200">
        <v>0</v>
      </c>
      <c r="W1200">
        <v>0</v>
      </c>
      <c r="X1200">
        <v>0</v>
      </c>
      <c r="Y1200">
        <v>0.49199999999999999</v>
      </c>
      <c r="Z1200">
        <v>1</v>
      </c>
    </row>
    <row r="1201" spans="1:26" x14ac:dyDescent="0.2">
      <c r="A1201" t="s">
        <v>104</v>
      </c>
      <c r="B1201">
        <v>2017</v>
      </c>
      <c r="C1201" t="str">
        <f t="shared" si="18"/>
        <v>NAV2017</v>
      </c>
      <c r="D1201">
        <v>1.457554885691343E-13</v>
      </c>
      <c r="E1201">
        <v>3.2188388452535251E-2</v>
      </c>
      <c r="F1201">
        <v>0.7314723973141859</v>
      </c>
      <c r="G1201">
        <v>25.631362600835729</v>
      </c>
      <c r="H1201">
        <v>2.056026896290176</v>
      </c>
      <c r="I1201">
        <v>0.38696534647138542</v>
      </c>
      <c r="J1201">
        <v>5.1259965235286087E-2</v>
      </c>
      <c r="K1201">
        <v>0.48791884098650001</v>
      </c>
      <c r="L1201">
        <v>0.1130706537596723</v>
      </c>
      <c r="M1201">
        <v>16</v>
      </c>
      <c r="N1201">
        <v>0</v>
      </c>
      <c r="O1201">
        <v>0</v>
      </c>
      <c r="P1201">
        <v>0.33139999999999997</v>
      </c>
      <c r="Q1201">
        <v>0.38600000000000001</v>
      </c>
      <c r="R1201">
        <v>0</v>
      </c>
      <c r="S1201">
        <v>0.2</v>
      </c>
      <c r="T1201">
        <v>0.2</v>
      </c>
      <c r="U1201">
        <v>4</v>
      </c>
      <c r="V1201">
        <v>0</v>
      </c>
      <c r="W1201">
        <v>0</v>
      </c>
      <c r="X1201">
        <v>0</v>
      </c>
      <c r="Y1201">
        <v>0.48330000000000001</v>
      </c>
      <c r="Z1201">
        <v>1</v>
      </c>
    </row>
    <row r="1202" spans="1:26" x14ac:dyDescent="0.2">
      <c r="A1202" t="s">
        <v>104</v>
      </c>
      <c r="B1202">
        <v>2018</v>
      </c>
      <c r="C1202" t="str">
        <f t="shared" si="18"/>
        <v>NAV2018</v>
      </c>
      <c r="D1202">
        <v>5.1957895286759284E-13</v>
      </c>
      <c r="E1202">
        <v>0.15422857748748639</v>
      </c>
      <c r="F1202">
        <v>0.78694559939483943</v>
      </c>
      <c r="G1202">
        <v>25.858421580684151</v>
      </c>
      <c r="H1202">
        <v>2.1354849962016398</v>
      </c>
      <c r="I1202">
        <v>0.42765683521354442</v>
      </c>
      <c r="J1202">
        <v>0.254903879798273</v>
      </c>
      <c r="K1202">
        <v>0.24932669793140641</v>
      </c>
      <c r="L1202">
        <v>8.1838455459183695E-2</v>
      </c>
      <c r="M1202">
        <v>17</v>
      </c>
      <c r="N1202">
        <v>0</v>
      </c>
      <c r="O1202">
        <v>0</v>
      </c>
      <c r="P1202">
        <v>0.33139999999999997</v>
      </c>
      <c r="Q1202">
        <v>0.38600000000000001</v>
      </c>
      <c r="R1202">
        <v>0</v>
      </c>
      <c r="S1202">
        <v>0.2</v>
      </c>
      <c r="T1202">
        <v>0.2</v>
      </c>
      <c r="U1202">
        <v>4</v>
      </c>
      <c r="V1202">
        <v>0</v>
      </c>
      <c r="W1202">
        <v>0</v>
      </c>
      <c r="X1202">
        <v>0</v>
      </c>
      <c r="Y1202">
        <v>0.49330000000000002</v>
      </c>
      <c r="Z1202">
        <v>1</v>
      </c>
    </row>
    <row r="1203" spans="1:26" x14ac:dyDescent="0.2">
      <c r="A1203" t="s">
        <v>104</v>
      </c>
      <c r="B1203">
        <v>2019</v>
      </c>
      <c r="C1203" t="str">
        <f t="shared" si="18"/>
        <v>NAV2019</v>
      </c>
      <c r="D1203">
        <v>4.1075017327612081E-13</v>
      </c>
      <c r="E1203">
        <v>0.1361922948072741</v>
      </c>
      <c r="F1203">
        <v>0.98579276652218262</v>
      </c>
      <c r="G1203">
        <v>25.95625053745928</v>
      </c>
      <c r="H1203">
        <v>2.0764273960876078</v>
      </c>
      <c r="I1203">
        <v>0.43495687265845101</v>
      </c>
      <c r="J1203">
        <v>0.1027741469181518</v>
      </c>
      <c r="K1203">
        <v>0.15685032219773201</v>
      </c>
      <c r="L1203">
        <v>6.8595943521097935E-2</v>
      </c>
      <c r="M1203">
        <v>18</v>
      </c>
      <c r="N1203">
        <v>0</v>
      </c>
      <c r="O1203">
        <v>1</v>
      </c>
      <c r="P1203">
        <v>0.52100000000000002</v>
      </c>
      <c r="Q1203">
        <v>0.214</v>
      </c>
      <c r="R1203">
        <v>0</v>
      </c>
      <c r="S1203">
        <v>0.2</v>
      </c>
      <c r="T1203">
        <v>0.2</v>
      </c>
      <c r="U1203">
        <v>3</v>
      </c>
      <c r="V1203">
        <v>0</v>
      </c>
      <c r="W1203">
        <v>0</v>
      </c>
      <c r="X1203">
        <v>0</v>
      </c>
      <c r="Y1203">
        <v>0.53799999999999992</v>
      </c>
      <c r="Z1203">
        <v>1</v>
      </c>
    </row>
    <row r="1204" spans="1:26" x14ac:dyDescent="0.2">
      <c r="A1204" t="s">
        <v>104</v>
      </c>
      <c r="B1204">
        <v>2020</v>
      </c>
      <c r="C1204" t="str">
        <f t="shared" si="18"/>
        <v>NAV2020</v>
      </c>
      <c r="D1204">
        <v>7.5834763497691904E-13</v>
      </c>
      <c r="E1204">
        <v>0.22217822566848561</v>
      </c>
      <c r="F1204">
        <v>1.2169454882159469</v>
      </c>
      <c r="G1204">
        <v>25.919137083407179</v>
      </c>
      <c r="H1204">
        <v>1.696127363978214</v>
      </c>
      <c r="I1204">
        <v>0.38382360984531638</v>
      </c>
      <c r="J1204">
        <v>-3.6433191401227472E-2</v>
      </c>
      <c r="K1204">
        <v>0.1054733366653802</v>
      </c>
      <c r="L1204">
        <v>2.4808994297717331E-2</v>
      </c>
      <c r="M1204">
        <v>19</v>
      </c>
      <c r="N1204">
        <v>0</v>
      </c>
      <c r="O1204">
        <v>1</v>
      </c>
      <c r="P1204">
        <v>0.9052</v>
      </c>
      <c r="Q1204">
        <v>0.42159999999999997</v>
      </c>
      <c r="R1204">
        <v>0</v>
      </c>
      <c r="S1204">
        <v>0.2</v>
      </c>
      <c r="T1204">
        <v>0.2</v>
      </c>
      <c r="U1204">
        <v>5</v>
      </c>
      <c r="V1204">
        <v>0</v>
      </c>
      <c r="W1204">
        <v>0.2</v>
      </c>
      <c r="X1204">
        <v>1</v>
      </c>
      <c r="Y1204">
        <v>0.52859999999999996</v>
      </c>
      <c r="Z1204">
        <v>1</v>
      </c>
    </row>
    <row r="1205" spans="1:26" x14ac:dyDescent="0.2">
      <c r="A1205" t="s">
        <v>104</v>
      </c>
      <c r="B1205">
        <v>2021</v>
      </c>
      <c r="C1205" t="str">
        <f t="shared" si="18"/>
        <v>NAV2021</v>
      </c>
      <c r="D1205">
        <v>5.6490542544376367E-13</v>
      </c>
      <c r="E1205">
        <v>0.18101676579098941</v>
      </c>
      <c r="F1205">
        <v>1.4975383202298189</v>
      </c>
      <c r="G1205">
        <v>25.920766113246849</v>
      </c>
      <c r="H1205">
        <v>2.14322764640688</v>
      </c>
      <c r="I1205">
        <v>0.43570963578597832</v>
      </c>
      <c r="J1205">
        <v>1.63035742957951E-3</v>
      </c>
      <c r="K1205">
        <v>-2.6886841627759311E-2</v>
      </c>
      <c r="L1205">
        <v>2.1964063489829402E-2</v>
      </c>
      <c r="M1205">
        <v>20</v>
      </c>
      <c r="N1205">
        <v>0</v>
      </c>
      <c r="O1205">
        <v>0</v>
      </c>
      <c r="P1205">
        <v>0.91049999999999998</v>
      </c>
      <c r="Q1205">
        <v>0.10050000000000001</v>
      </c>
      <c r="R1205">
        <v>0</v>
      </c>
      <c r="S1205">
        <v>0.2</v>
      </c>
      <c r="T1205">
        <v>0.2</v>
      </c>
      <c r="U1205">
        <v>3</v>
      </c>
      <c r="V1205">
        <v>0</v>
      </c>
      <c r="W1205">
        <v>0</v>
      </c>
      <c r="X1205">
        <v>0</v>
      </c>
      <c r="Y1205">
        <v>0.49669999999999997</v>
      </c>
      <c r="Z1205">
        <v>1</v>
      </c>
    </row>
    <row r="1206" spans="1:26" x14ac:dyDescent="0.2">
      <c r="A1206" t="s">
        <v>104</v>
      </c>
      <c r="B1206">
        <v>2022</v>
      </c>
      <c r="C1206" t="str">
        <f t="shared" si="18"/>
        <v>NAV2022</v>
      </c>
      <c r="D1206">
        <v>1.7984303311552559E-12</v>
      </c>
      <c r="E1206">
        <v>0.21393462053832901</v>
      </c>
      <c r="F1206">
        <v>1.450471490673837</v>
      </c>
      <c r="G1206">
        <v>25.45572986613076</v>
      </c>
      <c r="H1206">
        <v>2.1588654414695521</v>
      </c>
      <c r="I1206">
        <v>4.5237042590442818E-2</v>
      </c>
      <c r="J1206">
        <v>-0.37188766248380373</v>
      </c>
      <c r="K1206">
        <v>-0.24535275023283429</v>
      </c>
      <c r="L1206">
        <v>9.7272870971363848E-2</v>
      </c>
      <c r="M1206">
        <v>21</v>
      </c>
      <c r="N1206">
        <v>0</v>
      </c>
      <c r="O1206">
        <v>0</v>
      </c>
      <c r="P1206">
        <v>0.91049999999999998</v>
      </c>
      <c r="Q1206">
        <v>0.10050000000000001</v>
      </c>
      <c r="R1206">
        <v>0</v>
      </c>
      <c r="S1206">
        <v>0.2</v>
      </c>
      <c r="T1206">
        <v>0.2</v>
      </c>
      <c r="U1206">
        <v>3</v>
      </c>
      <c r="V1206">
        <v>0</v>
      </c>
      <c r="W1206">
        <v>0</v>
      </c>
      <c r="X1206">
        <v>0</v>
      </c>
      <c r="Y1206">
        <v>0.50670000000000004</v>
      </c>
      <c r="Z1206">
        <v>1</v>
      </c>
    </row>
    <row r="1207" spans="1:26" x14ac:dyDescent="0.2">
      <c r="A1207" t="s">
        <v>104</v>
      </c>
      <c r="B1207">
        <v>2023</v>
      </c>
      <c r="C1207" t="str">
        <f t="shared" si="18"/>
        <v>NAV2023</v>
      </c>
      <c r="D1207">
        <v>-678340181644.56921</v>
      </c>
      <c r="E1207">
        <v>0.17490978316440681</v>
      </c>
      <c r="F1207">
        <v>1.207894230677004</v>
      </c>
      <c r="G1207">
        <v>25.516342719532609</v>
      </c>
      <c r="H1207">
        <v>21.991426827978859</v>
      </c>
      <c r="I1207">
        <v>0</v>
      </c>
      <c r="J1207">
        <v>6.2487496133079252E-2</v>
      </c>
      <c r="K1207">
        <v>0.19868837580324419</v>
      </c>
      <c r="L1207">
        <v>9.2092261322973268E-2</v>
      </c>
      <c r="M1207">
        <v>22</v>
      </c>
      <c r="N1207">
        <v>0</v>
      </c>
      <c r="O1207">
        <v>0</v>
      </c>
      <c r="P1207">
        <v>0.91049999999999998</v>
      </c>
      <c r="Q1207">
        <v>0.10050000000000001</v>
      </c>
      <c r="R1207">
        <v>0</v>
      </c>
      <c r="S1207">
        <v>0.2</v>
      </c>
      <c r="T1207">
        <v>0.2</v>
      </c>
      <c r="U1207">
        <v>3</v>
      </c>
      <c r="V1207">
        <v>0</v>
      </c>
      <c r="W1207">
        <v>0</v>
      </c>
      <c r="X1207">
        <v>0</v>
      </c>
      <c r="Y1207">
        <v>0.50670000000000004</v>
      </c>
      <c r="Z1207">
        <v>1</v>
      </c>
    </row>
    <row r="1208" spans="1:26" x14ac:dyDescent="0.2">
      <c r="A1208" t="s">
        <v>105</v>
      </c>
      <c r="B1208">
        <v>2012</v>
      </c>
      <c r="C1208" t="str">
        <f t="shared" si="18"/>
        <v>NET2012</v>
      </c>
      <c r="D1208">
        <v>7.3609056556902624E-13</v>
      </c>
      <c r="E1208">
        <v>0.29836833334705348</v>
      </c>
      <c r="F1208">
        <v>1.43509596440953</v>
      </c>
      <c r="G1208">
        <v>26.343589948725299</v>
      </c>
      <c r="H1208">
        <v>2.4119039385633338</v>
      </c>
      <c r="I1208">
        <v>0.31914556410844352</v>
      </c>
      <c r="J1208">
        <v>6.9796390902059358E-2</v>
      </c>
      <c r="K1208">
        <v>0.23723421924445079</v>
      </c>
      <c r="L1208">
        <v>0.25358617586755811</v>
      </c>
      <c r="M1208">
        <v>9</v>
      </c>
      <c r="N1208">
        <v>0</v>
      </c>
      <c r="O1208">
        <v>0</v>
      </c>
      <c r="P1208">
        <v>0.51</v>
      </c>
      <c r="Q1208">
        <v>6.0000000000000001E-3</v>
      </c>
      <c r="R1208">
        <v>0</v>
      </c>
      <c r="S1208">
        <v>0.51</v>
      </c>
      <c r="T1208">
        <v>0.51</v>
      </c>
      <c r="U1208">
        <v>5</v>
      </c>
      <c r="V1208">
        <v>1</v>
      </c>
      <c r="W1208">
        <v>0.2</v>
      </c>
      <c r="X1208">
        <v>1</v>
      </c>
      <c r="Y1208">
        <v>0.45900000000000002</v>
      </c>
      <c r="Z1208">
        <v>1</v>
      </c>
    </row>
    <row r="1209" spans="1:26" x14ac:dyDescent="0.2">
      <c r="A1209" t="s">
        <v>105</v>
      </c>
      <c r="B1209">
        <v>2013</v>
      </c>
      <c r="C1209" t="str">
        <f t="shared" si="18"/>
        <v>NET2013</v>
      </c>
      <c r="D1209">
        <v>5.3443692567246667E-13</v>
      </c>
      <c r="E1209">
        <v>0.26643507518264431</v>
      </c>
      <c r="F1209">
        <v>1.7556263564416501</v>
      </c>
      <c r="G1209">
        <v>26.498846899638739</v>
      </c>
      <c r="H1209">
        <v>2.330654382076546</v>
      </c>
      <c r="I1209">
        <v>0.35344117347907472</v>
      </c>
      <c r="J1209">
        <v>0.16795803043470731</v>
      </c>
      <c r="K1209">
        <v>0.1938320762592996</v>
      </c>
      <c r="L1209">
        <v>0.21265445014720549</v>
      </c>
      <c r="M1209">
        <v>10</v>
      </c>
      <c r="N1209">
        <v>0</v>
      </c>
      <c r="O1209">
        <v>0</v>
      </c>
      <c r="P1209">
        <v>0.51</v>
      </c>
      <c r="Q1209">
        <v>6.0000000000000001E-3</v>
      </c>
      <c r="R1209">
        <v>0</v>
      </c>
      <c r="S1209">
        <v>0.51</v>
      </c>
      <c r="T1209">
        <v>0.51</v>
      </c>
      <c r="U1209">
        <v>5</v>
      </c>
      <c r="V1209">
        <v>1</v>
      </c>
      <c r="W1209">
        <v>0.2</v>
      </c>
      <c r="X1209">
        <v>1</v>
      </c>
      <c r="Y1209">
        <v>0.46899999999999997</v>
      </c>
      <c r="Z1209">
        <v>1</v>
      </c>
    </row>
    <row r="1210" spans="1:26" x14ac:dyDescent="0.2">
      <c r="A1210" t="s">
        <v>105</v>
      </c>
      <c r="B1210">
        <v>2014</v>
      </c>
      <c r="C1210" t="str">
        <f t="shared" si="18"/>
        <v>NET2014</v>
      </c>
      <c r="D1210">
        <v>4.6888198388244126E-13</v>
      </c>
      <c r="E1210">
        <v>0.19967736928746491</v>
      </c>
      <c r="F1210">
        <v>1.5806162474841841</v>
      </c>
      <c r="G1210">
        <v>26.473487040972049</v>
      </c>
      <c r="H1210">
        <v>1.991648761620548</v>
      </c>
      <c r="I1210">
        <v>0.26205492564187888</v>
      </c>
      <c r="J1210">
        <v>-2.504099855332487E-2</v>
      </c>
      <c r="K1210">
        <v>5.5124028554308237E-2</v>
      </c>
      <c r="L1210">
        <v>0.21934368701635501</v>
      </c>
      <c r="M1210">
        <v>11</v>
      </c>
      <c r="N1210">
        <v>0</v>
      </c>
      <c r="O1210">
        <v>0</v>
      </c>
      <c r="P1210">
        <v>0.51</v>
      </c>
      <c r="Q1210">
        <v>6.0000000000000001E-3</v>
      </c>
      <c r="R1210">
        <v>0</v>
      </c>
      <c r="S1210">
        <v>0.51</v>
      </c>
      <c r="T1210">
        <v>0.51</v>
      </c>
      <c r="U1210">
        <v>5</v>
      </c>
      <c r="V1210">
        <v>1</v>
      </c>
      <c r="W1210">
        <v>0.2</v>
      </c>
      <c r="X1210">
        <v>1</v>
      </c>
      <c r="Y1210">
        <v>0.47899999999999998</v>
      </c>
      <c r="Z1210">
        <v>1</v>
      </c>
    </row>
    <row r="1211" spans="1:26" x14ac:dyDescent="0.2">
      <c r="A1211" t="s">
        <v>105</v>
      </c>
      <c r="B1211">
        <v>2015</v>
      </c>
      <c r="C1211" t="str">
        <f t="shared" si="18"/>
        <v>NET2015</v>
      </c>
      <c r="D1211">
        <v>6.275156122958506E-13</v>
      </c>
      <c r="E1211">
        <v>0.3072138494159552</v>
      </c>
      <c r="F1211">
        <v>1.8752996911275259</v>
      </c>
      <c r="G1211">
        <v>26.641803761359849</v>
      </c>
      <c r="H1211">
        <v>2.44902012829658</v>
      </c>
      <c r="I1211">
        <v>0.24042247369983849</v>
      </c>
      <c r="J1211">
        <v>0.18331133012739301</v>
      </c>
      <c r="K1211">
        <v>0.26554691170002542</v>
      </c>
      <c r="L1211">
        <v>0.25010789715706688</v>
      </c>
      <c r="M1211">
        <v>12</v>
      </c>
      <c r="N1211">
        <v>0</v>
      </c>
      <c r="O1211">
        <v>0</v>
      </c>
      <c r="P1211">
        <v>0.51</v>
      </c>
      <c r="Q1211">
        <v>5.8999999999999999E-3</v>
      </c>
      <c r="R1211">
        <v>0</v>
      </c>
      <c r="S1211">
        <v>0.51</v>
      </c>
      <c r="T1211">
        <v>0.51</v>
      </c>
      <c r="U1211">
        <v>6</v>
      </c>
      <c r="V1211">
        <v>1</v>
      </c>
      <c r="W1211">
        <v>0.33333333333333331</v>
      </c>
      <c r="X1211">
        <v>1</v>
      </c>
      <c r="Y1211">
        <v>0.48899999999999999</v>
      </c>
      <c r="Z1211">
        <v>1</v>
      </c>
    </row>
    <row r="1212" spans="1:26" x14ac:dyDescent="0.2">
      <c r="A1212" t="s">
        <v>105</v>
      </c>
      <c r="B1212">
        <v>2016</v>
      </c>
      <c r="C1212" t="str">
        <f t="shared" si="18"/>
        <v>NET2016</v>
      </c>
      <c r="D1212">
        <v>2.825689635725174E-13</v>
      </c>
      <c r="E1212">
        <v>0.29596017147083131</v>
      </c>
      <c r="F1212">
        <v>1.915999447476302</v>
      </c>
      <c r="G1212">
        <v>27.018796312479811</v>
      </c>
      <c r="H1212">
        <v>2.5198029744926558</v>
      </c>
      <c r="I1212">
        <v>0.48238681006251422</v>
      </c>
      <c r="J1212">
        <v>0.45789344965736989</v>
      </c>
      <c r="K1212">
        <v>0.2242530559920996</v>
      </c>
      <c r="L1212">
        <v>0.52633142370845631</v>
      </c>
      <c r="M1212">
        <v>13</v>
      </c>
      <c r="N1212">
        <v>0</v>
      </c>
      <c r="O1212">
        <v>0</v>
      </c>
      <c r="P1212">
        <v>0.51</v>
      </c>
      <c r="Q1212">
        <v>5.1000000000000004E-3</v>
      </c>
      <c r="R1212">
        <v>0</v>
      </c>
      <c r="S1212">
        <v>0.51</v>
      </c>
      <c r="T1212">
        <v>0.51</v>
      </c>
      <c r="U1212">
        <v>5</v>
      </c>
      <c r="V1212">
        <v>0</v>
      </c>
      <c r="W1212">
        <v>0.2</v>
      </c>
      <c r="X1212">
        <v>1</v>
      </c>
      <c r="Y1212">
        <v>0.48</v>
      </c>
      <c r="Z1212">
        <v>1</v>
      </c>
    </row>
    <row r="1213" spans="1:26" x14ac:dyDescent="0.2">
      <c r="A1213" t="s">
        <v>105</v>
      </c>
      <c r="B1213">
        <v>2017</v>
      </c>
      <c r="C1213" t="str">
        <f t="shared" si="18"/>
        <v>NET2017</v>
      </c>
      <c r="D1213">
        <v>1.612308285899955E-13</v>
      </c>
      <c r="E1213">
        <v>0.21032439065333591</v>
      </c>
      <c r="F1213">
        <v>1.5303210056633889</v>
      </c>
      <c r="G1213">
        <v>27.12972204164728</v>
      </c>
      <c r="H1213">
        <v>0.78602826010122362</v>
      </c>
      <c r="I1213">
        <v>0.53564831609867491</v>
      </c>
      <c r="J1213">
        <v>0.1173119200862416</v>
      </c>
      <c r="K1213">
        <v>0.1883084790481421</v>
      </c>
      <c r="L1213">
        <v>0.48646663928718908</v>
      </c>
      <c r="M1213">
        <v>14</v>
      </c>
      <c r="N1213">
        <v>0</v>
      </c>
      <c r="O1213">
        <v>0</v>
      </c>
      <c r="P1213">
        <v>0.56999999999999995</v>
      </c>
      <c r="Q1213">
        <v>5.1000000000000004E-3</v>
      </c>
      <c r="R1213">
        <v>0.06</v>
      </c>
      <c r="S1213">
        <v>0.51</v>
      </c>
      <c r="T1213">
        <v>0.56999999999999995</v>
      </c>
      <c r="U1213">
        <v>4</v>
      </c>
      <c r="V1213">
        <v>0</v>
      </c>
      <c r="W1213">
        <v>0.25</v>
      </c>
      <c r="X1213">
        <v>1</v>
      </c>
      <c r="Y1213">
        <v>0.4733</v>
      </c>
      <c r="Z1213">
        <v>1</v>
      </c>
    </row>
    <row r="1214" spans="1:26" x14ac:dyDescent="0.2">
      <c r="A1214" t="s">
        <v>105</v>
      </c>
      <c r="B1214">
        <v>2018</v>
      </c>
      <c r="C1214" t="str">
        <f t="shared" si="18"/>
        <v>NET2018</v>
      </c>
      <c r="D1214">
        <v>1.475651323078407E-13</v>
      </c>
      <c r="E1214">
        <v>0.1889944259360925</v>
      </c>
      <c r="F1214">
        <v>1.517966192372487</v>
      </c>
      <c r="G1214">
        <v>27.13478688142418</v>
      </c>
      <c r="H1214">
        <v>0.76293125577378951</v>
      </c>
      <c r="I1214">
        <v>0.52463963690890592</v>
      </c>
      <c r="J1214">
        <v>5.3097205139378536E-3</v>
      </c>
      <c r="K1214">
        <v>0.13886036140818511</v>
      </c>
      <c r="L1214">
        <v>0.46290506131504772</v>
      </c>
      <c r="M1214">
        <v>15</v>
      </c>
      <c r="N1214">
        <v>1</v>
      </c>
      <c r="O1214">
        <v>0</v>
      </c>
      <c r="P1214">
        <v>0.59</v>
      </c>
      <c r="Q1214">
        <v>5.1000000000000004E-3</v>
      </c>
      <c r="R1214">
        <v>0.08</v>
      </c>
      <c r="S1214">
        <v>0.51</v>
      </c>
      <c r="T1214">
        <v>0.59</v>
      </c>
      <c r="U1214">
        <v>5</v>
      </c>
      <c r="V1214">
        <v>0</v>
      </c>
      <c r="W1214">
        <v>0.4</v>
      </c>
      <c r="X1214">
        <v>1</v>
      </c>
      <c r="Y1214">
        <v>0.47</v>
      </c>
      <c r="Z1214">
        <v>1</v>
      </c>
    </row>
    <row r="1215" spans="1:26" x14ac:dyDescent="0.2">
      <c r="A1215" t="s">
        <v>105</v>
      </c>
      <c r="B1215">
        <v>2019</v>
      </c>
      <c r="C1215" t="str">
        <f t="shared" si="18"/>
        <v>NET2019</v>
      </c>
      <c r="D1215">
        <v>2.4409603554105918E-13</v>
      </c>
      <c r="E1215">
        <v>0.26228954705004648</v>
      </c>
      <c r="F1215">
        <v>2.250731819388601</v>
      </c>
      <c r="G1215">
        <v>27.080225811824569</v>
      </c>
      <c r="H1215">
        <v>0.82406039058723413</v>
      </c>
      <c r="I1215">
        <v>0.46349671983228902</v>
      </c>
      <c r="J1215">
        <v>-5.3317871278652278E-2</v>
      </c>
      <c r="K1215">
        <v>0.21922511208980261</v>
      </c>
      <c r="L1215">
        <v>0.4551243640503409</v>
      </c>
      <c r="M1215">
        <v>16</v>
      </c>
      <c r="N1215">
        <v>1</v>
      </c>
      <c r="O1215">
        <v>1</v>
      </c>
      <c r="P1215">
        <v>0.88249999999999995</v>
      </c>
      <c r="Q1215">
        <v>5.1000000000000004E-3</v>
      </c>
      <c r="R1215">
        <v>0</v>
      </c>
      <c r="S1215">
        <v>0.36</v>
      </c>
      <c r="T1215">
        <v>0.88249999999999995</v>
      </c>
      <c r="U1215">
        <v>5</v>
      </c>
      <c r="V1215">
        <v>0</v>
      </c>
      <c r="W1215">
        <v>0.4</v>
      </c>
      <c r="X1215">
        <v>1</v>
      </c>
      <c r="Y1215">
        <v>0.48</v>
      </c>
      <c r="Z1215">
        <v>1</v>
      </c>
    </row>
    <row r="1216" spans="1:26" x14ac:dyDescent="0.2">
      <c r="A1216" t="s">
        <v>105</v>
      </c>
      <c r="B1216">
        <v>2020</v>
      </c>
      <c r="C1216" t="str">
        <f t="shared" si="18"/>
        <v>NET2020</v>
      </c>
      <c r="D1216">
        <v>2.756906847741569E-13</v>
      </c>
      <c r="E1216">
        <v>0.34462275993910491</v>
      </c>
      <c r="F1216">
        <v>2.3753932803364299</v>
      </c>
      <c r="G1216">
        <v>27.26809951706381</v>
      </c>
      <c r="H1216">
        <v>0.95391445905399885</v>
      </c>
      <c r="I1216">
        <v>0.44350240964569487</v>
      </c>
      <c r="J1216">
        <v>0.2066811082238216</v>
      </c>
      <c r="K1216">
        <v>0.1104802655319115</v>
      </c>
      <c r="L1216">
        <v>0.35943817453297272</v>
      </c>
      <c r="M1216">
        <v>17</v>
      </c>
      <c r="N1216">
        <v>1</v>
      </c>
      <c r="O1216">
        <v>1</v>
      </c>
      <c r="P1216">
        <v>0.88249999999999995</v>
      </c>
      <c r="Q1216">
        <v>5.1000000000000004E-3</v>
      </c>
      <c r="R1216">
        <v>0</v>
      </c>
      <c r="S1216">
        <v>0.36</v>
      </c>
      <c r="T1216">
        <v>0.88249999999999995</v>
      </c>
      <c r="U1216">
        <v>7</v>
      </c>
      <c r="V1216">
        <v>0</v>
      </c>
      <c r="W1216">
        <v>0.42857142857142849</v>
      </c>
      <c r="X1216">
        <v>1</v>
      </c>
      <c r="Y1216">
        <v>0.4592</v>
      </c>
      <c r="Z1216">
        <v>1</v>
      </c>
    </row>
    <row r="1217" spans="1:26" x14ac:dyDescent="0.2">
      <c r="A1217" t="s">
        <v>105</v>
      </c>
      <c r="B1217">
        <v>2021</v>
      </c>
      <c r="C1217" t="str">
        <f t="shared" si="18"/>
        <v>NET2021</v>
      </c>
      <c r="D1217">
        <v>2.2840164630547778E-13</v>
      </c>
      <c r="E1217">
        <v>0.31657761666073703</v>
      </c>
      <c r="F1217">
        <v>2.2562193684791318</v>
      </c>
      <c r="G1217">
        <v>27.280768173338249</v>
      </c>
      <c r="H1217">
        <v>1.260471338860798</v>
      </c>
      <c r="I1217">
        <v>0.491716391468832</v>
      </c>
      <c r="J1217">
        <v>1.2749243652026451E-2</v>
      </c>
      <c r="K1217">
        <v>0.22574841724644379</v>
      </c>
      <c r="L1217">
        <v>0.34828151770543259</v>
      </c>
      <c r="M1217">
        <v>18</v>
      </c>
      <c r="N1217">
        <v>1</v>
      </c>
      <c r="O1217">
        <v>0</v>
      </c>
      <c r="P1217">
        <v>0.88249999999999995</v>
      </c>
      <c r="Q1217">
        <v>5.1000000000000004E-3</v>
      </c>
      <c r="R1217">
        <v>0</v>
      </c>
      <c r="S1217">
        <v>0.36</v>
      </c>
      <c r="T1217">
        <v>0.88249999999999995</v>
      </c>
      <c r="U1217">
        <v>7</v>
      </c>
      <c r="V1217">
        <v>0</v>
      </c>
      <c r="W1217">
        <v>0.42857142857142849</v>
      </c>
      <c r="X1217">
        <v>1</v>
      </c>
      <c r="Y1217">
        <v>0.48220000000000002</v>
      </c>
      <c r="Z1217">
        <v>1</v>
      </c>
    </row>
    <row r="1218" spans="1:26" x14ac:dyDescent="0.2">
      <c r="A1218" t="s">
        <v>105</v>
      </c>
      <c r="B1218">
        <v>2022</v>
      </c>
      <c r="C1218" t="str">
        <f t="shared" si="18"/>
        <v>NET2022</v>
      </c>
      <c r="D1218">
        <v>1.5304685514032771E-13</v>
      </c>
      <c r="E1218">
        <v>0.26373674003587438</v>
      </c>
      <c r="F1218">
        <v>1.8109091684147971</v>
      </c>
      <c r="G1218">
        <v>27.35519772905954</v>
      </c>
      <c r="H1218">
        <v>1.1720651588264781</v>
      </c>
      <c r="I1218">
        <v>0.55958185702214303</v>
      </c>
      <c r="J1218">
        <v>7.7269453379660069E-2</v>
      </c>
      <c r="K1218">
        <v>6.9450335676591368E-2</v>
      </c>
      <c r="L1218">
        <v>0.29803482526721692</v>
      </c>
      <c r="M1218">
        <v>19</v>
      </c>
      <c r="N1218">
        <v>1</v>
      </c>
      <c r="O1218">
        <v>0</v>
      </c>
      <c r="P1218">
        <v>0.88249999999999995</v>
      </c>
      <c r="Q1218">
        <v>0</v>
      </c>
      <c r="R1218">
        <v>0</v>
      </c>
      <c r="S1218">
        <v>0.36</v>
      </c>
      <c r="T1218">
        <v>0.88249999999999995</v>
      </c>
      <c r="U1218">
        <v>7</v>
      </c>
      <c r="V1218">
        <v>0</v>
      </c>
      <c r="W1218">
        <v>0.42857142857142849</v>
      </c>
      <c r="X1218">
        <v>0</v>
      </c>
      <c r="Y1218">
        <v>0.45600000000000002</v>
      </c>
      <c r="Z1218">
        <v>1</v>
      </c>
    </row>
    <row r="1219" spans="1:26" x14ac:dyDescent="0.2">
      <c r="A1219" t="s">
        <v>105</v>
      </c>
      <c r="B1219">
        <v>2023</v>
      </c>
      <c r="C1219" t="str">
        <f t="shared" ref="C1219:C1282" si="19">A1219&amp;B1219</f>
        <v>NET2023</v>
      </c>
      <c r="D1219">
        <v>1004117209138.609</v>
      </c>
      <c r="E1219">
        <v>0.2622317810507771</v>
      </c>
      <c r="F1219">
        <v>1.8475238814415389</v>
      </c>
      <c r="G1219">
        <v>27.518763759893751</v>
      </c>
      <c r="H1219">
        <v>1.1333373403425691</v>
      </c>
      <c r="I1219">
        <v>0.23871568424226769</v>
      </c>
      <c r="J1219">
        <v>0.17770311733933111</v>
      </c>
      <c r="K1219">
        <v>0.22824062551185639</v>
      </c>
      <c r="L1219">
        <v>0.24328086514859901</v>
      </c>
      <c r="M1219">
        <v>20</v>
      </c>
      <c r="N1219">
        <v>0</v>
      </c>
      <c r="O1219">
        <v>0</v>
      </c>
      <c r="P1219">
        <v>0.88249999999999995</v>
      </c>
      <c r="Q1219">
        <v>0</v>
      </c>
      <c r="R1219">
        <v>0</v>
      </c>
      <c r="S1219">
        <v>0.36</v>
      </c>
      <c r="T1219">
        <v>0.88249999999999995</v>
      </c>
      <c r="U1219">
        <v>7</v>
      </c>
      <c r="V1219">
        <v>0</v>
      </c>
      <c r="W1219">
        <v>0.42857142857142849</v>
      </c>
      <c r="X1219">
        <v>0</v>
      </c>
      <c r="Y1219">
        <v>0.45600000000000002</v>
      </c>
      <c r="Z1219">
        <v>1</v>
      </c>
    </row>
    <row r="1220" spans="1:26" x14ac:dyDescent="0.2">
      <c r="A1220" t="s">
        <v>106</v>
      </c>
      <c r="B1220">
        <v>2012</v>
      </c>
      <c r="C1220" t="str">
        <f t="shared" si="19"/>
        <v>NFC2012</v>
      </c>
      <c r="D1220">
        <v>6.6806471252111701E-13</v>
      </c>
      <c r="E1220">
        <v>0.31547344276547162</v>
      </c>
      <c r="F1220">
        <v>1.4362925477781039</v>
      </c>
      <c r="G1220">
        <v>26.455900045308741</v>
      </c>
      <c r="H1220" t="e">
        <v>#N/A</v>
      </c>
      <c r="I1220">
        <v>0.34610633344675801</v>
      </c>
      <c r="J1220">
        <v>0</v>
      </c>
      <c r="K1220">
        <v>0.35065871411858962</v>
      </c>
      <c r="L1220">
        <v>6.283863307586933E-2</v>
      </c>
      <c r="M1220">
        <v>2012</v>
      </c>
      <c r="N1220">
        <v>0</v>
      </c>
      <c r="O1220">
        <v>0</v>
      </c>
      <c r="P1220">
        <v>0.71819999999999995</v>
      </c>
      <c r="Q1220">
        <v>0.1202</v>
      </c>
      <c r="R1220">
        <v>0</v>
      </c>
      <c r="S1220">
        <v>0.51</v>
      </c>
      <c r="T1220">
        <v>0.61819999999999997</v>
      </c>
      <c r="U1220">
        <v>5</v>
      </c>
      <c r="V1220">
        <v>1</v>
      </c>
      <c r="W1220">
        <v>0</v>
      </c>
      <c r="X1220">
        <v>0</v>
      </c>
      <c r="Y1220">
        <v>0.41220000000000001</v>
      </c>
      <c r="Z1220">
        <v>0.8</v>
      </c>
    </row>
    <row r="1221" spans="1:26" x14ac:dyDescent="0.2">
      <c r="A1221" t="s">
        <v>106</v>
      </c>
      <c r="B1221">
        <v>2013</v>
      </c>
      <c r="C1221" t="str">
        <f t="shared" si="19"/>
        <v>NFC2013</v>
      </c>
      <c r="D1221">
        <v>5.8256616113070157E-13</v>
      </c>
      <c r="E1221">
        <v>0.19770330405235881</v>
      </c>
      <c r="F1221">
        <v>0.99403468132418049</v>
      </c>
      <c r="G1221">
        <v>26.296301859277019</v>
      </c>
      <c r="H1221" t="e">
        <v>#N/A</v>
      </c>
      <c r="I1221">
        <v>0.22434228018196961</v>
      </c>
      <c r="J1221">
        <v>-0.1470391102498011</v>
      </c>
      <c r="K1221">
        <v>0.14854002635434391</v>
      </c>
      <c r="L1221">
        <v>6.5744491280122344E-2</v>
      </c>
      <c r="M1221">
        <v>2013</v>
      </c>
      <c r="N1221">
        <v>0</v>
      </c>
      <c r="O1221">
        <v>0</v>
      </c>
      <c r="P1221">
        <v>0.71819999999999995</v>
      </c>
      <c r="Q1221">
        <v>0.1202</v>
      </c>
      <c r="R1221">
        <v>0</v>
      </c>
      <c r="S1221">
        <v>0.51</v>
      </c>
      <c r="T1221">
        <v>0.61819999999999997</v>
      </c>
      <c r="U1221">
        <v>5</v>
      </c>
      <c r="V1221">
        <v>1</v>
      </c>
      <c r="W1221">
        <v>0</v>
      </c>
      <c r="X1221">
        <v>0</v>
      </c>
      <c r="Y1221">
        <v>0.41220000000000001</v>
      </c>
      <c r="Z1221">
        <v>0.8</v>
      </c>
    </row>
    <row r="1222" spans="1:26" x14ac:dyDescent="0.2">
      <c r="A1222" t="s">
        <v>106</v>
      </c>
      <c r="B1222">
        <v>2014</v>
      </c>
      <c r="C1222" t="str">
        <f t="shared" si="19"/>
        <v>NFC2014</v>
      </c>
      <c r="D1222">
        <v>3.5137365679951368E-13</v>
      </c>
      <c r="E1222">
        <v>0.17341248879802229</v>
      </c>
      <c r="F1222">
        <v>1.450800553311216</v>
      </c>
      <c r="G1222">
        <v>26.4983169194468</v>
      </c>
      <c r="H1222" t="e">
        <v>#N/A</v>
      </c>
      <c r="I1222">
        <v>0.34722780832055528</v>
      </c>
      <c r="J1222">
        <v>0.2231854211100224</v>
      </c>
      <c r="K1222">
        <v>-3.6610024119898457E-2</v>
      </c>
      <c r="L1222">
        <v>4.9004018557242172E-2</v>
      </c>
      <c r="M1222">
        <v>2014</v>
      </c>
      <c r="N1222">
        <v>0</v>
      </c>
      <c r="O1222">
        <v>0</v>
      </c>
      <c r="P1222">
        <v>0.71819999999999995</v>
      </c>
      <c r="Q1222">
        <v>0.1211</v>
      </c>
      <c r="R1222">
        <v>0</v>
      </c>
      <c r="S1222">
        <v>0.51</v>
      </c>
      <c r="T1222">
        <v>0.61819999999999997</v>
      </c>
      <c r="U1222">
        <v>5</v>
      </c>
      <c r="V1222">
        <v>1</v>
      </c>
      <c r="W1222">
        <v>0</v>
      </c>
      <c r="X1222">
        <v>0</v>
      </c>
      <c r="Y1222">
        <v>0.42220000000000002</v>
      </c>
      <c r="Z1222">
        <v>0.8</v>
      </c>
    </row>
    <row r="1223" spans="1:26" x14ac:dyDescent="0.2">
      <c r="A1223" t="s">
        <v>106</v>
      </c>
      <c r="B1223">
        <v>2015</v>
      </c>
      <c r="C1223" t="str">
        <f t="shared" si="19"/>
        <v>NFC2015</v>
      </c>
      <c r="D1223">
        <v>2.0574201209812509E-13</v>
      </c>
      <c r="E1223">
        <v>8.9050380518615233E-2</v>
      </c>
      <c r="F1223">
        <v>1.00407543568099</v>
      </c>
      <c r="G1223">
        <v>26.40274385533391</v>
      </c>
      <c r="H1223" t="e">
        <v>#N/A</v>
      </c>
      <c r="I1223">
        <v>0.32352279534837641</v>
      </c>
      <c r="J1223">
        <v>-9.1148045234099695E-2</v>
      </c>
      <c r="K1223">
        <v>0.13597679329659509</v>
      </c>
      <c r="L1223">
        <v>3.9149284403834902E-2</v>
      </c>
      <c r="M1223">
        <v>2015</v>
      </c>
      <c r="N1223">
        <v>0</v>
      </c>
      <c r="O1223">
        <v>0</v>
      </c>
      <c r="P1223">
        <v>0.71819999999999995</v>
      </c>
      <c r="Q1223">
        <v>0.1221</v>
      </c>
      <c r="R1223">
        <v>0</v>
      </c>
      <c r="S1223">
        <v>0.51</v>
      </c>
      <c r="T1223">
        <v>0.61819999999999997</v>
      </c>
      <c r="U1223">
        <v>5</v>
      </c>
      <c r="V1223">
        <v>0</v>
      </c>
      <c r="W1223">
        <v>0</v>
      </c>
      <c r="X1223">
        <v>0</v>
      </c>
      <c r="Y1223">
        <v>0.44500000000000001</v>
      </c>
      <c r="Z1223">
        <v>0.8</v>
      </c>
    </row>
    <row r="1224" spans="1:26" x14ac:dyDescent="0.2">
      <c r="A1224" t="s">
        <v>106</v>
      </c>
      <c r="B1224">
        <v>2016</v>
      </c>
      <c r="C1224" t="str">
        <f t="shared" si="19"/>
        <v>NFC2016</v>
      </c>
      <c r="D1224">
        <v>3.7839130693337212E-13</v>
      </c>
      <c r="E1224">
        <v>0.1041323406677903</v>
      </c>
      <c r="F1224">
        <v>1.3907328245796191</v>
      </c>
      <c r="G1224">
        <v>26.139973842455881</v>
      </c>
      <c r="H1224" t="e">
        <v>#N/A</v>
      </c>
      <c r="I1224">
        <v>0.18190843123718911</v>
      </c>
      <c r="J1224">
        <v>-0.23085619872613791</v>
      </c>
      <c r="K1224">
        <v>0.40416605311045872</v>
      </c>
      <c r="L1224">
        <v>4.2318903899907112E-2</v>
      </c>
      <c r="M1224">
        <v>2016</v>
      </c>
      <c r="N1224">
        <v>0</v>
      </c>
      <c r="O1224">
        <v>0</v>
      </c>
      <c r="P1224">
        <v>0.71819999999999995</v>
      </c>
      <c r="Q1224">
        <v>0.12230000000000001</v>
      </c>
      <c r="R1224">
        <v>0</v>
      </c>
      <c r="S1224">
        <v>0.51</v>
      </c>
      <c r="T1224">
        <v>0.61819999999999997</v>
      </c>
      <c r="U1224">
        <v>5</v>
      </c>
      <c r="V1224">
        <v>0</v>
      </c>
      <c r="W1224">
        <v>0</v>
      </c>
      <c r="X1224">
        <v>0</v>
      </c>
      <c r="Y1224">
        <v>0.44800000000000001</v>
      </c>
      <c r="Z1224">
        <v>0.8</v>
      </c>
    </row>
    <row r="1225" spans="1:26" x14ac:dyDescent="0.2">
      <c r="A1225" t="s">
        <v>106</v>
      </c>
      <c r="B1225">
        <v>2017</v>
      </c>
      <c r="C1225" t="str">
        <f t="shared" si="19"/>
        <v>NFC2017</v>
      </c>
      <c r="D1225">
        <v>2.6764275219252232E-13</v>
      </c>
      <c r="E1225">
        <v>0.1056136691100671</v>
      </c>
      <c r="F1225">
        <v>0.89841123600416795</v>
      </c>
      <c r="G1225">
        <v>26.32626715131785</v>
      </c>
      <c r="H1225" t="e">
        <v>#N/A</v>
      </c>
      <c r="I1225">
        <v>0.31263421669654801</v>
      </c>
      <c r="J1225">
        <v>0.2044230133669856</v>
      </c>
      <c r="K1225">
        <v>4.0749173616203534E-3</v>
      </c>
      <c r="L1225">
        <v>6.2378924220931997E-2</v>
      </c>
      <c r="M1225">
        <v>2017</v>
      </c>
      <c r="N1225">
        <v>0</v>
      </c>
      <c r="O1225">
        <v>0</v>
      </c>
      <c r="P1225">
        <v>0.71819999999999995</v>
      </c>
      <c r="Q1225">
        <v>0.12230000000000001</v>
      </c>
      <c r="R1225">
        <v>0</v>
      </c>
      <c r="S1225">
        <v>0.51</v>
      </c>
      <c r="T1225">
        <v>0.61819999999999997</v>
      </c>
      <c r="U1225">
        <v>5</v>
      </c>
      <c r="V1225">
        <v>0</v>
      </c>
      <c r="W1225">
        <v>0</v>
      </c>
      <c r="X1225">
        <v>0</v>
      </c>
      <c r="Y1225">
        <v>0.45800000000000002</v>
      </c>
      <c r="Z1225">
        <v>0.8</v>
      </c>
    </row>
    <row r="1226" spans="1:26" x14ac:dyDescent="0.2">
      <c r="A1226" t="s">
        <v>106</v>
      </c>
      <c r="B1226">
        <v>2018</v>
      </c>
      <c r="C1226" t="str">
        <f t="shared" si="19"/>
        <v>NFC2018</v>
      </c>
      <c r="D1226">
        <v>2.1843648679442821E-13</v>
      </c>
      <c r="E1226">
        <v>0.11584214524757561</v>
      </c>
      <c r="F1226">
        <v>0.64849222196791845</v>
      </c>
      <c r="G1226">
        <v>26.460316379380512</v>
      </c>
      <c r="H1226" t="e">
        <v>#N/A</v>
      </c>
      <c r="I1226">
        <v>0.41517223276215742</v>
      </c>
      <c r="J1226">
        <v>0.14695231103655029</v>
      </c>
      <c r="K1226">
        <v>-6.6937371181968894E-2</v>
      </c>
      <c r="L1226">
        <v>4.9310643355995623E-2</v>
      </c>
      <c r="M1226">
        <v>2018</v>
      </c>
      <c r="N1226">
        <v>0</v>
      </c>
      <c r="O1226">
        <v>0</v>
      </c>
      <c r="P1226">
        <v>0.71819999999999995</v>
      </c>
      <c r="Q1226">
        <v>0.12230000000000001</v>
      </c>
      <c r="R1226">
        <v>0</v>
      </c>
      <c r="S1226">
        <v>0.51</v>
      </c>
      <c r="T1226">
        <v>0.61819999999999997</v>
      </c>
      <c r="U1226">
        <v>5</v>
      </c>
      <c r="V1226">
        <v>0</v>
      </c>
      <c r="W1226">
        <v>0</v>
      </c>
      <c r="X1226">
        <v>0</v>
      </c>
      <c r="Y1226">
        <v>0.45750000000000002</v>
      </c>
      <c r="Z1226">
        <v>0.8</v>
      </c>
    </row>
    <row r="1227" spans="1:26" x14ac:dyDescent="0.2">
      <c r="A1227" t="s">
        <v>106</v>
      </c>
      <c r="B1227">
        <v>2019</v>
      </c>
      <c r="C1227" t="str">
        <f t="shared" si="19"/>
        <v>NFC2019</v>
      </c>
      <c r="D1227">
        <v>1.6380022581248301E-13</v>
      </c>
      <c r="E1227">
        <v>5.0817839969118983E-2</v>
      </c>
      <c r="F1227">
        <v>0.60856968590920391</v>
      </c>
      <c r="G1227">
        <v>26.196451029221599</v>
      </c>
      <c r="H1227" t="e">
        <v>#N/A</v>
      </c>
      <c r="I1227">
        <v>0.23215701252808241</v>
      </c>
      <c r="J1227">
        <v>-0.23426902787303611</v>
      </c>
      <c r="K1227">
        <v>0.26059737811495259</v>
      </c>
      <c r="L1227">
        <v>9.7573457098773977E-2</v>
      </c>
      <c r="M1227">
        <v>2019</v>
      </c>
      <c r="N1227">
        <v>0</v>
      </c>
      <c r="O1227">
        <v>1</v>
      </c>
      <c r="P1227">
        <v>0.71819999999999995</v>
      </c>
      <c r="Q1227">
        <v>0.1225</v>
      </c>
      <c r="R1227">
        <v>0</v>
      </c>
      <c r="S1227">
        <v>0.51</v>
      </c>
      <c r="T1227">
        <v>0.61819999999999997</v>
      </c>
      <c r="U1227">
        <v>5</v>
      </c>
      <c r="V1227">
        <v>0</v>
      </c>
      <c r="W1227">
        <v>0</v>
      </c>
      <c r="X1227">
        <v>0</v>
      </c>
      <c r="Y1227">
        <v>0.4667</v>
      </c>
      <c r="Z1227">
        <v>0.8</v>
      </c>
    </row>
    <row r="1228" spans="1:26" x14ac:dyDescent="0.2">
      <c r="A1228" t="s">
        <v>106</v>
      </c>
      <c r="B1228">
        <v>2020</v>
      </c>
      <c r="C1228" t="str">
        <f t="shared" si="19"/>
        <v>NFC2020</v>
      </c>
      <c r="D1228">
        <v>1.7726768510161719E-13</v>
      </c>
      <c r="E1228">
        <v>5.7173437703427511E-2</v>
      </c>
      <c r="F1228">
        <v>0.76304587031792537</v>
      </c>
      <c r="G1228">
        <v>26.21233661361925</v>
      </c>
      <c r="H1228" t="e">
        <v>#N/A</v>
      </c>
      <c r="I1228">
        <v>0.24957306045396721</v>
      </c>
      <c r="J1228">
        <v>2.103349276529598E-2</v>
      </c>
      <c r="K1228">
        <v>5.2421231008202299E-2</v>
      </c>
      <c r="L1228">
        <v>7.2067769219772815E-2</v>
      </c>
      <c r="M1228">
        <v>2020</v>
      </c>
      <c r="N1228">
        <v>0</v>
      </c>
      <c r="O1228">
        <v>1</v>
      </c>
      <c r="P1228">
        <v>0.71819999999999995</v>
      </c>
      <c r="Q1228">
        <v>0.12230000000000001</v>
      </c>
      <c r="R1228">
        <v>0</v>
      </c>
      <c r="S1228">
        <v>0.51</v>
      </c>
      <c r="T1228">
        <v>0.61819999999999997</v>
      </c>
      <c r="U1228">
        <v>5</v>
      </c>
      <c r="V1228">
        <v>0</v>
      </c>
      <c r="W1228">
        <v>0</v>
      </c>
      <c r="X1228">
        <v>0</v>
      </c>
      <c r="Y1228">
        <v>0.47749999999999998</v>
      </c>
      <c r="Z1228">
        <v>0.8</v>
      </c>
    </row>
    <row r="1229" spans="1:26" x14ac:dyDescent="0.2">
      <c r="A1229" t="s">
        <v>106</v>
      </c>
      <c r="B1229">
        <v>2021</v>
      </c>
      <c r="C1229" t="str">
        <f t="shared" si="19"/>
        <v>NFC2021</v>
      </c>
      <c r="D1229">
        <v>2.380806939764855E-13</v>
      </c>
      <c r="E1229">
        <v>7.2992083641994304E-2</v>
      </c>
      <c r="F1229">
        <v>1.096522678650548</v>
      </c>
      <c r="G1229">
        <v>26.19933343369048</v>
      </c>
      <c r="H1229" t="e">
        <v>#N/A</v>
      </c>
      <c r="I1229">
        <v>0.22075440071058169</v>
      </c>
      <c r="J1229">
        <v>-1.7773099808255029E-2</v>
      </c>
      <c r="K1229">
        <v>0.1208683698170107</v>
      </c>
      <c r="L1229">
        <v>5.2719310189032982E-2</v>
      </c>
      <c r="M1229">
        <v>2021</v>
      </c>
      <c r="N1229">
        <v>0</v>
      </c>
      <c r="O1229">
        <v>0</v>
      </c>
      <c r="P1229">
        <v>0.71819999999999995</v>
      </c>
      <c r="Q1229">
        <v>0.12230000000000001</v>
      </c>
      <c r="R1229">
        <v>0</v>
      </c>
      <c r="S1229">
        <v>0.51</v>
      </c>
      <c r="T1229">
        <v>0.61819999999999997</v>
      </c>
      <c r="U1229">
        <v>5</v>
      </c>
      <c r="V1229">
        <v>0</v>
      </c>
      <c r="W1229">
        <v>0</v>
      </c>
      <c r="X1229">
        <v>0</v>
      </c>
      <c r="Y1229">
        <v>0.48749999999999999</v>
      </c>
      <c r="Z1229">
        <v>0.8</v>
      </c>
    </row>
    <row r="1230" spans="1:26" x14ac:dyDescent="0.2">
      <c r="A1230" t="s">
        <v>106</v>
      </c>
      <c r="B1230">
        <v>2022</v>
      </c>
      <c r="C1230" t="str">
        <f t="shared" si="19"/>
        <v>NFC2022</v>
      </c>
      <c r="D1230">
        <v>2.503896694644695E-13</v>
      </c>
      <c r="E1230">
        <v>0.12961500986860289</v>
      </c>
      <c r="F1230">
        <v>1.1051604288891119</v>
      </c>
      <c r="G1230">
        <v>26.491079563407101</v>
      </c>
      <c r="H1230" t="e">
        <v>#N/A</v>
      </c>
      <c r="I1230">
        <v>0.38213899904958692</v>
      </c>
      <c r="J1230">
        <v>0.33876310232575108</v>
      </c>
      <c r="K1230">
        <v>-0.16597544201330811</v>
      </c>
      <c r="L1230">
        <v>3.5017360412828047E-2</v>
      </c>
      <c r="M1230">
        <v>2022</v>
      </c>
      <c r="N1230">
        <v>0</v>
      </c>
      <c r="O1230">
        <v>0</v>
      </c>
      <c r="P1230">
        <v>0.71819999999999995</v>
      </c>
      <c r="Q1230">
        <v>0.1196</v>
      </c>
      <c r="R1230">
        <v>0</v>
      </c>
      <c r="S1230">
        <v>0.51</v>
      </c>
      <c r="T1230">
        <v>0.61819999999999997</v>
      </c>
      <c r="U1230">
        <v>5</v>
      </c>
      <c r="V1230">
        <v>0</v>
      </c>
      <c r="W1230">
        <v>0</v>
      </c>
      <c r="X1230">
        <v>0</v>
      </c>
      <c r="Y1230">
        <v>0.46880000000000011</v>
      </c>
      <c r="Z1230">
        <v>0.8</v>
      </c>
    </row>
    <row r="1231" spans="1:26" x14ac:dyDescent="0.2">
      <c r="A1231" t="s">
        <v>106</v>
      </c>
      <c r="B1231">
        <v>2023</v>
      </c>
      <c r="C1231" t="str">
        <f t="shared" si="19"/>
        <v>NFC2023</v>
      </c>
      <c r="D1231">
        <v>-302693408531.20831</v>
      </c>
      <c r="E1231">
        <v>0.1092139827838689</v>
      </c>
      <c r="F1231">
        <v>1.0415843517227661</v>
      </c>
      <c r="G1231">
        <v>26.393500754439341</v>
      </c>
      <c r="H1231" t="e">
        <v>#N/A</v>
      </c>
      <c r="I1231">
        <v>0.1117978654393572</v>
      </c>
      <c r="J1231">
        <v>-9.2969143426519629E-2</v>
      </c>
      <c r="K1231">
        <v>0.22691168616164131</v>
      </c>
      <c r="L1231">
        <v>2.5024751844966161E-2</v>
      </c>
      <c r="M1231">
        <v>2023</v>
      </c>
      <c r="N1231">
        <v>0</v>
      </c>
      <c r="O1231">
        <v>0</v>
      </c>
      <c r="P1231">
        <v>0.71819999999999995</v>
      </c>
      <c r="Q1231">
        <v>0.1196</v>
      </c>
      <c r="R1231">
        <v>0</v>
      </c>
      <c r="S1231">
        <v>0.51</v>
      </c>
      <c r="T1231">
        <v>0.61819999999999997</v>
      </c>
      <c r="U1231">
        <v>5</v>
      </c>
      <c r="V1231">
        <v>0</v>
      </c>
      <c r="W1231">
        <v>0</v>
      </c>
      <c r="X1231">
        <v>0</v>
      </c>
      <c r="Y1231">
        <v>0.46880000000000011</v>
      </c>
      <c r="Z1231">
        <v>0.8</v>
      </c>
    </row>
    <row r="1232" spans="1:26" x14ac:dyDescent="0.2">
      <c r="A1232" t="s">
        <v>107</v>
      </c>
      <c r="B1232">
        <v>2012</v>
      </c>
      <c r="C1232" t="str">
        <f t="shared" si="19"/>
        <v>NHC2012</v>
      </c>
      <c r="D1232">
        <v>1.3744669496472121E-12</v>
      </c>
      <c r="E1232">
        <v>7.246564684672957E-2</v>
      </c>
      <c r="F1232">
        <v>0.81089342536400577</v>
      </c>
      <c r="G1232">
        <v>24.5005848244136</v>
      </c>
      <c r="H1232">
        <v>3.5580123182303369</v>
      </c>
      <c r="I1232">
        <v>0.1711595826269231</v>
      </c>
      <c r="J1232">
        <v>-0.16057315108999631</v>
      </c>
      <c r="K1232">
        <v>9.7949832967755987E-2</v>
      </c>
      <c r="L1232">
        <v>7.5556586978617932E-2</v>
      </c>
      <c r="M1232">
        <v>12</v>
      </c>
      <c r="N1232">
        <v>0</v>
      </c>
      <c r="O1232">
        <v>0</v>
      </c>
      <c r="P1232">
        <v>0.39439999999999997</v>
      </c>
      <c r="Q1232">
        <v>0.13600000000000001</v>
      </c>
      <c r="R1232">
        <v>0</v>
      </c>
      <c r="S1232">
        <v>0.3004</v>
      </c>
      <c r="T1232">
        <v>0.3004</v>
      </c>
      <c r="U1232">
        <v>5</v>
      </c>
      <c r="V1232">
        <v>0</v>
      </c>
      <c r="W1232">
        <v>0.2</v>
      </c>
      <c r="X1232">
        <v>0</v>
      </c>
      <c r="Y1232">
        <v>0.40799999999999997</v>
      </c>
      <c r="Z1232">
        <v>1</v>
      </c>
    </row>
    <row r="1233" spans="1:26" x14ac:dyDescent="0.2">
      <c r="A1233" t="s">
        <v>107</v>
      </c>
      <c r="B1233">
        <v>2013</v>
      </c>
      <c r="C1233" t="str">
        <f t="shared" si="19"/>
        <v>NHC2013</v>
      </c>
      <c r="D1233">
        <v>2.1294408415419069E-12</v>
      </c>
      <c r="E1233">
        <v>0.12993048785829681</v>
      </c>
      <c r="F1233">
        <v>0.87281715491041267</v>
      </c>
      <c r="G1233">
        <v>24.581255454177491</v>
      </c>
      <c r="H1233">
        <v>5.0063085445017972</v>
      </c>
      <c r="I1233">
        <v>0.22364900807984289</v>
      </c>
      <c r="J1233">
        <v>8.4013795880923947E-2</v>
      </c>
      <c r="K1233">
        <v>0.20114010678025351</v>
      </c>
      <c r="L1233">
        <v>7.5833901579319532E-2</v>
      </c>
      <c r="M1233">
        <v>13</v>
      </c>
      <c r="N1233">
        <v>0</v>
      </c>
      <c r="O1233">
        <v>0</v>
      </c>
      <c r="P1233">
        <v>0.44719999999999999</v>
      </c>
      <c r="Q1233">
        <v>0.1709</v>
      </c>
      <c r="R1233">
        <v>0</v>
      </c>
      <c r="S1233">
        <v>0.3004</v>
      </c>
      <c r="T1233">
        <v>0.3004</v>
      </c>
      <c r="U1233">
        <v>5</v>
      </c>
      <c r="V1233">
        <v>0</v>
      </c>
      <c r="W1233">
        <v>0.2</v>
      </c>
      <c r="X1233">
        <v>0</v>
      </c>
      <c r="Y1233">
        <v>0.436</v>
      </c>
      <c r="Z1233">
        <v>1</v>
      </c>
    </row>
    <row r="1234" spans="1:26" x14ac:dyDescent="0.2">
      <c r="A1234" t="s">
        <v>107</v>
      </c>
      <c r="B1234">
        <v>2014</v>
      </c>
      <c r="C1234" t="str">
        <f t="shared" si="19"/>
        <v>NHC2014</v>
      </c>
      <c r="D1234">
        <v>2.9763839417491781E-12</v>
      </c>
      <c r="E1234">
        <v>0.19344450425028881</v>
      </c>
      <c r="F1234">
        <v>1.671012152711068</v>
      </c>
      <c r="G1234">
        <v>24.670614568539481</v>
      </c>
      <c r="H1234">
        <v>3.8750958864799969</v>
      </c>
      <c r="I1234">
        <v>0.20302567771161639</v>
      </c>
      <c r="J1234">
        <v>9.347326778081122E-2</v>
      </c>
      <c r="K1234">
        <v>0.30032175468319688</v>
      </c>
      <c r="L1234">
        <v>6.3334475699114948E-2</v>
      </c>
      <c r="M1234">
        <v>14</v>
      </c>
      <c r="N1234">
        <v>0</v>
      </c>
      <c r="O1234">
        <v>0</v>
      </c>
      <c r="P1234">
        <v>0.50019999999999998</v>
      </c>
      <c r="Q1234">
        <v>0.1643</v>
      </c>
      <c r="R1234">
        <v>0</v>
      </c>
      <c r="S1234">
        <v>0.3004</v>
      </c>
      <c r="T1234">
        <v>0.3004</v>
      </c>
      <c r="U1234">
        <v>5</v>
      </c>
      <c r="V1234">
        <v>0</v>
      </c>
      <c r="W1234">
        <v>0.2</v>
      </c>
      <c r="X1234">
        <v>0</v>
      </c>
      <c r="Y1234">
        <v>0.42330000000000001</v>
      </c>
      <c r="Z1234">
        <v>1</v>
      </c>
    </row>
    <row r="1235" spans="1:26" x14ac:dyDescent="0.2">
      <c r="A1235" t="s">
        <v>107</v>
      </c>
      <c r="B1235">
        <v>2015</v>
      </c>
      <c r="C1235" t="str">
        <f t="shared" si="19"/>
        <v>NHC2015</v>
      </c>
      <c r="D1235">
        <v>3.583747578441206E-12</v>
      </c>
      <c r="E1235">
        <v>0.31767364912589408</v>
      </c>
      <c r="F1235">
        <v>1.590489201491228</v>
      </c>
      <c r="G1235">
        <v>24.877050613655339</v>
      </c>
      <c r="H1235">
        <v>3.8378403797209182</v>
      </c>
      <c r="I1235">
        <v>0.28167326874642601</v>
      </c>
      <c r="J1235">
        <v>0.22928911266020649</v>
      </c>
      <c r="K1235">
        <v>0.25077779841814019</v>
      </c>
      <c r="L1235">
        <v>1.6661987870830709E-2</v>
      </c>
      <c r="M1235">
        <v>15</v>
      </c>
      <c r="N1235">
        <v>0</v>
      </c>
      <c r="O1235">
        <v>0</v>
      </c>
      <c r="P1235">
        <v>0.49919999999999998</v>
      </c>
      <c r="Q1235">
        <v>0.128</v>
      </c>
      <c r="R1235">
        <v>0</v>
      </c>
      <c r="S1235">
        <v>0.3004</v>
      </c>
      <c r="T1235">
        <v>0.3004</v>
      </c>
      <c r="U1235">
        <v>5</v>
      </c>
      <c r="V1235">
        <v>0</v>
      </c>
      <c r="W1235">
        <v>0.2</v>
      </c>
      <c r="X1235">
        <v>0</v>
      </c>
      <c r="Y1235">
        <v>0.40329999999999999</v>
      </c>
      <c r="Z1235">
        <v>1</v>
      </c>
    </row>
    <row r="1236" spans="1:26" x14ac:dyDescent="0.2">
      <c r="A1236" t="s">
        <v>107</v>
      </c>
      <c r="B1236">
        <v>2016</v>
      </c>
      <c r="C1236" t="str">
        <f t="shared" si="19"/>
        <v>NHC2016</v>
      </c>
      <c r="D1236">
        <v>2.8197651909452059E-12</v>
      </c>
      <c r="E1236">
        <v>0.22051060907543171</v>
      </c>
      <c r="F1236">
        <v>1.912674537003876</v>
      </c>
      <c r="G1236">
        <v>24.921395933338879</v>
      </c>
      <c r="H1236">
        <v>3.2896960364871419</v>
      </c>
      <c r="I1236">
        <v>0.1488459080654681</v>
      </c>
      <c r="J1236">
        <v>4.5343270176525063E-2</v>
      </c>
      <c r="K1236">
        <v>1.359164572175065E-2</v>
      </c>
      <c r="L1236">
        <v>0.20106771439783699</v>
      </c>
      <c r="M1236">
        <v>16</v>
      </c>
      <c r="N1236">
        <v>0</v>
      </c>
      <c r="O1236">
        <v>0</v>
      </c>
      <c r="P1236">
        <v>0.502</v>
      </c>
      <c r="Q1236">
        <v>0.1293</v>
      </c>
      <c r="R1236">
        <v>0</v>
      </c>
      <c r="S1236">
        <v>0.3</v>
      </c>
      <c r="T1236">
        <v>0.3</v>
      </c>
      <c r="U1236">
        <v>5</v>
      </c>
      <c r="V1236">
        <v>0</v>
      </c>
      <c r="W1236">
        <v>0.2</v>
      </c>
      <c r="X1236">
        <v>0</v>
      </c>
      <c r="Y1236">
        <v>0.4133</v>
      </c>
      <c r="Z1236">
        <v>1</v>
      </c>
    </row>
    <row r="1237" spans="1:26" x14ac:dyDescent="0.2">
      <c r="A1237" t="s">
        <v>107</v>
      </c>
      <c r="B1237">
        <v>2017</v>
      </c>
      <c r="C1237" t="str">
        <f t="shared" si="19"/>
        <v>NHC2017</v>
      </c>
      <c r="D1237">
        <v>2.4311158467585771E-12</v>
      </c>
      <c r="E1237">
        <v>0.2089401197856241</v>
      </c>
      <c r="F1237">
        <v>1.3519399214909871</v>
      </c>
      <c r="G1237">
        <v>25.017106204863349</v>
      </c>
      <c r="H1237">
        <v>2.3719142133641649</v>
      </c>
      <c r="I1237">
        <v>0.1477343343748434</v>
      </c>
      <c r="J1237">
        <v>0.1004401889442656</v>
      </c>
      <c r="K1237">
        <v>0.13801937298677641</v>
      </c>
      <c r="L1237">
        <v>0.1641400906796921</v>
      </c>
      <c r="M1237">
        <v>17</v>
      </c>
      <c r="N1237">
        <v>0</v>
      </c>
      <c r="O1237">
        <v>0</v>
      </c>
      <c r="P1237">
        <v>0.502</v>
      </c>
      <c r="Q1237">
        <v>0.1293</v>
      </c>
      <c r="R1237">
        <v>0</v>
      </c>
      <c r="S1237">
        <v>0.3</v>
      </c>
      <c r="T1237">
        <v>0.3</v>
      </c>
      <c r="U1237">
        <v>6</v>
      </c>
      <c r="V1237">
        <v>0</v>
      </c>
      <c r="W1237">
        <v>0.1666666666666666</v>
      </c>
      <c r="X1237">
        <v>0</v>
      </c>
      <c r="Y1237">
        <v>0.40500000000000003</v>
      </c>
      <c r="Z1237">
        <v>1</v>
      </c>
    </row>
    <row r="1238" spans="1:26" x14ac:dyDescent="0.2">
      <c r="A1238" t="s">
        <v>107</v>
      </c>
      <c r="B1238">
        <v>2018</v>
      </c>
      <c r="C1238" t="str">
        <f t="shared" si="19"/>
        <v>NHC2018</v>
      </c>
      <c r="D1238">
        <v>2.5417742758142891E-12</v>
      </c>
      <c r="E1238">
        <v>0.19407655325960671</v>
      </c>
      <c r="F1238">
        <v>1.6583286063247979</v>
      </c>
      <c r="G1238">
        <v>24.949534924197518</v>
      </c>
      <c r="H1238">
        <v>2.4882980718945511</v>
      </c>
      <c r="I1238">
        <v>0.10337828425726529</v>
      </c>
      <c r="J1238">
        <v>-6.5338905023684113E-2</v>
      </c>
      <c r="K1238">
        <v>0.16142100104306581</v>
      </c>
      <c r="L1238">
        <v>0.15858329346760289</v>
      </c>
      <c r="M1238">
        <v>18</v>
      </c>
      <c r="N1238">
        <v>0</v>
      </c>
      <c r="O1238">
        <v>0</v>
      </c>
      <c r="P1238">
        <v>0.502</v>
      </c>
      <c r="Q1238">
        <v>9.5700000000000007E-2</v>
      </c>
      <c r="R1238">
        <v>0</v>
      </c>
      <c r="S1238">
        <v>0.3</v>
      </c>
      <c r="T1238">
        <v>0.3</v>
      </c>
      <c r="U1238">
        <v>5</v>
      </c>
      <c r="V1238">
        <v>0</v>
      </c>
      <c r="W1238">
        <v>0.2</v>
      </c>
      <c r="X1238">
        <v>0</v>
      </c>
      <c r="Y1238">
        <v>0.38779999999999998</v>
      </c>
      <c r="Z1238">
        <v>1</v>
      </c>
    </row>
    <row r="1239" spans="1:26" x14ac:dyDescent="0.2">
      <c r="A1239" t="s">
        <v>107</v>
      </c>
      <c r="B1239">
        <v>2019</v>
      </c>
      <c r="C1239" t="str">
        <f t="shared" si="19"/>
        <v>NHC2019</v>
      </c>
      <c r="D1239">
        <v>2.6834590015282681E-12</v>
      </c>
      <c r="E1239">
        <v>0.2014321769894642</v>
      </c>
      <c r="F1239">
        <v>1.674378834741542</v>
      </c>
      <c r="G1239">
        <v>24.933155605358699</v>
      </c>
      <c r="H1239">
        <v>4.3859948300735256</v>
      </c>
      <c r="I1239">
        <v>0.1027819255647895</v>
      </c>
      <c r="J1239">
        <v>-1.624590718647367E-2</v>
      </c>
      <c r="K1239">
        <v>0.27316517069987878</v>
      </c>
      <c r="L1239">
        <v>0.15673792346266299</v>
      </c>
      <c r="M1239">
        <v>19</v>
      </c>
      <c r="N1239">
        <v>0</v>
      </c>
      <c r="O1239">
        <v>1</v>
      </c>
      <c r="P1239">
        <v>0.50209999999999999</v>
      </c>
      <c r="Q1239">
        <v>9.5700000000000007E-2</v>
      </c>
      <c r="R1239">
        <v>0</v>
      </c>
      <c r="S1239">
        <v>0.3004</v>
      </c>
      <c r="T1239">
        <v>0.3004</v>
      </c>
      <c r="U1239">
        <v>5</v>
      </c>
      <c r="V1239">
        <v>0</v>
      </c>
      <c r="W1239">
        <v>0.4</v>
      </c>
      <c r="X1239">
        <v>0</v>
      </c>
      <c r="Y1239">
        <v>0.4</v>
      </c>
      <c r="Z1239">
        <v>1</v>
      </c>
    </row>
    <row r="1240" spans="1:26" x14ac:dyDescent="0.2">
      <c r="A1240" t="s">
        <v>107</v>
      </c>
      <c r="B1240">
        <v>2020</v>
      </c>
      <c r="C1240" t="str">
        <f t="shared" si="19"/>
        <v>NHC2020</v>
      </c>
      <c r="D1240">
        <v>2.436654678109735E-12</v>
      </c>
      <c r="E1240">
        <v>0.18600871192352181</v>
      </c>
      <c r="F1240">
        <v>1.4835124120888981</v>
      </c>
      <c r="G1240">
        <v>24.965505627693219</v>
      </c>
      <c r="H1240">
        <v>4.0043492775455594</v>
      </c>
      <c r="I1240">
        <v>8.8740577163076068E-2</v>
      </c>
      <c r="J1240">
        <v>3.2878972749909703E-2</v>
      </c>
      <c r="K1240">
        <v>8.8916014851067371E-2</v>
      </c>
      <c r="L1240">
        <v>0.13116901138315401</v>
      </c>
      <c r="M1240">
        <v>20</v>
      </c>
      <c r="N1240">
        <v>0</v>
      </c>
      <c r="O1240">
        <v>1</v>
      </c>
      <c r="P1240">
        <v>0.50219999999999998</v>
      </c>
      <c r="Q1240">
        <v>9.5700000000000007E-2</v>
      </c>
      <c r="R1240">
        <v>0</v>
      </c>
      <c r="S1240">
        <v>0.3004</v>
      </c>
      <c r="T1240">
        <v>0.3004</v>
      </c>
      <c r="U1240">
        <v>5</v>
      </c>
      <c r="V1240">
        <v>0</v>
      </c>
      <c r="W1240">
        <v>0.4</v>
      </c>
      <c r="X1240">
        <v>0</v>
      </c>
      <c r="Y1240">
        <v>0.4078</v>
      </c>
      <c r="Z1240">
        <v>1</v>
      </c>
    </row>
    <row r="1241" spans="1:26" x14ac:dyDescent="0.2">
      <c r="A1241" t="s">
        <v>107</v>
      </c>
      <c r="B1241">
        <v>2021</v>
      </c>
      <c r="C1241" t="str">
        <f t="shared" si="19"/>
        <v>NHC2021</v>
      </c>
      <c r="D1241">
        <v>1.943078025910256E-12</v>
      </c>
      <c r="E1241">
        <v>0.1530183364777952</v>
      </c>
      <c r="F1241">
        <v>1.3953071779855519</v>
      </c>
      <c r="G1241">
        <v>25.005585902877471</v>
      </c>
      <c r="H1241">
        <v>5.7886495561163036</v>
      </c>
      <c r="I1241">
        <v>8.0535981695439254E-2</v>
      </c>
      <c r="J1241">
        <v>4.0894328822698389E-2</v>
      </c>
      <c r="K1241">
        <v>6.2471688043305072E-2</v>
      </c>
      <c r="L1241">
        <v>0.1140197938263946</v>
      </c>
      <c r="M1241">
        <v>21</v>
      </c>
      <c r="N1241">
        <v>0</v>
      </c>
      <c r="O1241">
        <v>0</v>
      </c>
      <c r="P1241">
        <v>0.50219999999999998</v>
      </c>
      <c r="Q1241">
        <v>9.5700000000000007E-2</v>
      </c>
      <c r="R1241">
        <v>0</v>
      </c>
      <c r="S1241">
        <v>0.3004</v>
      </c>
      <c r="T1241">
        <v>0.3004</v>
      </c>
      <c r="U1241">
        <v>5</v>
      </c>
      <c r="V1241">
        <v>0</v>
      </c>
      <c r="W1241">
        <v>0.4</v>
      </c>
      <c r="X1241">
        <v>0</v>
      </c>
      <c r="Y1241">
        <v>0.43380000000000002</v>
      </c>
      <c r="Z1241">
        <v>1</v>
      </c>
    </row>
    <row r="1242" spans="1:26" x14ac:dyDescent="0.2">
      <c r="A1242" t="s">
        <v>107</v>
      </c>
      <c r="B1242">
        <v>2022</v>
      </c>
      <c r="C1242" t="str">
        <f t="shared" si="19"/>
        <v>NHC2022</v>
      </c>
      <c r="D1242">
        <v>8.1883548113084064E-13</v>
      </c>
      <c r="E1242">
        <v>5.184679100692581E-2</v>
      </c>
      <c r="F1242">
        <v>1.538413339678472</v>
      </c>
      <c r="G1242">
        <v>24.831713368807161</v>
      </c>
      <c r="H1242">
        <v>11.68695532438983</v>
      </c>
      <c r="I1242">
        <v>3.8939199452228471E-2</v>
      </c>
      <c r="J1242">
        <v>-0.15959598628961319</v>
      </c>
      <c r="K1242">
        <v>-1.199163801958511E-2</v>
      </c>
      <c r="L1242">
        <v>0.1391169531862671</v>
      </c>
      <c r="M1242">
        <v>22</v>
      </c>
      <c r="N1242">
        <v>0</v>
      </c>
      <c r="O1242">
        <v>0</v>
      </c>
      <c r="P1242">
        <v>0.50209999999999999</v>
      </c>
      <c r="Q1242">
        <v>9.5700000000000007E-2</v>
      </c>
      <c r="R1242">
        <v>0</v>
      </c>
      <c r="S1242">
        <v>0.3004</v>
      </c>
      <c r="T1242">
        <v>0.3004</v>
      </c>
      <c r="U1242">
        <v>5</v>
      </c>
      <c r="V1242">
        <v>0</v>
      </c>
      <c r="W1242">
        <v>0.2</v>
      </c>
      <c r="X1242">
        <v>0</v>
      </c>
      <c r="Y1242">
        <v>0.45</v>
      </c>
      <c r="Z1242">
        <v>1</v>
      </c>
    </row>
    <row r="1243" spans="1:26" x14ac:dyDescent="0.2">
      <c r="A1243" t="s">
        <v>107</v>
      </c>
      <c r="B1243">
        <v>2023</v>
      </c>
      <c r="C1243" t="str">
        <f t="shared" si="19"/>
        <v>NHC2023</v>
      </c>
      <c r="D1243">
        <v>358623222984.73822</v>
      </c>
      <c r="E1243">
        <v>-1.8137170996071671E-2</v>
      </c>
      <c r="F1243">
        <v>1.66053306979971</v>
      </c>
      <c r="G1243">
        <v>24.896485676414091</v>
      </c>
      <c r="H1243">
        <v>21.293679995117781</v>
      </c>
      <c r="I1243">
        <v>0.11456183210047199</v>
      </c>
      <c r="J1243">
        <v>6.6916068052849109E-2</v>
      </c>
      <c r="K1243">
        <v>2.6530497745937472E-2</v>
      </c>
      <c r="L1243">
        <v>0.11422188876414829</v>
      </c>
      <c r="M1243">
        <v>23</v>
      </c>
      <c r="N1243">
        <v>0</v>
      </c>
      <c r="O1243">
        <v>0</v>
      </c>
      <c r="P1243">
        <v>0.50209999999999999</v>
      </c>
      <c r="Q1243">
        <v>9.5700000000000007E-2</v>
      </c>
      <c r="R1243">
        <v>0</v>
      </c>
      <c r="S1243">
        <v>0.3004</v>
      </c>
      <c r="T1243">
        <v>0.3004</v>
      </c>
      <c r="U1243">
        <v>5</v>
      </c>
      <c r="V1243">
        <v>0</v>
      </c>
      <c r="W1243">
        <v>0.2</v>
      </c>
      <c r="X1243">
        <v>0</v>
      </c>
      <c r="Y1243">
        <v>0.45</v>
      </c>
      <c r="Z1243">
        <v>1</v>
      </c>
    </row>
    <row r="1244" spans="1:26" x14ac:dyDescent="0.2">
      <c r="A1244" t="s">
        <v>108</v>
      </c>
      <c r="B1244">
        <v>2012</v>
      </c>
      <c r="C1244" t="str">
        <f t="shared" si="19"/>
        <v>NKG2012</v>
      </c>
      <c r="D1244">
        <v>-2.0299043174414591E-14</v>
      </c>
      <c r="E1244">
        <v>-0.37820899913574391</v>
      </c>
      <c r="F1244">
        <v>1.0039865902934799</v>
      </c>
      <c r="G1244">
        <v>28.45333218456636</v>
      </c>
      <c r="H1244">
        <v>0.91644594337175678</v>
      </c>
      <c r="I1244">
        <v>0.87785691960163903</v>
      </c>
      <c r="J1244">
        <v>0.1774956321394292</v>
      </c>
      <c r="K1244">
        <v>3.3115369561694807E-2</v>
      </c>
      <c r="L1244">
        <v>0.42459381711975691</v>
      </c>
      <c r="M1244">
        <v>10</v>
      </c>
      <c r="N1244">
        <v>0</v>
      </c>
      <c r="O1244">
        <v>0</v>
      </c>
      <c r="P1244">
        <v>0.38030000000000003</v>
      </c>
      <c r="Q1244">
        <v>0.42080000000000001</v>
      </c>
      <c r="R1244">
        <v>0</v>
      </c>
      <c r="S1244">
        <v>0</v>
      </c>
      <c r="T1244">
        <v>0</v>
      </c>
      <c r="U1244">
        <v>5</v>
      </c>
      <c r="V1244">
        <v>0</v>
      </c>
      <c r="W1244">
        <v>0.2</v>
      </c>
      <c r="X1244">
        <v>1</v>
      </c>
      <c r="Y1244">
        <v>0.375</v>
      </c>
      <c r="Z1244">
        <v>1</v>
      </c>
    </row>
    <row r="1245" spans="1:26" x14ac:dyDescent="0.2">
      <c r="A1245" t="s">
        <v>108</v>
      </c>
      <c r="B1245">
        <v>2013</v>
      </c>
      <c r="C1245" t="str">
        <f t="shared" si="19"/>
        <v>NKG2013</v>
      </c>
      <c r="D1245">
        <v>9.6051367250446703E-15</v>
      </c>
      <c r="E1245">
        <v>0.15720673505406779</v>
      </c>
      <c r="F1245">
        <v>0.97129313991969801</v>
      </c>
      <c r="G1245">
        <v>28.474044224809312</v>
      </c>
      <c r="H1245">
        <v>0.89464597544147262</v>
      </c>
      <c r="I1245">
        <v>0.85804434844512156</v>
      </c>
      <c r="J1245">
        <v>2.092802311987452E-2</v>
      </c>
      <c r="K1245">
        <v>0.19771649916415571</v>
      </c>
      <c r="L1245">
        <v>0.41196837273356279</v>
      </c>
      <c r="M1245">
        <v>11</v>
      </c>
      <c r="N1245">
        <v>0</v>
      </c>
      <c r="O1245">
        <v>0</v>
      </c>
      <c r="P1245">
        <v>0.44900000000000001</v>
      </c>
      <c r="Q1245">
        <v>0.46139999999999998</v>
      </c>
      <c r="R1245">
        <v>0</v>
      </c>
      <c r="S1245">
        <v>0</v>
      </c>
      <c r="T1245">
        <v>0</v>
      </c>
      <c r="U1245">
        <v>5</v>
      </c>
      <c r="V1245">
        <v>0</v>
      </c>
      <c r="W1245">
        <v>0.2</v>
      </c>
      <c r="X1245">
        <v>1</v>
      </c>
      <c r="Y1245">
        <v>0.39</v>
      </c>
      <c r="Z1245">
        <v>1</v>
      </c>
    </row>
    <row r="1246" spans="1:26" x14ac:dyDescent="0.2">
      <c r="A1246" t="s">
        <v>108</v>
      </c>
      <c r="B1246">
        <v>2014</v>
      </c>
      <c r="C1246" t="str">
        <f t="shared" si="19"/>
        <v>NKG2014</v>
      </c>
      <c r="D1246">
        <v>8.8869587723039951E-15</v>
      </c>
      <c r="E1246">
        <v>0.1513413568242204</v>
      </c>
      <c r="F1246">
        <v>1.009600095431527</v>
      </c>
      <c r="G1246">
        <v>28.70834882395328</v>
      </c>
      <c r="H1246">
        <v>0.91381159589994776</v>
      </c>
      <c r="I1246">
        <v>0.82754609971668258</v>
      </c>
      <c r="J1246">
        <v>0.2640294558652021</v>
      </c>
      <c r="K1246">
        <v>7.8031284860159755E-2</v>
      </c>
      <c r="L1246">
        <v>0.36288621742953953</v>
      </c>
      <c r="M1246">
        <v>12</v>
      </c>
      <c r="N1246">
        <v>0</v>
      </c>
      <c r="O1246">
        <v>0</v>
      </c>
      <c r="P1246">
        <v>0.51190000000000002</v>
      </c>
      <c r="Q1246">
        <v>0.36349999999999999</v>
      </c>
      <c r="R1246">
        <v>0</v>
      </c>
      <c r="S1246">
        <v>0</v>
      </c>
      <c r="T1246">
        <v>5.8600000000000013E-2</v>
      </c>
      <c r="U1246">
        <v>5</v>
      </c>
      <c r="V1246">
        <v>0</v>
      </c>
      <c r="W1246">
        <v>0.2</v>
      </c>
      <c r="X1246">
        <v>1</v>
      </c>
      <c r="Y1246">
        <v>0.39250000000000002</v>
      </c>
      <c r="Z1246">
        <v>1</v>
      </c>
    </row>
    <row r="1247" spans="1:26" x14ac:dyDescent="0.2">
      <c r="A1247" t="s">
        <v>108</v>
      </c>
      <c r="B1247">
        <v>2015</v>
      </c>
      <c r="C1247" t="str">
        <f t="shared" si="19"/>
        <v>NKG2015</v>
      </c>
      <c r="D1247">
        <v>9.8778581539944653E-15</v>
      </c>
      <c r="E1247">
        <v>0.1970442600608473</v>
      </c>
      <c r="F1247">
        <v>0.97571774298233649</v>
      </c>
      <c r="G1247">
        <v>28.904255291880091</v>
      </c>
      <c r="H1247">
        <v>0.98623783800766929</v>
      </c>
      <c r="I1247">
        <v>0.82091567517952502</v>
      </c>
      <c r="J1247">
        <v>0.21641312637184379</v>
      </c>
      <c r="K1247">
        <v>-5.9080974287699102E-2</v>
      </c>
      <c r="L1247">
        <v>0.46390510844288652</v>
      </c>
      <c r="M1247">
        <v>13</v>
      </c>
      <c r="N1247">
        <v>1</v>
      </c>
      <c r="O1247">
        <v>0</v>
      </c>
      <c r="P1247">
        <v>0.64049999999999996</v>
      </c>
      <c r="Q1247">
        <v>0.4531</v>
      </c>
      <c r="R1247">
        <v>0</v>
      </c>
      <c r="S1247">
        <v>0</v>
      </c>
      <c r="T1247">
        <v>0.30370000000000003</v>
      </c>
      <c r="U1247">
        <v>5</v>
      </c>
      <c r="V1247">
        <v>0</v>
      </c>
      <c r="W1247">
        <v>0.2</v>
      </c>
      <c r="X1247">
        <v>1</v>
      </c>
      <c r="Y1247">
        <v>0.40250000000000002</v>
      </c>
      <c r="Z1247">
        <v>1</v>
      </c>
    </row>
    <row r="1248" spans="1:26" x14ac:dyDescent="0.2">
      <c r="A1248" t="s">
        <v>108</v>
      </c>
      <c r="B1248">
        <v>2016</v>
      </c>
      <c r="C1248" t="str">
        <f t="shared" si="19"/>
        <v>NKG2016</v>
      </c>
      <c r="D1248">
        <v>1.267957428150246E-14</v>
      </c>
      <c r="E1248">
        <v>0.32760972568932129</v>
      </c>
      <c r="F1248">
        <v>1.1143553718261781</v>
      </c>
      <c r="G1248">
        <v>29.4857901248693</v>
      </c>
      <c r="H1248">
        <v>0.86358205357349405</v>
      </c>
      <c r="I1248">
        <v>0.75267738372900284</v>
      </c>
      <c r="J1248">
        <v>0.78878180622664051</v>
      </c>
      <c r="K1248">
        <v>3.9156365161875087E-3</v>
      </c>
      <c r="L1248">
        <v>0.50594666050153059</v>
      </c>
      <c r="M1248">
        <v>14</v>
      </c>
      <c r="N1248">
        <v>1</v>
      </c>
      <c r="O1248">
        <v>0</v>
      </c>
      <c r="P1248">
        <v>0.68390000000000017</v>
      </c>
      <c r="Q1248">
        <v>0.27900000000000003</v>
      </c>
      <c r="R1248">
        <v>0.24229999999999999</v>
      </c>
      <c r="S1248">
        <v>0</v>
      </c>
      <c r="T1248">
        <v>0.42870000000000003</v>
      </c>
      <c r="U1248">
        <v>5</v>
      </c>
      <c r="V1248">
        <v>0</v>
      </c>
      <c r="W1248">
        <v>0.2</v>
      </c>
      <c r="X1248">
        <v>1</v>
      </c>
      <c r="Y1248">
        <v>0.4</v>
      </c>
      <c r="Z1248">
        <v>1</v>
      </c>
    </row>
    <row r="1249" spans="1:26" x14ac:dyDescent="0.2">
      <c r="A1249" t="s">
        <v>108</v>
      </c>
      <c r="B1249">
        <v>2017</v>
      </c>
      <c r="C1249" t="str">
        <f t="shared" si="19"/>
        <v>NKG2017</v>
      </c>
      <c r="D1249">
        <v>6.8345799548682239E-15</v>
      </c>
      <c r="E1249">
        <v>0.2406131800538345</v>
      </c>
      <c r="F1249">
        <v>1.206747677707289</v>
      </c>
      <c r="G1249">
        <v>29.95090113027895</v>
      </c>
      <c r="H1249">
        <v>1.042866017079229</v>
      </c>
      <c r="I1249">
        <v>0.71099623242810084</v>
      </c>
      <c r="J1249">
        <v>0.59219092088321812</v>
      </c>
      <c r="K1249">
        <v>-0.1427951637513207</v>
      </c>
      <c r="L1249">
        <v>0.36617036138477133</v>
      </c>
      <c r="M1249">
        <v>15</v>
      </c>
      <c r="N1249">
        <v>1</v>
      </c>
      <c r="O1249">
        <v>0</v>
      </c>
      <c r="P1249">
        <v>0.58619999999999994</v>
      </c>
      <c r="Q1249">
        <v>0.21479999999999999</v>
      </c>
      <c r="R1249">
        <v>0.24979999999999999</v>
      </c>
      <c r="S1249">
        <v>0</v>
      </c>
      <c r="T1249">
        <v>0.39179999999999993</v>
      </c>
      <c r="U1249">
        <v>5</v>
      </c>
      <c r="V1249">
        <v>0</v>
      </c>
      <c r="W1249">
        <v>0.2</v>
      </c>
      <c r="X1249">
        <v>1</v>
      </c>
      <c r="Y1249">
        <v>0.41</v>
      </c>
      <c r="Z1249">
        <v>1</v>
      </c>
    </row>
    <row r="1250" spans="1:26" x14ac:dyDescent="0.2">
      <c r="A1250" t="s">
        <v>108</v>
      </c>
      <c r="B1250">
        <v>2018</v>
      </c>
      <c r="C1250" t="str">
        <f t="shared" si="19"/>
        <v>NKG2018</v>
      </c>
      <c r="D1250">
        <v>8.6913722545330764E-16</v>
      </c>
      <c r="E1250">
        <v>1.9296906417748561E-2</v>
      </c>
      <c r="F1250">
        <v>0.81143133662416611</v>
      </c>
      <c r="G1250">
        <v>29.725599720461279</v>
      </c>
      <c r="H1250">
        <v>1.1029593655834009</v>
      </c>
      <c r="I1250">
        <v>0.63418240479389554</v>
      </c>
      <c r="J1250">
        <v>-0.20172442560041509</v>
      </c>
      <c r="K1250">
        <v>0.2897917080364712</v>
      </c>
      <c r="L1250">
        <v>0.45750227143256428</v>
      </c>
      <c r="M1250">
        <v>16</v>
      </c>
      <c r="N1250">
        <v>1</v>
      </c>
      <c r="O1250">
        <v>0</v>
      </c>
      <c r="P1250">
        <v>0.53010000000000002</v>
      </c>
      <c r="Q1250">
        <v>0.1215</v>
      </c>
      <c r="R1250">
        <v>0.28460000000000002</v>
      </c>
      <c r="S1250">
        <v>0</v>
      </c>
      <c r="T1250">
        <v>0.42670000000000002</v>
      </c>
      <c r="U1250">
        <v>5</v>
      </c>
      <c r="V1250">
        <v>0</v>
      </c>
      <c r="W1250">
        <v>0.2</v>
      </c>
      <c r="X1250">
        <v>1</v>
      </c>
      <c r="Y1250">
        <v>0.41670000000000001</v>
      </c>
      <c r="Z1250">
        <v>1</v>
      </c>
    </row>
    <row r="1251" spans="1:26" x14ac:dyDescent="0.2">
      <c r="A1251" t="s">
        <v>108</v>
      </c>
      <c r="B1251">
        <v>2019</v>
      </c>
      <c r="C1251" t="str">
        <f t="shared" si="19"/>
        <v>NKG2019</v>
      </c>
      <c r="D1251">
        <v>7.2783171732751598E-16</v>
      </c>
      <c r="E1251">
        <v>1.5689966848260621E-2</v>
      </c>
      <c r="F1251">
        <v>0.78162984979494321</v>
      </c>
      <c r="G1251">
        <v>29.718475233918891</v>
      </c>
      <c r="H1251">
        <v>1.04525389204761</v>
      </c>
      <c r="I1251">
        <v>0.62590771132851031</v>
      </c>
      <c r="J1251">
        <v>-7.0991675520925002E-3</v>
      </c>
      <c r="K1251">
        <v>0.14897109010463741</v>
      </c>
      <c r="L1251">
        <v>0.40424155497843511</v>
      </c>
      <c r="M1251">
        <v>17</v>
      </c>
      <c r="N1251">
        <v>1</v>
      </c>
      <c r="O1251">
        <v>1</v>
      </c>
      <c r="P1251">
        <v>0.55980000000000008</v>
      </c>
      <c r="Q1251">
        <v>0.22789999999999999</v>
      </c>
      <c r="R1251">
        <v>0.2954</v>
      </c>
      <c r="S1251">
        <v>0</v>
      </c>
      <c r="T1251">
        <v>0.34539999999999998</v>
      </c>
      <c r="U1251">
        <v>4</v>
      </c>
      <c r="V1251">
        <v>0</v>
      </c>
      <c r="W1251">
        <v>0.25</v>
      </c>
      <c r="X1251">
        <v>1</v>
      </c>
      <c r="Y1251">
        <v>0.40110000000000001</v>
      </c>
      <c r="Z1251">
        <v>1</v>
      </c>
    </row>
    <row r="1252" spans="1:26" x14ac:dyDescent="0.2">
      <c r="A1252" t="s">
        <v>108</v>
      </c>
      <c r="B1252">
        <v>2020</v>
      </c>
      <c r="C1252" t="str">
        <f t="shared" si="19"/>
        <v>NKG2020</v>
      </c>
      <c r="D1252">
        <v>4.8994690933574812E-15</v>
      </c>
      <c r="E1252">
        <v>9.2822276368026729E-2</v>
      </c>
      <c r="F1252">
        <v>0.92257955463754526</v>
      </c>
      <c r="G1252">
        <v>29.680401995081709</v>
      </c>
      <c r="H1252">
        <v>1.021408621227978</v>
      </c>
      <c r="I1252">
        <v>0.59023806241188281</v>
      </c>
      <c r="J1252">
        <v>-3.7357564503232472E-2</v>
      </c>
      <c r="K1252">
        <v>5.6924691087090942E-3</v>
      </c>
      <c r="L1252">
        <v>0.37821535262532768</v>
      </c>
      <c r="M1252">
        <v>18</v>
      </c>
      <c r="N1252">
        <v>1</v>
      </c>
      <c r="O1252">
        <v>1</v>
      </c>
      <c r="P1252">
        <v>0.37309999999999999</v>
      </c>
      <c r="Q1252">
        <v>0.24890000000000001</v>
      </c>
      <c r="R1252">
        <v>7.3300000000000004E-2</v>
      </c>
      <c r="S1252">
        <v>0</v>
      </c>
      <c r="T1252">
        <v>0.12620000000000001</v>
      </c>
      <c r="U1252">
        <v>6</v>
      </c>
      <c r="V1252">
        <v>0</v>
      </c>
      <c r="W1252">
        <v>0.1666666666666666</v>
      </c>
      <c r="X1252">
        <v>1</v>
      </c>
      <c r="Y1252">
        <v>0.4158</v>
      </c>
      <c r="Z1252">
        <v>1</v>
      </c>
    </row>
    <row r="1253" spans="1:26" x14ac:dyDescent="0.2">
      <c r="A1253" t="s">
        <v>108</v>
      </c>
      <c r="B1253">
        <v>2021</v>
      </c>
      <c r="C1253" t="str">
        <f t="shared" si="19"/>
        <v>NKG2021</v>
      </c>
      <c r="D1253">
        <v>9.3854934608162978E-15</v>
      </c>
      <c r="E1253">
        <v>0.38881388414359253</v>
      </c>
      <c r="F1253">
        <v>1.180445907732208</v>
      </c>
      <c r="G1253">
        <v>30.365253250360421</v>
      </c>
      <c r="H1253">
        <v>1.096215193902456</v>
      </c>
      <c r="I1253">
        <v>0.62831308275194608</v>
      </c>
      <c r="J1253">
        <v>0.98347678189275134</v>
      </c>
      <c r="K1253">
        <v>-1.8511090499035852E-2</v>
      </c>
      <c r="L1253">
        <v>0.1757266016049607</v>
      </c>
      <c r="M1253">
        <v>19</v>
      </c>
      <c r="N1253">
        <v>1</v>
      </c>
      <c r="O1253">
        <v>0</v>
      </c>
      <c r="P1253">
        <v>0.34200000000000003</v>
      </c>
      <c r="Q1253">
        <v>0.16839999999999999</v>
      </c>
      <c r="R1253">
        <v>5.0299999999999997E-2</v>
      </c>
      <c r="S1253">
        <v>0</v>
      </c>
      <c r="T1253">
        <v>0.1032</v>
      </c>
      <c r="U1253">
        <v>5</v>
      </c>
      <c r="V1253">
        <v>0</v>
      </c>
      <c r="W1253">
        <v>0.2</v>
      </c>
      <c r="X1253">
        <v>1</v>
      </c>
      <c r="Y1253">
        <v>0.42909999999999998</v>
      </c>
      <c r="Z1253">
        <v>1</v>
      </c>
    </row>
    <row r="1254" spans="1:26" x14ac:dyDescent="0.2">
      <c r="A1254" t="s">
        <v>108</v>
      </c>
      <c r="B1254">
        <v>2022</v>
      </c>
      <c r="C1254" t="str">
        <f t="shared" si="19"/>
        <v>NKG2022</v>
      </c>
      <c r="D1254">
        <v>-6.8813634014422324E-16</v>
      </c>
      <c r="E1254">
        <v>-2.3438540986931999E-2</v>
      </c>
      <c r="F1254">
        <v>0.84439979332211579</v>
      </c>
      <c r="G1254">
        <v>30.230799889508891</v>
      </c>
      <c r="H1254">
        <v>1.272697853556253</v>
      </c>
      <c r="I1254">
        <v>0.60480313130156838</v>
      </c>
      <c r="J1254">
        <v>-0.12580635042677121</v>
      </c>
      <c r="K1254">
        <v>-5.9763376863403411E-2</v>
      </c>
      <c r="L1254">
        <v>0.18758716980370749</v>
      </c>
      <c r="M1254">
        <v>20</v>
      </c>
      <c r="N1254">
        <v>1</v>
      </c>
      <c r="O1254">
        <v>0</v>
      </c>
      <c r="P1254">
        <v>0.1923</v>
      </c>
      <c r="Q1254">
        <v>0.18609999999999999</v>
      </c>
      <c r="R1254">
        <v>5.0299999999999997E-2</v>
      </c>
      <c r="S1254">
        <v>0</v>
      </c>
      <c r="T1254">
        <v>5.0299999999999997E-2</v>
      </c>
      <c r="U1254">
        <v>5</v>
      </c>
      <c r="V1254">
        <v>0</v>
      </c>
      <c r="W1254">
        <v>0.2</v>
      </c>
      <c r="X1254">
        <v>1</v>
      </c>
      <c r="Y1254">
        <v>0.44419999999999998</v>
      </c>
      <c r="Z1254">
        <v>1</v>
      </c>
    </row>
    <row r="1255" spans="1:26" x14ac:dyDescent="0.2">
      <c r="A1255" t="s">
        <v>108</v>
      </c>
      <c r="B1255">
        <v>2023</v>
      </c>
      <c r="C1255" t="str">
        <f t="shared" si="19"/>
        <v>NKG2023</v>
      </c>
      <c r="D1255">
        <v>-1289751848245.366</v>
      </c>
      <c r="E1255">
        <v>1.5722088224256942E-2</v>
      </c>
      <c r="F1255">
        <v>0.77990331396741486</v>
      </c>
      <c r="G1255">
        <v>30.135354607266311</v>
      </c>
      <c r="H1255">
        <v>1.284384634175149</v>
      </c>
      <c r="I1255">
        <v>0.38966069968219091</v>
      </c>
      <c r="J1255">
        <v>-9.1031903011209211E-2</v>
      </c>
      <c r="K1255">
        <v>2.2743673704246781E-2</v>
      </c>
      <c r="L1255">
        <v>0.1911246834767715</v>
      </c>
      <c r="M1255">
        <v>21</v>
      </c>
      <c r="N1255">
        <v>0</v>
      </c>
      <c r="O1255">
        <v>0</v>
      </c>
      <c r="P1255">
        <v>0.1923</v>
      </c>
      <c r="Q1255">
        <v>0.18609999999999999</v>
      </c>
      <c r="R1255">
        <v>5.0299999999999997E-2</v>
      </c>
      <c r="S1255">
        <v>0</v>
      </c>
      <c r="T1255">
        <v>5.0299999999999997E-2</v>
      </c>
      <c r="U1255">
        <v>5</v>
      </c>
      <c r="V1255">
        <v>0</v>
      </c>
      <c r="W1255">
        <v>0.2</v>
      </c>
      <c r="X1255">
        <v>1</v>
      </c>
      <c r="Y1255">
        <v>0.44419999999999998</v>
      </c>
      <c r="Z1255">
        <v>1</v>
      </c>
    </row>
    <row r="1256" spans="1:26" x14ac:dyDescent="0.2">
      <c r="A1256" t="s">
        <v>109</v>
      </c>
      <c r="B1256">
        <v>2012</v>
      </c>
      <c r="C1256" t="str">
        <f t="shared" si="19"/>
        <v>NST2012</v>
      </c>
      <c r="D1256">
        <v>4.6140921286546571E-14</v>
      </c>
      <c r="E1256">
        <v>8.4109663214325128E-2</v>
      </c>
      <c r="F1256">
        <v>0.86278326048644094</v>
      </c>
      <c r="G1256">
        <v>26.927188142074989</v>
      </c>
      <c r="H1256">
        <v>1.5830441551516079</v>
      </c>
      <c r="I1256">
        <v>0.72862515337608147</v>
      </c>
      <c r="J1256">
        <v>0.26156981379144439</v>
      </c>
      <c r="K1256">
        <v>-0.12270789789298341</v>
      </c>
      <c r="L1256">
        <v>0.32949638162909461</v>
      </c>
      <c r="M1256">
        <v>16</v>
      </c>
      <c r="N1256">
        <v>0</v>
      </c>
      <c r="O1256">
        <v>0</v>
      </c>
      <c r="P1256">
        <v>0.70689999999999997</v>
      </c>
      <c r="Q1256">
        <v>1.67E-2</v>
      </c>
      <c r="R1256">
        <v>0</v>
      </c>
      <c r="S1256">
        <v>0.70689999999999997</v>
      </c>
      <c r="T1256">
        <v>0.70689999999999997</v>
      </c>
      <c r="U1256">
        <v>5</v>
      </c>
      <c r="V1256">
        <v>0</v>
      </c>
      <c r="W1256">
        <v>0</v>
      </c>
      <c r="X1256">
        <v>0</v>
      </c>
      <c r="Y1256">
        <v>0.49380000000000002</v>
      </c>
      <c r="Z1256">
        <v>1</v>
      </c>
    </row>
    <row r="1257" spans="1:26" x14ac:dyDescent="0.2">
      <c r="A1257" t="s">
        <v>109</v>
      </c>
      <c r="B1257">
        <v>2013</v>
      </c>
      <c r="C1257" t="str">
        <f t="shared" si="19"/>
        <v>NST2013</v>
      </c>
      <c r="D1257">
        <v>2.7145939879144249E-14</v>
      </c>
      <c r="E1257">
        <v>8.6395194870666228E-2</v>
      </c>
      <c r="F1257">
        <v>0.85552557932573603</v>
      </c>
      <c r="G1257">
        <v>27.281832315732601</v>
      </c>
      <c r="H1257">
        <v>1.056820575684934</v>
      </c>
      <c r="I1257">
        <v>0.77840266899563682</v>
      </c>
      <c r="J1257">
        <v>0.42567327191105142</v>
      </c>
      <c r="K1257">
        <v>-0.19777324684925521</v>
      </c>
      <c r="L1257">
        <v>0.20759355257596199</v>
      </c>
      <c r="M1257">
        <v>17</v>
      </c>
      <c r="N1257">
        <v>0</v>
      </c>
      <c r="O1257">
        <v>0</v>
      </c>
      <c r="P1257">
        <v>0.73349999999999993</v>
      </c>
      <c r="Q1257">
        <v>2.2700000000000001E-2</v>
      </c>
      <c r="R1257">
        <v>0</v>
      </c>
      <c r="S1257">
        <v>0.73349999999999993</v>
      </c>
      <c r="T1257">
        <v>0.73349999999999993</v>
      </c>
      <c r="U1257">
        <v>5</v>
      </c>
      <c r="V1257">
        <v>0</v>
      </c>
      <c r="W1257">
        <v>0</v>
      </c>
      <c r="X1257">
        <v>0</v>
      </c>
      <c r="Y1257">
        <v>0.49249999999999999</v>
      </c>
      <c r="Z1257">
        <v>1</v>
      </c>
    </row>
    <row r="1258" spans="1:26" x14ac:dyDescent="0.2">
      <c r="A1258" t="s">
        <v>109</v>
      </c>
      <c r="B1258">
        <v>2014</v>
      </c>
      <c r="C1258" t="str">
        <f t="shared" si="19"/>
        <v>NST2014</v>
      </c>
      <c r="D1258">
        <v>5.1564898706959011E-14</v>
      </c>
      <c r="E1258">
        <v>9.0599204936141736E-2</v>
      </c>
      <c r="F1258">
        <v>0.89717477316591032</v>
      </c>
      <c r="G1258">
        <v>27.04656456780344</v>
      </c>
      <c r="H1258">
        <v>1.052125668752361</v>
      </c>
      <c r="I1258">
        <v>0.68274861355684979</v>
      </c>
      <c r="J1258">
        <v>-0.2055476183791104</v>
      </c>
      <c r="K1258">
        <v>0.1794869142067671</v>
      </c>
      <c r="L1258">
        <v>0.25700973585287329</v>
      </c>
      <c r="M1258">
        <v>18</v>
      </c>
      <c r="N1258">
        <v>0</v>
      </c>
      <c r="O1258">
        <v>0</v>
      </c>
      <c r="P1258">
        <v>0.75290000000000001</v>
      </c>
      <c r="Q1258">
        <v>2E-3</v>
      </c>
      <c r="R1258">
        <v>0</v>
      </c>
      <c r="S1258">
        <v>0.75290000000000001</v>
      </c>
      <c r="T1258">
        <v>0.75290000000000001</v>
      </c>
      <c r="U1258">
        <v>5</v>
      </c>
      <c r="V1258">
        <v>0</v>
      </c>
      <c r="W1258">
        <v>0</v>
      </c>
      <c r="X1258">
        <v>0</v>
      </c>
      <c r="Y1258">
        <v>0.45710000000000001</v>
      </c>
      <c r="Z1258">
        <v>1</v>
      </c>
    </row>
    <row r="1259" spans="1:26" x14ac:dyDescent="0.2">
      <c r="A1259" t="s">
        <v>109</v>
      </c>
      <c r="B1259">
        <v>2015</v>
      </c>
      <c r="C1259" t="str">
        <f t="shared" si="19"/>
        <v>NST2015</v>
      </c>
      <c r="D1259">
        <v>-6.7799962441828024E-14</v>
      </c>
      <c r="E1259">
        <v>-0.1767813799290503</v>
      </c>
      <c r="F1259">
        <v>0.94150181977204372</v>
      </c>
      <c r="G1259">
        <v>27.133579517083941</v>
      </c>
      <c r="H1259">
        <v>1.120593809057947</v>
      </c>
      <c r="I1259">
        <v>0.76678483237974915</v>
      </c>
      <c r="J1259">
        <v>8.5292386332739945E-2</v>
      </c>
      <c r="K1259">
        <v>0.3145789695563328</v>
      </c>
      <c r="L1259">
        <v>0.1983679809678994</v>
      </c>
      <c r="M1259">
        <v>19</v>
      </c>
      <c r="N1259">
        <v>0</v>
      </c>
      <c r="O1259">
        <v>0</v>
      </c>
      <c r="P1259">
        <v>0.75290000000000001</v>
      </c>
      <c r="Q1259">
        <v>2.0999999999999999E-3</v>
      </c>
      <c r="R1259">
        <v>0</v>
      </c>
      <c r="S1259">
        <v>0.75290000000000001</v>
      </c>
      <c r="T1259">
        <v>0.75290000000000001</v>
      </c>
      <c r="U1259">
        <v>5</v>
      </c>
      <c r="V1259">
        <v>0</v>
      </c>
      <c r="W1259">
        <v>0</v>
      </c>
      <c r="X1259">
        <v>0</v>
      </c>
      <c r="Y1259">
        <v>0.46700000000000003</v>
      </c>
      <c r="Z1259">
        <v>1</v>
      </c>
    </row>
    <row r="1260" spans="1:26" x14ac:dyDescent="0.2">
      <c r="A1260" t="s">
        <v>109</v>
      </c>
      <c r="B1260">
        <v>2016</v>
      </c>
      <c r="C1260" t="str">
        <f t="shared" si="19"/>
        <v>NST2016</v>
      </c>
      <c r="D1260">
        <v>6.0193002866601276E-14</v>
      </c>
      <c r="E1260">
        <v>9.5917216327156316E-2</v>
      </c>
      <c r="F1260">
        <v>0.87894354634990468</v>
      </c>
      <c r="G1260">
        <v>26.937785285491319</v>
      </c>
      <c r="H1260">
        <v>1.042045432250279</v>
      </c>
      <c r="I1260">
        <v>0.68625201342629705</v>
      </c>
      <c r="J1260">
        <v>-0.1778186037699854</v>
      </c>
      <c r="K1260">
        <v>3.5438123536056187E-2</v>
      </c>
      <c r="L1260">
        <v>0.20221404522373779</v>
      </c>
      <c r="M1260">
        <v>20</v>
      </c>
      <c r="N1260">
        <v>0</v>
      </c>
      <c r="O1260">
        <v>0</v>
      </c>
      <c r="P1260">
        <v>0.75290000000000001</v>
      </c>
      <c r="Q1260">
        <v>2.0999999999999999E-3</v>
      </c>
      <c r="R1260">
        <v>0</v>
      </c>
      <c r="S1260">
        <v>0.75290000000000001</v>
      </c>
      <c r="T1260">
        <v>0.75290000000000001</v>
      </c>
      <c r="U1260">
        <v>5</v>
      </c>
      <c r="V1260">
        <v>0</v>
      </c>
      <c r="W1260">
        <v>0</v>
      </c>
      <c r="X1260">
        <v>0</v>
      </c>
      <c r="Y1260">
        <v>0.4718</v>
      </c>
      <c r="Z1260">
        <v>1</v>
      </c>
    </row>
    <row r="1261" spans="1:26" x14ac:dyDescent="0.2">
      <c r="A1261" t="s">
        <v>109</v>
      </c>
      <c r="B1261">
        <v>2017</v>
      </c>
      <c r="C1261" t="str">
        <f t="shared" si="19"/>
        <v>NST2017</v>
      </c>
      <c r="D1261">
        <v>7.0880640489151085E-14</v>
      </c>
      <c r="E1261">
        <v>8.6139988049154445E-2</v>
      </c>
      <c r="F1261">
        <v>0.87680774035649134</v>
      </c>
      <c r="G1261">
        <v>26.847347736501749</v>
      </c>
      <c r="H1261">
        <v>1.105275863183371</v>
      </c>
      <c r="I1261">
        <v>0.62418180550697444</v>
      </c>
      <c r="J1261">
        <v>-8.6468616922519392E-2</v>
      </c>
      <c r="K1261">
        <v>-1.538167817521555E-2</v>
      </c>
      <c r="L1261">
        <v>0.22288777534143439</v>
      </c>
      <c r="M1261">
        <v>21</v>
      </c>
      <c r="N1261">
        <v>0</v>
      </c>
      <c r="O1261">
        <v>0</v>
      </c>
      <c r="P1261">
        <v>0.75290000000000001</v>
      </c>
      <c r="Q1261">
        <v>2.0999999999999999E-3</v>
      </c>
      <c r="R1261">
        <v>0</v>
      </c>
      <c r="S1261">
        <v>0.75290000000000001</v>
      </c>
      <c r="T1261">
        <v>0.75290000000000001</v>
      </c>
      <c r="U1261">
        <v>5</v>
      </c>
      <c r="V1261">
        <v>0</v>
      </c>
      <c r="W1261">
        <v>0</v>
      </c>
      <c r="X1261">
        <v>0</v>
      </c>
      <c r="Y1261">
        <v>0.48180000000000001</v>
      </c>
      <c r="Z1261">
        <v>1</v>
      </c>
    </row>
    <row r="1262" spans="1:26" x14ac:dyDescent="0.2">
      <c r="A1262" t="s">
        <v>109</v>
      </c>
      <c r="B1262">
        <v>2018</v>
      </c>
      <c r="C1262" t="str">
        <f t="shared" si="19"/>
        <v>NST2018</v>
      </c>
      <c r="D1262">
        <v>7.5922454458961136E-14</v>
      </c>
      <c r="E1262">
        <v>7.0031694753306034E-2</v>
      </c>
      <c r="F1262">
        <v>1.1525009198130911</v>
      </c>
      <c r="G1262">
        <v>26.730158670348779</v>
      </c>
      <c r="H1262">
        <v>1.2633539845534789</v>
      </c>
      <c r="I1262">
        <v>0.55961145460564221</v>
      </c>
      <c r="J1262">
        <v>-0.1121295252340446</v>
      </c>
      <c r="K1262">
        <v>7.7705683528806496E-2</v>
      </c>
      <c r="L1262">
        <v>0.27770629271891623</v>
      </c>
      <c r="M1262">
        <v>22</v>
      </c>
      <c r="N1262">
        <v>0</v>
      </c>
      <c r="O1262">
        <v>0</v>
      </c>
      <c r="P1262">
        <v>0.75290000000000001</v>
      </c>
      <c r="Q1262">
        <v>1.1999999999999999E-3</v>
      </c>
      <c r="R1262">
        <v>0</v>
      </c>
      <c r="S1262">
        <v>0.1759</v>
      </c>
      <c r="T1262">
        <v>0.75290000000000001</v>
      </c>
      <c r="U1262">
        <v>5</v>
      </c>
      <c r="V1262">
        <v>0</v>
      </c>
      <c r="W1262">
        <v>0</v>
      </c>
      <c r="X1262">
        <v>0</v>
      </c>
      <c r="Y1262">
        <v>0.48</v>
      </c>
      <c r="Z1262">
        <v>1</v>
      </c>
    </row>
    <row r="1263" spans="1:26" x14ac:dyDescent="0.2">
      <c r="A1263" t="s">
        <v>109</v>
      </c>
      <c r="B1263">
        <v>2019</v>
      </c>
      <c r="C1263" t="str">
        <f t="shared" si="19"/>
        <v>NST2019</v>
      </c>
      <c r="D1263">
        <v>5.1477989172125588E-14</v>
      </c>
      <c r="E1263">
        <v>8.179021166820491E-2</v>
      </c>
      <c r="F1263">
        <v>1.2173569091313181</v>
      </c>
      <c r="G1263">
        <v>27.006412788697968</v>
      </c>
      <c r="H1263">
        <v>1.2692856495741169</v>
      </c>
      <c r="I1263">
        <v>0.66297952045965736</v>
      </c>
      <c r="J1263">
        <v>0.32047888249523232</v>
      </c>
      <c r="K1263">
        <v>-0.16487763925338589</v>
      </c>
      <c r="L1263">
        <v>0.19386329336233701</v>
      </c>
      <c r="M1263">
        <v>23</v>
      </c>
      <c r="N1263">
        <v>0</v>
      </c>
      <c r="O1263">
        <v>1</v>
      </c>
      <c r="P1263">
        <v>0.75290000000000001</v>
      </c>
      <c r="Q1263">
        <v>1.1999999999999999E-3</v>
      </c>
      <c r="R1263">
        <v>0</v>
      </c>
      <c r="S1263">
        <v>0.75290000000000001</v>
      </c>
      <c r="T1263">
        <v>0.75290000000000001</v>
      </c>
      <c r="U1263">
        <v>5</v>
      </c>
      <c r="V1263">
        <v>0</v>
      </c>
      <c r="W1263">
        <v>0</v>
      </c>
      <c r="X1263">
        <v>0</v>
      </c>
      <c r="Y1263">
        <v>0.4778</v>
      </c>
      <c r="Z1263">
        <v>1</v>
      </c>
    </row>
    <row r="1264" spans="1:26" x14ac:dyDescent="0.2">
      <c r="A1264" t="s">
        <v>109</v>
      </c>
      <c r="B1264">
        <v>2020</v>
      </c>
      <c r="C1264" t="str">
        <f t="shared" si="19"/>
        <v>NST2020</v>
      </c>
      <c r="D1264">
        <v>7.0358443686692709E-15</v>
      </c>
      <c r="E1264">
        <v>5.2638875636343979E-3</v>
      </c>
      <c r="F1264">
        <v>0.75818861685127603</v>
      </c>
      <c r="G1264">
        <v>26.59653593648849</v>
      </c>
      <c r="H1264">
        <v>1.202409441817343</v>
      </c>
      <c r="I1264">
        <v>0.52495099241349841</v>
      </c>
      <c r="J1264">
        <v>-0.33626801776924398</v>
      </c>
      <c r="K1264">
        <v>0.81476381937389408</v>
      </c>
      <c r="L1264">
        <v>0.27320348133606298</v>
      </c>
      <c r="M1264">
        <v>24</v>
      </c>
      <c r="N1264">
        <v>0</v>
      </c>
      <c r="O1264">
        <v>1</v>
      </c>
      <c r="P1264">
        <v>0.80370000000000008</v>
      </c>
      <c r="Q1264">
        <v>2.9999999999999997E-4</v>
      </c>
      <c r="R1264">
        <v>5.0900000000000001E-2</v>
      </c>
      <c r="S1264">
        <v>0.75290000000000001</v>
      </c>
      <c r="T1264">
        <v>0.80370000000000008</v>
      </c>
      <c r="U1264">
        <v>4</v>
      </c>
      <c r="V1264">
        <v>0</v>
      </c>
      <c r="W1264">
        <v>0</v>
      </c>
      <c r="X1264">
        <v>0</v>
      </c>
      <c r="Y1264">
        <v>0.4556</v>
      </c>
      <c r="Z1264">
        <v>1</v>
      </c>
    </row>
    <row r="1265" spans="1:26" x14ac:dyDescent="0.2">
      <c r="A1265" t="s">
        <v>109</v>
      </c>
      <c r="B1265">
        <v>2021</v>
      </c>
      <c r="C1265" t="str">
        <f t="shared" si="19"/>
        <v>NST2021</v>
      </c>
      <c r="D1265">
        <v>6.5351960391091231E-14</v>
      </c>
      <c r="E1265">
        <v>3.6448602240834953E-2</v>
      </c>
      <c r="F1265">
        <v>0.81041042965094223</v>
      </c>
      <c r="G1265">
        <v>26.466254568459089</v>
      </c>
      <c r="H1265">
        <v>1.376702661073312</v>
      </c>
      <c r="I1265">
        <v>0.44059536911023189</v>
      </c>
      <c r="J1265">
        <v>-0.1221516023051981</v>
      </c>
      <c r="K1265">
        <v>-3.8909568275868271E-2</v>
      </c>
      <c r="L1265">
        <v>0.2442978986302235</v>
      </c>
      <c r="M1265">
        <v>25</v>
      </c>
      <c r="N1265">
        <v>0</v>
      </c>
      <c r="O1265">
        <v>0</v>
      </c>
      <c r="P1265">
        <v>0.75280000000000002</v>
      </c>
      <c r="Q1265">
        <v>0.12180000000000001</v>
      </c>
      <c r="R1265">
        <v>0</v>
      </c>
      <c r="S1265">
        <v>0.75280000000000002</v>
      </c>
      <c r="T1265">
        <v>0.75280000000000002</v>
      </c>
      <c r="U1265">
        <v>4</v>
      </c>
      <c r="V1265">
        <v>0</v>
      </c>
      <c r="W1265">
        <v>0</v>
      </c>
      <c r="X1265">
        <v>0</v>
      </c>
      <c r="Y1265">
        <v>0.45250000000000001</v>
      </c>
      <c r="Z1265">
        <v>1</v>
      </c>
    </row>
    <row r="1266" spans="1:26" x14ac:dyDescent="0.2">
      <c r="A1266" t="s">
        <v>109</v>
      </c>
      <c r="B1266">
        <v>2022</v>
      </c>
      <c r="C1266" t="str">
        <f t="shared" si="19"/>
        <v>NST2022</v>
      </c>
      <c r="D1266">
        <v>8.4322505333531714E-14</v>
      </c>
      <c r="E1266">
        <v>4.0490146145803478E-2</v>
      </c>
      <c r="F1266">
        <v>0.62706129110096509</v>
      </c>
      <c r="G1266">
        <v>26.394063845657989</v>
      </c>
      <c r="H1266">
        <v>1.632085022289967</v>
      </c>
      <c r="I1266">
        <v>0.39550816326335891</v>
      </c>
      <c r="J1266">
        <v>-6.9646560724716422E-2</v>
      </c>
      <c r="K1266">
        <v>0.15515101408187459</v>
      </c>
      <c r="L1266">
        <v>0.2050824968174193</v>
      </c>
      <c r="M1266">
        <v>26</v>
      </c>
      <c r="N1266">
        <v>0</v>
      </c>
      <c r="O1266">
        <v>0</v>
      </c>
      <c r="P1266">
        <v>0.75280000000000002</v>
      </c>
      <c r="Q1266">
        <v>4.0000000000000002E-4</v>
      </c>
      <c r="R1266">
        <v>0</v>
      </c>
      <c r="S1266">
        <v>0.75280000000000002</v>
      </c>
      <c r="T1266">
        <v>0.75280000000000002</v>
      </c>
      <c r="U1266">
        <v>5</v>
      </c>
      <c r="V1266">
        <v>0</v>
      </c>
      <c r="W1266">
        <v>0</v>
      </c>
      <c r="X1266">
        <v>0</v>
      </c>
      <c r="Y1266">
        <v>0.46270000000000011</v>
      </c>
      <c r="Z1266">
        <v>1</v>
      </c>
    </row>
    <row r="1267" spans="1:26" x14ac:dyDescent="0.2">
      <c r="A1267" t="s">
        <v>109</v>
      </c>
      <c r="B1267">
        <v>2023</v>
      </c>
      <c r="C1267" t="str">
        <f t="shared" si="19"/>
        <v>NST2023</v>
      </c>
      <c r="D1267">
        <v>-2642945760.633934</v>
      </c>
      <c r="E1267">
        <v>3.0205008153631929E-2</v>
      </c>
      <c r="F1267">
        <v>0.21057917177696719</v>
      </c>
      <c r="G1267">
        <v>26.643162171216382</v>
      </c>
      <c r="H1267">
        <v>1.846115113287953</v>
      </c>
      <c r="I1267">
        <v>0</v>
      </c>
      <c r="J1267">
        <v>0.27914730328474779</v>
      </c>
      <c r="K1267">
        <v>0.22158672100093901</v>
      </c>
      <c r="L1267">
        <v>0.13444626941288279</v>
      </c>
      <c r="M1267">
        <v>27</v>
      </c>
      <c r="N1267">
        <v>0</v>
      </c>
      <c r="O1267">
        <v>0</v>
      </c>
      <c r="P1267">
        <v>0.75280000000000002</v>
      </c>
      <c r="Q1267">
        <v>4.0000000000000002E-4</v>
      </c>
      <c r="R1267">
        <v>0</v>
      </c>
      <c r="S1267">
        <v>0.75280000000000002</v>
      </c>
      <c r="T1267">
        <v>0.75280000000000002</v>
      </c>
      <c r="U1267">
        <v>5</v>
      </c>
      <c r="V1267">
        <v>0</v>
      </c>
      <c r="W1267">
        <v>0</v>
      </c>
      <c r="X1267">
        <v>0</v>
      </c>
      <c r="Y1267">
        <v>0.46270000000000011</v>
      </c>
      <c r="Z1267">
        <v>1</v>
      </c>
    </row>
    <row r="1268" spans="1:26" x14ac:dyDescent="0.2">
      <c r="A1268" t="s">
        <v>110</v>
      </c>
      <c r="B1268">
        <v>2012</v>
      </c>
      <c r="C1268" t="str">
        <f t="shared" si="19"/>
        <v>NTP2012</v>
      </c>
      <c r="D1268">
        <v>1.056951304816918E-13</v>
      </c>
      <c r="E1268">
        <v>0.26150350358037661</v>
      </c>
      <c r="F1268">
        <v>1.2166196709086641</v>
      </c>
      <c r="G1268">
        <v>28.137892061420619</v>
      </c>
      <c r="H1268">
        <v>1.551058164673647</v>
      </c>
      <c r="I1268">
        <v>0.32902131823534081</v>
      </c>
      <c r="J1268">
        <v>4.557777294708476E-2</v>
      </c>
      <c r="K1268">
        <v>0.25473244208002221</v>
      </c>
      <c r="L1268">
        <v>0.39848905344246488</v>
      </c>
      <c r="M1268">
        <v>19</v>
      </c>
      <c r="N1268">
        <v>1</v>
      </c>
      <c r="O1268">
        <v>0</v>
      </c>
      <c r="P1268">
        <v>0.66849999999999998</v>
      </c>
      <c r="Q1268">
        <v>0.03</v>
      </c>
      <c r="R1268">
        <v>0.29749999999999999</v>
      </c>
      <c r="S1268">
        <v>0.371</v>
      </c>
      <c r="T1268">
        <v>0.66849999999999998</v>
      </c>
      <c r="U1268">
        <v>5</v>
      </c>
      <c r="V1268">
        <v>0</v>
      </c>
      <c r="W1268">
        <v>0</v>
      </c>
      <c r="X1268">
        <v>0</v>
      </c>
      <c r="Y1268">
        <v>0.44359999999999999</v>
      </c>
      <c r="Z1268">
        <v>1</v>
      </c>
    </row>
    <row r="1269" spans="1:26" x14ac:dyDescent="0.2">
      <c r="A1269" t="s">
        <v>110</v>
      </c>
      <c r="B1269">
        <v>2013</v>
      </c>
      <c r="C1269" t="str">
        <f t="shared" si="19"/>
        <v>NTP2013</v>
      </c>
      <c r="D1269">
        <v>8.829450419474053E-14</v>
      </c>
      <c r="E1269">
        <v>0.23618843996584971</v>
      </c>
      <c r="F1269">
        <v>1.75643507597477</v>
      </c>
      <c r="G1269">
        <v>28.224895439087501</v>
      </c>
      <c r="H1269">
        <v>1.629271687277378</v>
      </c>
      <c r="I1269">
        <v>0.32299577963281678</v>
      </c>
      <c r="J1269">
        <v>9.0945914894819749E-2</v>
      </c>
      <c r="K1269">
        <v>0.1640650329968385</v>
      </c>
      <c r="L1269">
        <v>0.42293040829595452</v>
      </c>
      <c r="M1269">
        <v>20</v>
      </c>
      <c r="N1269">
        <v>1</v>
      </c>
      <c r="O1269">
        <v>0</v>
      </c>
      <c r="P1269">
        <v>0.74750000000000005</v>
      </c>
      <c r="Q1269">
        <v>2.8400000000000002E-2</v>
      </c>
      <c r="R1269">
        <v>0.3765</v>
      </c>
      <c r="S1269">
        <v>0.371</v>
      </c>
      <c r="T1269">
        <v>0.74750000000000005</v>
      </c>
      <c r="U1269">
        <v>6</v>
      </c>
      <c r="V1269">
        <v>0</v>
      </c>
      <c r="W1269">
        <v>0</v>
      </c>
      <c r="X1269">
        <v>0</v>
      </c>
      <c r="Y1269">
        <v>0.45179999999999998</v>
      </c>
      <c r="Z1269">
        <v>1</v>
      </c>
    </row>
    <row r="1270" spans="1:26" x14ac:dyDescent="0.2">
      <c r="A1270" t="s">
        <v>110</v>
      </c>
      <c r="B1270">
        <v>2014</v>
      </c>
      <c r="C1270" t="str">
        <f t="shared" si="19"/>
        <v>NTP2014</v>
      </c>
      <c r="D1270">
        <v>4.88188460893368E-14</v>
      </c>
      <c r="E1270">
        <v>0.22173634677351919</v>
      </c>
      <c r="F1270">
        <v>1.5978294210730599</v>
      </c>
      <c r="G1270">
        <v>28.578945512437858</v>
      </c>
      <c r="H1270">
        <v>1.5089577844702651</v>
      </c>
      <c r="I1270">
        <v>0.43189454868369043</v>
      </c>
      <c r="J1270">
        <v>0.42482653053172648</v>
      </c>
      <c r="K1270">
        <v>-4.7575342278807817E-2</v>
      </c>
      <c r="L1270">
        <v>0.37553500885937291</v>
      </c>
      <c r="M1270">
        <v>21</v>
      </c>
      <c r="N1270">
        <v>1</v>
      </c>
      <c r="O1270">
        <v>0</v>
      </c>
      <c r="P1270">
        <v>0.7409</v>
      </c>
      <c r="Q1270">
        <v>3.4299999999999997E-2</v>
      </c>
      <c r="R1270">
        <v>0.2384</v>
      </c>
      <c r="S1270">
        <v>0.371</v>
      </c>
      <c r="T1270">
        <v>0.60939999999999994</v>
      </c>
      <c r="U1270">
        <v>6</v>
      </c>
      <c r="V1270">
        <v>0</v>
      </c>
      <c r="W1270">
        <v>0</v>
      </c>
      <c r="X1270">
        <v>1</v>
      </c>
      <c r="Y1270">
        <v>0.44540000000000002</v>
      </c>
      <c r="Z1270">
        <v>1</v>
      </c>
    </row>
    <row r="1271" spans="1:26" x14ac:dyDescent="0.2">
      <c r="A1271" t="s">
        <v>110</v>
      </c>
      <c r="B1271">
        <v>2015</v>
      </c>
      <c r="C1271" t="str">
        <f t="shared" si="19"/>
        <v>NTP2015</v>
      </c>
      <c r="D1271">
        <v>3.4629950291241567E-14</v>
      </c>
      <c r="E1271">
        <v>0.21297959011108711</v>
      </c>
      <c r="F1271">
        <v>1.618623597951353</v>
      </c>
      <c r="G1271">
        <v>28.810193296602399</v>
      </c>
      <c r="H1271">
        <v>1.2978510670302581</v>
      </c>
      <c r="I1271">
        <v>0.47128473126212311</v>
      </c>
      <c r="J1271">
        <v>0.26017145129728481</v>
      </c>
      <c r="K1271">
        <v>0.1065236972066497</v>
      </c>
      <c r="L1271">
        <v>0.3618962714868344</v>
      </c>
      <c r="M1271">
        <v>22</v>
      </c>
      <c r="N1271">
        <v>1</v>
      </c>
      <c r="O1271">
        <v>0</v>
      </c>
      <c r="P1271">
        <v>0.73539999999999994</v>
      </c>
      <c r="Q1271">
        <v>3.4299999999999997E-2</v>
      </c>
      <c r="R1271">
        <v>0.2384</v>
      </c>
      <c r="S1271">
        <v>0.371</v>
      </c>
      <c r="T1271">
        <v>0.60939999999999994</v>
      </c>
      <c r="U1271">
        <v>5</v>
      </c>
      <c r="V1271">
        <v>0</v>
      </c>
      <c r="W1271">
        <v>0</v>
      </c>
      <c r="X1271">
        <v>1</v>
      </c>
      <c r="Y1271">
        <v>0.45569999999999999</v>
      </c>
      <c r="Z1271">
        <v>1</v>
      </c>
    </row>
    <row r="1272" spans="1:26" x14ac:dyDescent="0.2">
      <c r="A1272" t="s">
        <v>110</v>
      </c>
      <c r="B1272">
        <v>2016</v>
      </c>
      <c r="C1272" t="str">
        <f t="shared" si="19"/>
        <v>NTP2016</v>
      </c>
      <c r="D1272">
        <v>3.3996921422412099E-14</v>
      </c>
      <c r="E1272">
        <v>0.21684627697383721</v>
      </c>
      <c r="F1272">
        <v>2.1492302175339009</v>
      </c>
      <c r="G1272">
        <v>28.860576135914101</v>
      </c>
      <c r="H1272">
        <v>1.2425422330897249</v>
      </c>
      <c r="I1272">
        <v>0.46386201018585171</v>
      </c>
      <c r="J1272">
        <v>5.1673641329071263E-2</v>
      </c>
      <c r="K1272">
        <v>0.1277524149920353</v>
      </c>
      <c r="L1272">
        <v>0.37642849845113208</v>
      </c>
      <c r="M1272">
        <v>23</v>
      </c>
      <c r="N1272">
        <v>1</v>
      </c>
      <c r="O1272">
        <v>0</v>
      </c>
      <c r="P1272">
        <v>0.72819999999999996</v>
      </c>
      <c r="Q1272">
        <v>3.4299999999999997E-2</v>
      </c>
      <c r="R1272">
        <v>0.28599999999999998</v>
      </c>
      <c r="S1272">
        <v>0.371</v>
      </c>
      <c r="T1272">
        <v>0.65700000000000003</v>
      </c>
      <c r="U1272">
        <v>5</v>
      </c>
      <c r="V1272">
        <v>0</v>
      </c>
      <c r="W1272">
        <v>0</v>
      </c>
      <c r="X1272">
        <v>1</v>
      </c>
      <c r="Y1272">
        <v>0.4657</v>
      </c>
      <c r="Z1272">
        <v>1</v>
      </c>
    </row>
    <row r="1273" spans="1:26" x14ac:dyDescent="0.2">
      <c r="A1273" t="s">
        <v>110</v>
      </c>
      <c r="B1273">
        <v>2017</v>
      </c>
      <c r="C1273" t="str">
        <f t="shared" si="19"/>
        <v>NTP2017</v>
      </c>
      <c r="D1273">
        <v>2.7118605009600981E-14</v>
      </c>
      <c r="E1273">
        <v>0.2361140642528996</v>
      </c>
      <c r="F1273">
        <v>1.9763228367668699</v>
      </c>
      <c r="G1273">
        <v>29.080694158112959</v>
      </c>
      <c r="H1273">
        <v>1.375270671938005</v>
      </c>
      <c r="I1273">
        <v>0.51052502657592613</v>
      </c>
      <c r="J1273">
        <v>0.2462238039818738</v>
      </c>
      <c r="K1273">
        <v>7.6363696508186946E-2</v>
      </c>
      <c r="L1273">
        <v>0.34459684159475718</v>
      </c>
      <c r="M1273">
        <v>24</v>
      </c>
      <c r="N1273">
        <v>1</v>
      </c>
      <c r="O1273">
        <v>0</v>
      </c>
      <c r="P1273">
        <v>0.7175999999999999</v>
      </c>
      <c r="Q1273">
        <v>9.6999999999999989E-2</v>
      </c>
      <c r="R1273">
        <v>0.15</v>
      </c>
      <c r="S1273">
        <v>0.371</v>
      </c>
      <c r="T1273">
        <v>0.5776</v>
      </c>
      <c r="U1273">
        <v>5</v>
      </c>
      <c r="V1273">
        <v>0</v>
      </c>
      <c r="W1273">
        <v>0</v>
      </c>
      <c r="X1273">
        <v>1</v>
      </c>
      <c r="Y1273">
        <v>0.47539999999999999</v>
      </c>
      <c r="Z1273">
        <v>1</v>
      </c>
    </row>
    <row r="1274" spans="1:26" x14ac:dyDescent="0.2">
      <c r="A1274" t="s">
        <v>110</v>
      </c>
      <c r="B1274">
        <v>2018</v>
      </c>
      <c r="C1274" t="str">
        <f t="shared" si="19"/>
        <v>NTP2018</v>
      </c>
      <c r="D1274">
        <v>1.394202590793498E-14</v>
      </c>
      <c r="E1274">
        <v>0.14717701425742971</v>
      </c>
      <c r="F1274">
        <v>1.279254355273082</v>
      </c>
      <c r="G1274">
        <v>29.215406863893431</v>
      </c>
      <c r="H1274">
        <v>1.1912799808113701</v>
      </c>
      <c r="I1274">
        <v>0.53807030170254</v>
      </c>
      <c r="J1274">
        <v>0.14420801277847661</v>
      </c>
      <c r="K1274">
        <v>-7.956705488022563E-3</v>
      </c>
      <c r="L1274">
        <v>0.34870280505587492</v>
      </c>
      <c r="M1274">
        <v>25</v>
      </c>
      <c r="N1274">
        <v>1</v>
      </c>
      <c r="O1274">
        <v>0</v>
      </c>
      <c r="P1274">
        <v>0.71760000000000002</v>
      </c>
      <c r="Q1274">
        <v>9.9299999999999999E-2</v>
      </c>
      <c r="R1274">
        <v>0.15</v>
      </c>
      <c r="S1274">
        <v>0.371</v>
      </c>
      <c r="T1274">
        <v>0.5776</v>
      </c>
      <c r="U1274">
        <v>7</v>
      </c>
      <c r="V1274">
        <v>0</v>
      </c>
      <c r="W1274">
        <v>0</v>
      </c>
      <c r="X1274">
        <v>1</v>
      </c>
      <c r="Y1274">
        <v>0.48080000000000001</v>
      </c>
      <c r="Z1274">
        <v>1</v>
      </c>
    </row>
    <row r="1275" spans="1:26" x14ac:dyDescent="0.2">
      <c r="A1275" t="s">
        <v>110</v>
      </c>
      <c r="B1275">
        <v>2019</v>
      </c>
      <c r="C1275" t="str">
        <f t="shared" si="19"/>
        <v>NTP2019</v>
      </c>
      <c r="D1275">
        <v>1.973719373859016E-14</v>
      </c>
      <c r="E1275">
        <v>0.15931406285646879</v>
      </c>
      <c r="F1275">
        <v>1.132519955048416</v>
      </c>
      <c r="G1275">
        <v>29.14665803705261</v>
      </c>
      <c r="H1275">
        <v>1.1155026023621379</v>
      </c>
      <c r="I1275">
        <v>0.43601955960469452</v>
      </c>
      <c r="J1275">
        <v>-6.6438863867714804E-2</v>
      </c>
      <c r="K1275">
        <v>0.25108319590242573</v>
      </c>
      <c r="L1275">
        <v>0.34880686845842052</v>
      </c>
      <c r="M1275">
        <v>26</v>
      </c>
      <c r="N1275">
        <v>1</v>
      </c>
      <c r="O1275">
        <v>1</v>
      </c>
      <c r="P1275">
        <v>0.71760000000000002</v>
      </c>
      <c r="Q1275">
        <v>8.7300000000000003E-2</v>
      </c>
      <c r="R1275">
        <v>0.15</v>
      </c>
      <c r="S1275">
        <v>0.371</v>
      </c>
      <c r="T1275">
        <v>0.5776</v>
      </c>
      <c r="U1275">
        <v>8</v>
      </c>
      <c r="V1275">
        <v>0</v>
      </c>
      <c r="W1275">
        <v>0</v>
      </c>
      <c r="X1275">
        <v>1</v>
      </c>
      <c r="Y1275">
        <v>0.4677</v>
      </c>
      <c r="Z1275">
        <v>1</v>
      </c>
    </row>
    <row r="1276" spans="1:26" x14ac:dyDescent="0.2">
      <c r="A1276" t="s">
        <v>110</v>
      </c>
      <c r="B1276">
        <v>2020</v>
      </c>
      <c r="C1276" t="str">
        <f t="shared" si="19"/>
        <v>NTP2020</v>
      </c>
      <c r="D1276">
        <v>2.9470181350217322E-14</v>
      </c>
      <c r="E1276">
        <v>0.1727072962088908</v>
      </c>
      <c r="F1276">
        <v>1.423927210353974</v>
      </c>
      <c r="G1276">
        <v>28.990822327681251</v>
      </c>
      <c r="H1276">
        <v>1.2745679866804509</v>
      </c>
      <c r="I1276">
        <v>0.33529907074829318</v>
      </c>
      <c r="J1276">
        <v>-0.14430023772475009</v>
      </c>
      <c r="K1276">
        <v>0.24215166415832559</v>
      </c>
      <c r="L1276">
        <v>0.39771470078086818</v>
      </c>
      <c r="M1276">
        <v>27</v>
      </c>
      <c r="N1276">
        <v>1</v>
      </c>
      <c r="O1276">
        <v>1</v>
      </c>
      <c r="P1276">
        <v>0.71760000000000002</v>
      </c>
      <c r="Q1276">
        <v>8.0600000000000005E-2</v>
      </c>
      <c r="R1276">
        <v>0.15</v>
      </c>
      <c r="S1276">
        <v>0.371</v>
      </c>
      <c r="T1276">
        <v>0.5776</v>
      </c>
      <c r="U1276">
        <v>6</v>
      </c>
      <c r="V1276">
        <v>0</v>
      </c>
      <c r="W1276">
        <v>0</v>
      </c>
      <c r="X1276">
        <v>1</v>
      </c>
      <c r="Y1276">
        <v>0.46439999999999998</v>
      </c>
      <c r="Z1276">
        <v>1</v>
      </c>
    </row>
    <row r="1277" spans="1:26" x14ac:dyDescent="0.2">
      <c r="A1277" t="s">
        <v>110</v>
      </c>
      <c r="B1277">
        <v>2021</v>
      </c>
      <c r="C1277" t="str">
        <f t="shared" si="19"/>
        <v>NTP2021</v>
      </c>
      <c r="D1277">
        <v>1.9496204454249151E-14</v>
      </c>
      <c r="E1277">
        <v>0.17273393649645041</v>
      </c>
      <c r="F1277">
        <v>1.890081050208883</v>
      </c>
      <c r="G1277">
        <v>29.219888510949449</v>
      </c>
      <c r="H1277">
        <v>1.3211939984459129</v>
      </c>
      <c r="I1277">
        <v>0.44714818170722848</v>
      </c>
      <c r="J1277">
        <v>0.25742525676900829</v>
      </c>
      <c r="K1277">
        <v>7.0976879638778384E-2</v>
      </c>
      <c r="L1277">
        <v>0.30476834859423052</v>
      </c>
      <c r="M1277">
        <v>28</v>
      </c>
      <c r="N1277">
        <v>1</v>
      </c>
      <c r="O1277">
        <v>0</v>
      </c>
      <c r="P1277">
        <v>0.71770000000000012</v>
      </c>
      <c r="Q1277">
        <v>7.2499999999999995E-2</v>
      </c>
      <c r="R1277">
        <v>0.15</v>
      </c>
      <c r="S1277">
        <v>0.371</v>
      </c>
      <c r="T1277">
        <v>0.57769999999999999</v>
      </c>
      <c r="U1277">
        <v>6</v>
      </c>
      <c r="V1277">
        <v>0</v>
      </c>
      <c r="W1277">
        <v>0</v>
      </c>
      <c r="X1277">
        <v>1</v>
      </c>
      <c r="Y1277">
        <v>0.47439999999999999</v>
      </c>
      <c r="Z1277">
        <v>1</v>
      </c>
    </row>
    <row r="1278" spans="1:26" x14ac:dyDescent="0.2">
      <c r="A1278" t="s">
        <v>110</v>
      </c>
      <c r="B1278">
        <v>2022</v>
      </c>
      <c r="C1278" t="str">
        <f t="shared" si="19"/>
        <v>NTP2022</v>
      </c>
      <c r="D1278">
        <v>1.87010132430853E-14</v>
      </c>
      <c r="E1278">
        <v>0.16939974050550249</v>
      </c>
      <c r="F1278">
        <v>1.2598016720858169</v>
      </c>
      <c r="G1278">
        <v>29.253145630048369</v>
      </c>
      <c r="H1278">
        <v>1.2522375754320709</v>
      </c>
      <c r="I1278">
        <v>0.44097385155432761</v>
      </c>
      <c r="J1278">
        <v>3.3816318991702447E-2</v>
      </c>
      <c r="K1278">
        <v>-1.1142925339263631E-2</v>
      </c>
      <c r="L1278">
        <v>0.27886111527663221</v>
      </c>
      <c r="M1278">
        <v>29</v>
      </c>
      <c r="N1278">
        <v>1</v>
      </c>
      <c r="O1278">
        <v>0</v>
      </c>
      <c r="P1278">
        <v>0.7278</v>
      </c>
      <c r="Q1278">
        <v>7.3700000000000002E-2</v>
      </c>
      <c r="R1278">
        <v>0.15</v>
      </c>
      <c r="S1278">
        <v>0.371</v>
      </c>
      <c r="T1278">
        <v>0.58779999999999999</v>
      </c>
      <c r="U1278">
        <v>6</v>
      </c>
      <c r="V1278">
        <v>0</v>
      </c>
      <c r="W1278">
        <v>0</v>
      </c>
      <c r="X1278">
        <v>1</v>
      </c>
      <c r="Y1278">
        <v>0.47599999999999998</v>
      </c>
      <c r="Z1278">
        <v>1</v>
      </c>
    </row>
    <row r="1279" spans="1:26" x14ac:dyDescent="0.2">
      <c r="A1279" t="s">
        <v>110</v>
      </c>
      <c r="B1279">
        <v>2023</v>
      </c>
      <c r="C1279" t="str">
        <f t="shared" si="19"/>
        <v>NTP2023</v>
      </c>
      <c r="D1279">
        <v>-3099017918286.4849</v>
      </c>
      <c r="E1279">
        <v>0.14913912548187061</v>
      </c>
      <c r="F1279">
        <v>1.234770857100846</v>
      </c>
      <c r="G1279">
        <v>29.327315235439119</v>
      </c>
      <c r="H1279">
        <v>1.3774158307219211</v>
      </c>
      <c r="I1279">
        <v>0.3122174985317725</v>
      </c>
      <c r="J1279">
        <v>7.6989453223806681E-2</v>
      </c>
      <c r="K1279">
        <v>0.21804855080577529</v>
      </c>
      <c r="L1279">
        <v>0.25098574868343759</v>
      </c>
      <c r="M1279">
        <v>30</v>
      </c>
      <c r="N1279">
        <v>0</v>
      </c>
      <c r="O1279">
        <v>0</v>
      </c>
      <c r="P1279">
        <v>0.7278</v>
      </c>
      <c r="Q1279">
        <v>7.3700000000000002E-2</v>
      </c>
      <c r="R1279">
        <v>0.15</v>
      </c>
      <c r="S1279">
        <v>0.371</v>
      </c>
      <c r="T1279">
        <v>0.58779999999999999</v>
      </c>
      <c r="U1279">
        <v>6</v>
      </c>
      <c r="V1279">
        <v>0</v>
      </c>
      <c r="W1279">
        <v>0</v>
      </c>
      <c r="X1279">
        <v>1</v>
      </c>
      <c r="Y1279">
        <v>0.47599999999999998</v>
      </c>
      <c r="Z1279">
        <v>1</v>
      </c>
    </row>
    <row r="1280" spans="1:26" x14ac:dyDescent="0.2">
      <c r="A1280" t="s">
        <v>111</v>
      </c>
      <c r="B1280">
        <v>2012</v>
      </c>
      <c r="C1280" t="str">
        <f t="shared" si="19"/>
        <v>OPC2012</v>
      </c>
      <c r="D1280">
        <v>2.2463626201366319E-13</v>
      </c>
      <c r="E1280">
        <v>0.16387027859690159</v>
      </c>
      <c r="F1280">
        <v>1.2978677049507901</v>
      </c>
      <c r="G1280">
        <v>26.934172869899449</v>
      </c>
      <c r="H1280">
        <v>2.2966605937536122</v>
      </c>
      <c r="I1280">
        <v>0.31712325431402028</v>
      </c>
      <c r="J1280">
        <v>6.6898150767425113E-2</v>
      </c>
      <c r="K1280">
        <v>0.1389021054661207</v>
      </c>
      <c r="L1280">
        <v>0.41503547378787292</v>
      </c>
      <c r="M1280">
        <v>10</v>
      </c>
      <c r="N1280">
        <v>1</v>
      </c>
      <c r="O1280">
        <v>0</v>
      </c>
      <c r="P1280">
        <v>0.47039999999999987</v>
      </c>
      <c r="Q1280">
        <v>0.2019</v>
      </c>
      <c r="R1280">
        <v>5.96E-2</v>
      </c>
      <c r="S1280">
        <v>0.19</v>
      </c>
      <c r="T1280">
        <v>0.34399999999999997</v>
      </c>
      <c r="U1280">
        <v>6</v>
      </c>
      <c r="V1280">
        <v>0</v>
      </c>
      <c r="W1280">
        <v>0</v>
      </c>
      <c r="X1280">
        <v>0</v>
      </c>
      <c r="Y1280">
        <v>0.5</v>
      </c>
      <c r="Z1280">
        <v>1</v>
      </c>
    </row>
    <row r="1281" spans="1:26" x14ac:dyDescent="0.2">
      <c r="A1281" t="s">
        <v>111</v>
      </c>
      <c r="B1281">
        <v>2013</v>
      </c>
      <c r="C1281" t="str">
        <f t="shared" si="19"/>
        <v>OPC2013</v>
      </c>
      <c r="D1281">
        <v>1.9401773383649759E-13</v>
      </c>
      <c r="E1281">
        <v>0.15520867051635989</v>
      </c>
      <c r="F1281">
        <v>1.8549855149317549</v>
      </c>
      <c r="G1281">
        <v>27.012001571443701</v>
      </c>
      <c r="H1281">
        <v>1.908356426901306</v>
      </c>
      <c r="I1281">
        <v>0.32688591794323962</v>
      </c>
      <c r="J1281">
        <v>8.0937479889053213E-2</v>
      </c>
      <c r="K1281">
        <v>7.2473015167316066E-2</v>
      </c>
      <c r="L1281">
        <v>0.35131222080576102</v>
      </c>
      <c r="M1281">
        <v>11</v>
      </c>
      <c r="N1281">
        <v>1</v>
      </c>
      <c r="O1281">
        <v>0</v>
      </c>
      <c r="P1281">
        <v>0.46810000000000002</v>
      </c>
      <c r="Q1281">
        <v>0.2162</v>
      </c>
      <c r="R1281">
        <v>0</v>
      </c>
      <c r="S1281">
        <v>0.19</v>
      </c>
      <c r="T1281">
        <v>0.29149999999999998</v>
      </c>
      <c r="U1281">
        <v>6</v>
      </c>
      <c r="V1281">
        <v>0</v>
      </c>
      <c r="W1281">
        <v>0</v>
      </c>
      <c r="X1281">
        <v>1</v>
      </c>
      <c r="Y1281">
        <v>0.51</v>
      </c>
      <c r="Z1281">
        <v>1</v>
      </c>
    </row>
    <row r="1282" spans="1:26" x14ac:dyDescent="0.2">
      <c r="A1282" t="s">
        <v>111</v>
      </c>
      <c r="B1282">
        <v>2014</v>
      </c>
      <c r="C1282" t="str">
        <f t="shared" si="19"/>
        <v>OPC2014</v>
      </c>
      <c r="D1282">
        <v>2.3108306460734021E-13</v>
      </c>
      <c r="E1282">
        <v>0.16845221697664969</v>
      </c>
      <c r="F1282">
        <v>1.676134407250186</v>
      </c>
      <c r="G1282">
        <v>27.00187236595227</v>
      </c>
      <c r="H1282">
        <v>1.765748750962193</v>
      </c>
      <c r="I1282">
        <v>0.26876737971373332</v>
      </c>
      <c r="J1282">
        <v>-1.0078077862520801E-2</v>
      </c>
      <c r="K1282">
        <v>0.14892684741597889</v>
      </c>
      <c r="L1282">
        <v>0.32465883826792652</v>
      </c>
      <c r="M1282">
        <v>12</v>
      </c>
      <c r="N1282">
        <v>1</v>
      </c>
      <c r="O1282">
        <v>0</v>
      </c>
      <c r="P1282">
        <v>0.46899999999999992</v>
      </c>
      <c r="Q1282">
        <v>0.23300000000000001</v>
      </c>
      <c r="R1282">
        <v>0</v>
      </c>
      <c r="S1282">
        <v>0.1847</v>
      </c>
      <c r="T1282">
        <v>0.2656</v>
      </c>
      <c r="U1282">
        <v>5</v>
      </c>
      <c r="V1282">
        <v>0</v>
      </c>
      <c r="W1282">
        <v>0</v>
      </c>
      <c r="X1282">
        <v>1</v>
      </c>
      <c r="Y1282">
        <v>0.51800000000000002</v>
      </c>
      <c r="Z1282">
        <v>1</v>
      </c>
    </row>
    <row r="1283" spans="1:26" x14ac:dyDescent="0.2">
      <c r="A1283" t="s">
        <v>111</v>
      </c>
      <c r="B1283">
        <v>2015</v>
      </c>
      <c r="C1283" t="str">
        <f t="shared" ref="C1283:C1346" si="20">A1283&amp;B1283</f>
        <v>OPC2015</v>
      </c>
      <c r="D1283">
        <v>2.0087490007927689E-13</v>
      </c>
      <c r="E1283">
        <v>0.15399965938853519</v>
      </c>
      <c r="F1283">
        <v>1.725609927547473</v>
      </c>
      <c r="G1283">
        <v>27.106182954509691</v>
      </c>
      <c r="H1283">
        <v>2.2723603706618949</v>
      </c>
      <c r="I1283">
        <v>0.22825895983986891</v>
      </c>
      <c r="J1283">
        <v>0.1099451376446727</v>
      </c>
      <c r="K1283">
        <v>0.14561905548287529</v>
      </c>
      <c r="L1283">
        <v>0.2645616584792837</v>
      </c>
      <c r="M1283">
        <v>13</v>
      </c>
      <c r="N1283">
        <v>1</v>
      </c>
      <c r="O1283">
        <v>0</v>
      </c>
      <c r="P1283">
        <v>0.46829999999999999</v>
      </c>
      <c r="Q1283">
        <v>0.2797</v>
      </c>
      <c r="R1283">
        <v>0</v>
      </c>
      <c r="S1283">
        <v>0.14080000000000001</v>
      </c>
      <c r="T1283">
        <v>0.21759999999999999</v>
      </c>
      <c r="U1283">
        <v>5</v>
      </c>
      <c r="V1283">
        <v>0</v>
      </c>
      <c r="W1283">
        <v>0</v>
      </c>
      <c r="X1283">
        <v>1</v>
      </c>
      <c r="Y1283">
        <v>0.52800000000000002</v>
      </c>
      <c r="Z1283">
        <v>1</v>
      </c>
    </row>
    <row r="1284" spans="1:26" x14ac:dyDescent="0.2">
      <c r="A1284" t="s">
        <v>111</v>
      </c>
      <c r="B1284">
        <v>2016</v>
      </c>
      <c r="C1284" t="str">
        <f t="shared" si="20"/>
        <v>OPC2016</v>
      </c>
      <c r="D1284">
        <v>1.310599908782014E-13</v>
      </c>
      <c r="E1284">
        <v>0.1445141767202178</v>
      </c>
      <c r="F1284">
        <v>1.5682805081621629</v>
      </c>
      <c r="G1284">
        <v>27.37580221547131</v>
      </c>
      <c r="H1284">
        <v>2.7179712403863321</v>
      </c>
      <c r="I1284">
        <v>0.29738159784031393</v>
      </c>
      <c r="J1284">
        <v>0.30946579106358718</v>
      </c>
      <c r="K1284">
        <v>0.14378287267798881</v>
      </c>
      <c r="L1284">
        <v>0.23933608442619889</v>
      </c>
      <c r="M1284">
        <v>14</v>
      </c>
      <c r="N1284">
        <v>1</v>
      </c>
      <c r="O1284">
        <v>0</v>
      </c>
      <c r="P1284">
        <v>0.56310000000000004</v>
      </c>
      <c r="Q1284">
        <v>0.30370000000000003</v>
      </c>
      <c r="R1284">
        <v>0</v>
      </c>
      <c r="S1284">
        <v>0.14080000000000001</v>
      </c>
      <c r="T1284">
        <v>0.29459999999999997</v>
      </c>
      <c r="U1284">
        <v>6</v>
      </c>
      <c r="V1284">
        <v>0</v>
      </c>
      <c r="W1284">
        <v>0</v>
      </c>
      <c r="X1284">
        <v>1</v>
      </c>
      <c r="Y1284">
        <v>0.51180000000000003</v>
      </c>
      <c r="Z1284">
        <v>1</v>
      </c>
    </row>
    <row r="1285" spans="1:26" x14ac:dyDescent="0.2">
      <c r="A1285" t="s">
        <v>111</v>
      </c>
      <c r="B1285">
        <v>2017</v>
      </c>
      <c r="C1285" t="str">
        <f t="shared" si="20"/>
        <v>OPC2017</v>
      </c>
      <c r="D1285">
        <v>7.7416591507076068E-14</v>
      </c>
      <c r="E1285">
        <v>0.15310372118642959</v>
      </c>
      <c r="F1285">
        <v>1.8918697210829341</v>
      </c>
      <c r="G1285">
        <v>27.691770642885189</v>
      </c>
      <c r="H1285">
        <v>2.3672854404399448</v>
      </c>
      <c r="I1285">
        <v>0.46268188278636863</v>
      </c>
      <c r="J1285">
        <v>0.37158695039529649</v>
      </c>
      <c r="K1285">
        <v>0.1037926782632855</v>
      </c>
      <c r="L1285">
        <v>0.2187422340110137</v>
      </c>
      <c r="M1285">
        <v>15</v>
      </c>
      <c r="N1285">
        <v>1</v>
      </c>
      <c r="O1285">
        <v>0</v>
      </c>
      <c r="P1285">
        <v>0.55500000000000005</v>
      </c>
      <c r="Q1285">
        <v>0.30959999999999999</v>
      </c>
      <c r="R1285">
        <v>0</v>
      </c>
      <c r="S1285">
        <v>0.14080000000000001</v>
      </c>
      <c r="T1285">
        <v>0.28050000000000003</v>
      </c>
      <c r="U1285">
        <v>5</v>
      </c>
      <c r="V1285">
        <v>0</v>
      </c>
      <c r="W1285">
        <v>0</v>
      </c>
      <c r="X1285">
        <v>1</v>
      </c>
      <c r="Y1285">
        <v>0.52180000000000004</v>
      </c>
      <c r="Z1285">
        <v>1</v>
      </c>
    </row>
    <row r="1286" spans="1:26" x14ac:dyDescent="0.2">
      <c r="A1286" t="s">
        <v>111</v>
      </c>
      <c r="B1286">
        <v>2018</v>
      </c>
      <c r="C1286" t="str">
        <f t="shared" si="20"/>
        <v>OPC2018</v>
      </c>
      <c r="D1286">
        <v>7.1227178994850896E-14</v>
      </c>
      <c r="E1286">
        <v>0.16095763485442091</v>
      </c>
      <c r="F1286">
        <v>1.581991409808422</v>
      </c>
      <c r="G1286">
        <v>27.804464888215779</v>
      </c>
      <c r="H1286">
        <v>1.2427994289980211</v>
      </c>
      <c r="I1286">
        <v>0.47366792675525232</v>
      </c>
      <c r="J1286">
        <v>0.1192896525866436</v>
      </c>
      <c r="K1286">
        <v>5.2937703279359724E-3</v>
      </c>
      <c r="L1286">
        <v>0.17184813044502359</v>
      </c>
      <c r="M1286">
        <v>16</v>
      </c>
      <c r="N1286">
        <v>1</v>
      </c>
      <c r="O1286">
        <v>0</v>
      </c>
      <c r="P1286">
        <v>0.50309999999999999</v>
      </c>
      <c r="Q1286">
        <v>0.3246</v>
      </c>
      <c r="R1286">
        <v>0</v>
      </c>
      <c r="S1286">
        <v>0.13400000000000001</v>
      </c>
      <c r="T1286">
        <v>0.26150000000000001</v>
      </c>
      <c r="U1286">
        <v>5</v>
      </c>
      <c r="V1286">
        <v>0</v>
      </c>
      <c r="W1286">
        <v>0</v>
      </c>
      <c r="X1286">
        <v>1</v>
      </c>
      <c r="Y1286">
        <v>0.53180000000000005</v>
      </c>
      <c r="Z1286">
        <v>1</v>
      </c>
    </row>
    <row r="1287" spans="1:26" x14ac:dyDescent="0.2">
      <c r="A1287" t="s">
        <v>111</v>
      </c>
      <c r="B1287">
        <v>2019</v>
      </c>
      <c r="C1287" t="str">
        <f t="shared" si="20"/>
        <v>OPC2019</v>
      </c>
      <c r="D1287">
        <v>7.2711403941469209E-14</v>
      </c>
      <c r="E1287">
        <v>0.14723588976209129</v>
      </c>
      <c r="F1287">
        <v>1.453285990253149</v>
      </c>
      <c r="G1287">
        <v>27.796561996369238</v>
      </c>
      <c r="H1287">
        <v>1.530999287051209</v>
      </c>
      <c r="I1287">
        <v>0.41724992781557368</v>
      </c>
      <c r="J1287">
        <v>-7.8717460979345066E-3</v>
      </c>
      <c r="K1287">
        <v>5.2183385002310317E-2</v>
      </c>
      <c r="L1287">
        <v>0.16128107865528371</v>
      </c>
      <c r="M1287">
        <v>17</v>
      </c>
      <c r="N1287">
        <v>1</v>
      </c>
      <c r="O1287">
        <v>1</v>
      </c>
      <c r="P1287">
        <v>0.50409999999999999</v>
      </c>
      <c r="Q1287">
        <v>0.3246</v>
      </c>
      <c r="R1287">
        <v>0</v>
      </c>
      <c r="S1287">
        <v>0.13400000000000001</v>
      </c>
      <c r="T1287">
        <v>0.26250000000000001</v>
      </c>
      <c r="U1287">
        <v>5</v>
      </c>
      <c r="V1287">
        <v>0</v>
      </c>
      <c r="W1287">
        <v>0</v>
      </c>
      <c r="X1287">
        <v>1</v>
      </c>
      <c r="Y1287">
        <v>0.54179999999999995</v>
      </c>
      <c r="Z1287">
        <v>1</v>
      </c>
    </row>
    <row r="1288" spans="1:26" x14ac:dyDescent="0.2">
      <c r="A1288" t="s">
        <v>111</v>
      </c>
      <c r="B1288">
        <v>2020</v>
      </c>
      <c r="C1288" t="str">
        <f t="shared" si="20"/>
        <v>OPC2020</v>
      </c>
      <c r="D1288">
        <v>7.7458564576743401E-14</v>
      </c>
      <c r="E1288">
        <v>0.14483461676504311</v>
      </c>
      <c r="F1288">
        <v>1.755521992289558</v>
      </c>
      <c r="G1288">
        <v>27.773062980688699</v>
      </c>
      <c r="H1288">
        <v>1.6940320540150759</v>
      </c>
      <c r="I1288">
        <v>0.38356815248940829</v>
      </c>
      <c r="J1288">
        <v>-2.3225063873055899E-2</v>
      </c>
      <c r="K1288">
        <v>0.1120066810244021</v>
      </c>
      <c r="L1288">
        <v>0.17232349145759729</v>
      </c>
      <c r="M1288">
        <v>18</v>
      </c>
      <c r="N1288">
        <v>1</v>
      </c>
      <c r="O1288">
        <v>1</v>
      </c>
      <c r="P1288">
        <v>0.50409999999999999</v>
      </c>
      <c r="Q1288">
        <v>0.34610000000000002</v>
      </c>
      <c r="R1288">
        <v>0</v>
      </c>
      <c r="S1288">
        <v>0.13400000000000001</v>
      </c>
      <c r="T1288">
        <v>0.26250000000000001</v>
      </c>
      <c r="U1288">
        <v>5</v>
      </c>
      <c r="V1288">
        <v>0</v>
      </c>
      <c r="W1288">
        <v>0</v>
      </c>
      <c r="X1288">
        <v>1</v>
      </c>
      <c r="Y1288">
        <v>0.55179999999999996</v>
      </c>
      <c r="Z1288">
        <v>1</v>
      </c>
    </row>
    <row r="1289" spans="1:26" x14ac:dyDescent="0.2">
      <c r="A1289" t="s">
        <v>111</v>
      </c>
      <c r="B1289">
        <v>2021</v>
      </c>
      <c r="C1289" t="str">
        <f t="shared" si="20"/>
        <v>OPC2021</v>
      </c>
      <c r="D1289">
        <v>8.0464002424362477E-14</v>
      </c>
      <c r="E1289">
        <v>0.1660279142888838</v>
      </c>
      <c r="F1289">
        <v>1.627682697750704</v>
      </c>
      <c r="G1289">
        <v>27.844680242110769</v>
      </c>
      <c r="H1289">
        <v>1.807606327574528</v>
      </c>
      <c r="I1289">
        <v>0.39991675807339622</v>
      </c>
      <c r="J1289">
        <v>7.4244110708115096E-2</v>
      </c>
      <c r="K1289">
        <v>0.15805533587786669</v>
      </c>
      <c r="L1289">
        <v>0.15424378025780061</v>
      </c>
      <c r="M1289">
        <v>19</v>
      </c>
      <c r="N1289">
        <v>1</v>
      </c>
      <c r="O1289">
        <v>0</v>
      </c>
      <c r="P1289">
        <v>0.69720000000000004</v>
      </c>
      <c r="Q1289">
        <v>0.2009</v>
      </c>
      <c r="R1289">
        <v>0</v>
      </c>
      <c r="S1289">
        <v>0.13400000000000001</v>
      </c>
      <c r="T1289">
        <v>0.51100000000000001</v>
      </c>
      <c r="U1289">
        <v>4</v>
      </c>
      <c r="V1289">
        <v>0</v>
      </c>
      <c r="W1289">
        <v>0</v>
      </c>
      <c r="X1289">
        <v>1</v>
      </c>
      <c r="Y1289">
        <v>0.55889999999999995</v>
      </c>
      <c r="Z1289">
        <v>1</v>
      </c>
    </row>
    <row r="1290" spans="1:26" x14ac:dyDescent="0.2">
      <c r="A1290" t="s">
        <v>111</v>
      </c>
      <c r="B1290">
        <v>2022</v>
      </c>
      <c r="C1290" t="str">
        <f t="shared" si="20"/>
        <v>OPC2022</v>
      </c>
      <c r="D1290">
        <v>9.1685237851665345E-14</v>
      </c>
      <c r="E1290">
        <v>0.16330273444416821</v>
      </c>
      <c r="F1290">
        <v>1.7137037361545939</v>
      </c>
      <c r="G1290">
        <v>27.851139886652501</v>
      </c>
      <c r="H1290">
        <v>1.810184251533512</v>
      </c>
      <c r="I1290">
        <v>0.30031538173476269</v>
      </c>
      <c r="J1290">
        <v>6.4805530417832991E-3</v>
      </c>
      <c r="K1290">
        <v>3.4498072350882598E-2</v>
      </c>
      <c r="L1290">
        <v>0.14169454583907731</v>
      </c>
      <c r="M1290">
        <v>20</v>
      </c>
      <c r="N1290">
        <v>1</v>
      </c>
      <c r="O1290">
        <v>0</v>
      </c>
      <c r="P1290">
        <v>0.5726</v>
      </c>
      <c r="Q1290">
        <v>0.13880000000000001</v>
      </c>
      <c r="R1290">
        <v>0.12859999999999999</v>
      </c>
      <c r="S1290">
        <v>0.13400000000000001</v>
      </c>
      <c r="T1290">
        <v>0.43640000000000001</v>
      </c>
      <c r="U1290">
        <v>5</v>
      </c>
      <c r="V1290">
        <v>0</v>
      </c>
      <c r="W1290">
        <v>0.4</v>
      </c>
      <c r="X1290">
        <v>1</v>
      </c>
      <c r="Y1290">
        <v>0.48359999999999997</v>
      </c>
      <c r="Z1290">
        <v>1</v>
      </c>
    </row>
    <row r="1291" spans="1:26" x14ac:dyDescent="0.2">
      <c r="A1291" t="s">
        <v>111</v>
      </c>
      <c r="B1291">
        <v>2023</v>
      </c>
      <c r="C1291" t="str">
        <f t="shared" si="20"/>
        <v>OPC2023</v>
      </c>
      <c r="D1291">
        <v>-4430865056753.8662</v>
      </c>
      <c r="E1291">
        <v>0.16330273444416821</v>
      </c>
      <c r="F1291">
        <v>1.7137037361545939</v>
      </c>
      <c r="G1291">
        <v>27.862784342638989</v>
      </c>
      <c r="H1291">
        <v>2.4706312687791669</v>
      </c>
      <c r="I1291">
        <v>0.30031538173476269</v>
      </c>
      <c r="J1291">
        <v>1.171251658375794E-2</v>
      </c>
      <c r="K1291">
        <v>0.2165366182832219</v>
      </c>
      <c r="L1291">
        <v>0.13568371495610479</v>
      </c>
      <c r="M1291">
        <v>21</v>
      </c>
      <c r="N1291">
        <v>0</v>
      </c>
      <c r="O1291">
        <v>0</v>
      </c>
      <c r="P1291">
        <v>0.5726</v>
      </c>
      <c r="Q1291">
        <v>0.13880000000000001</v>
      </c>
      <c r="R1291">
        <v>0.12859999999999999</v>
      </c>
      <c r="S1291">
        <v>0.13400000000000001</v>
      </c>
      <c r="T1291">
        <v>0.43640000000000001</v>
      </c>
      <c r="U1291">
        <v>5</v>
      </c>
      <c r="V1291">
        <v>0</v>
      </c>
      <c r="W1291">
        <v>0.4</v>
      </c>
      <c r="X1291">
        <v>1</v>
      </c>
      <c r="Y1291">
        <v>0.48359999999999997</v>
      </c>
      <c r="Z1291">
        <v>1</v>
      </c>
    </row>
    <row r="1292" spans="1:26" x14ac:dyDescent="0.2">
      <c r="A1292" t="s">
        <v>112</v>
      </c>
      <c r="B1292">
        <v>2012</v>
      </c>
      <c r="C1292" t="str">
        <f t="shared" si="20"/>
        <v>PAC2012</v>
      </c>
      <c r="D1292">
        <v>4.8877890944158818E-14</v>
      </c>
      <c r="E1292">
        <v>0.1209676260310682</v>
      </c>
      <c r="F1292">
        <v>0.88584308121695821</v>
      </c>
      <c r="G1292">
        <v>27.76685438528061</v>
      </c>
      <c r="H1292">
        <v>1.2089331605953419</v>
      </c>
      <c r="I1292">
        <v>0.53717599992128862</v>
      </c>
      <c r="J1292">
        <v>-3.5047775524067681E-2</v>
      </c>
      <c r="K1292">
        <v>0.22942606045233621</v>
      </c>
      <c r="L1292">
        <v>0.33263828632613651</v>
      </c>
      <c r="M1292">
        <v>19</v>
      </c>
      <c r="N1292">
        <v>1</v>
      </c>
      <c r="O1292">
        <v>0</v>
      </c>
      <c r="P1292">
        <v>0.70480000000000009</v>
      </c>
      <c r="Q1292">
        <v>1.12E-2</v>
      </c>
      <c r="R1292">
        <v>0.1845</v>
      </c>
      <c r="S1292">
        <v>0.52029999999999998</v>
      </c>
      <c r="T1292">
        <v>0.70480000000000009</v>
      </c>
      <c r="U1292">
        <v>5</v>
      </c>
      <c r="V1292">
        <v>0</v>
      </c>
      <c r="W1292">
        <v>0.2</v>
      </c>
      <c r="X1292">
        <v>1</v>
      </c>
      <c r="Y1292">
        <v>0.48270000000000002</v>
      </c>
      <c r="Z1292">
        <v>1</v>
      </c>
    </row>
    <row r="1293" spans="1:26" x14ac:dyDescent="0.2">
      <c r="A1293" t="s">
        <v>112</v>
      </c>
      <c r="B1293">
        <v>2013</v>
      </c>
      <c r="C1293" t="str">
        <f t="shared" si="20"/>
        <v>PAC2013</v>
      </c>
      <c r="D1293">
        <v>2.9966205695455387E-14</v>
      </c>
      <c r="E1293">
        <v>0.12306617709525119</v>
      </c>
      <c r="F1293">
        <v>1.011128023475061</v>
      </c>
      <c r="G1293">
        <v>27.989085663447749</v>
      </c>
      <c r="H1293">
        <v>1.1828599885410589</v>
      </c>
      <c r="I1293">
        <v>0.65006218964079565</v>
      </c>
      <c r="J1293">
        <v>0.24886017855945311</v>
      </c>
      <c r="K1293">
        <v>0.11798962200235311</v>
      </c>
      <c r="L1293">
        <v>0.26558860546365037</v>
      </c>
      <c r="M1293">
        <v>20</v>
      </c>
      <c r="N1293">
        <v>1</v>
      </c>
      <c r="O1293">
        <v>0</v>
      </c>
      <c r="P1293">
        <v>0.52029999999999998</v>
      </c>
      <c r="Q1293">
        <v>5.6999999999999993E-3</v>
      </c>
      <c r="R1293">
        <v>0</v>
      </c>
      <c r="S1293">
        <v>0.52029999999999998</v>
      </c>
      <c r="T1293">
        <v>0.52029999999999998</v>
      </c>
      <c r="U1293">
        <v>5</v>
      </c>
      <c r="V1293">
        <v>0</v>
      </c>
      <c r="W1293">
        <v>0.2</v>
      </c>
      <c r="X1293">
        <v>1</v>
      </c>
      <c r="Y1293">
        <v>0.48099999999999998</v>
      </c>
      <c r="Z1293">
        <v>1</v>
      </c>
    </row>
    <row r="1294" spans="1:26" x14ac:dyDescent="0.2">
      <c r="A1294" t="s">
        <v>112</v>
      </c>
      <c r="B1294">
        <v>2014</v>
      </c>
      <c r="C1294" t="str">
        <f t="shared" si="20"/>
        <v>PAC2014</v>
      </c>
      <c r="D1294">
        <v>4.7566734181448472E-14</v>
      </c>
      <c r="E1294">
        <v>0.1457110094901411</v>
      </c>
      <c r="F1294">
        <v>1.0721217713234781</v>
      </c>
      <c r="G1294">
        <v>27.85551576379661</v>
      </c>
      <c r="H1294">
        <v>1.0869827645291379</v>
      </c>
      <c r="I1294">
        <v>0.5913911632867076</v>
      </c>
      <c r="J1294">
        <v>-0.125033692999579</v>
      </c>
      <c r="K1294">
        <v>4.926316832596761E-2</v>
      </c>
      <c r="L1294">
        <v>0.2707252964174911</v>
      </c>
      <c r="M1294">
        <v>21</v>
      </c>
      <c r="N1294">
        <v>1</v>
      </c>
      <c r="O1294">
        <v>0</v>
      </c>
      <c r="P1294">
        <v>0.57269999999999999</v>
      </c>
      <c r="Q1294">
        <v>5.5000000000000014E-3</v>
      </c>
      <c r="R1294">
        <v>5.2400000000000002E-2</v>
      </c>
      <c r="S1294">
        <v>0.52029999999999998</v>
      </c>
      <c r="T1294">
        <v>0.57269999999999999</v>
      </c>
      <c r="U1294">
        <v>4</v>
      </c>
      <c r="V1294">
        <v>1</v>
      </c>
      <c r="W1294">
        <v>0.25</v>
      </c>
      <c r="X1294">
        <v>1</v>
      </c>
      <c r="Y1294">
        <v>0.47889999999999999</v>
      </c>
      <c r="Z1294">
        <v>1</v>
      </c>
    </row>
    <row r="1295" spans="1:26" x14ac:dyDescent="0.2">
      <c r="A1295" t="s">
        <v>112</v>
      </c>
      <c r="B1295">
        <v>2015</v>
      </c>
      <c r="C1295" t="str">
        <f t="shared" si="20"/>
        <v>PAC2015</v>
      </c>
      <c r="D1295">
        <v>5.6610081556190839E-14</v>
      </c>
      <c r="E1295">
        <v>0.178768033952039</v>
      </c>
      <c r="F1295">
        <v>1.4061694598932</v>
      </c>
      <c r="G1295">
        <v>27.865471753146409</v>
      </c>
      <c r="H1295">
        <v>1.1780777926330079</v>
      </c>
      <c r="I1295">
        <v>0.59966410221283162</v>
      </c>
      <c r="J1295">
        <v>1.000571509777237E-2</v>
      </c>
      <c r="K1295">
        <v>0.1247250400166306</v>
      </c>
      <c r="L1295">
        <v>0.2321260382970021</v>
      </c>
      <c r="M1295">
        <v>22</v>
      </c>
      <c r="N1295">
        <v>1</v>
      </c>
      <c r="O1295">
        <v>0</v>
      </c>
      <c r="P1295">
        <v>0.56640000000000001</v>
      </c>
      <c r="Q1295">
        <v>5.4000000000000003E-3</v>
      </c>
      <c r="R1295">
        <v>5.21E-2</v>
      </c>
      <c r="S1295">
        <v>0.51429999999999998</v>
      </c>
      <c r="T1295">
        <v>0.56640000000000001</v>
      </c>
      <c r="U1295">
        <v>5</v>
      </c>
      <c r="V1295">
        <v>0</v>
      </c>
      <c r="W1295">
        <v>0.2</v>
      </c>
      <c r="X1295">
        <v>0</v>
      </c>
      <c r="Y1295">
        <v>0.48899999999999999</v>
      </c>
      <c r="Z1295">
        <v>1</v>
      </c>
    </row>
    <row r="1296" spans="1:26" x14ac:dyDescent="0.2">
      <c r="A1296" t="s">
        <v>112</v>
      </c>
      <c r="B1296">
        <v>2016</v>
      </c>
      <c r="C1296" t="str">
        <f t="shared" si="20"/>
        <v>PAC2016</v>
      </c>
      <c r="D1296">
        <v>7.7701605319416616E-14</v>
      </c>
      <c r="E1296">
        <v>0.33398267583370389</v>
      </c>
      <c r="F1296">
        <v>1.5075355635165959</v>
      </c>
      <c r="G1296">
        <v>28.158809671262119</v>
      </c>
      <c r="H1296">
        <v>1.1811567230853881</v>
      </c>
      <c r="I1296">
        <v>0.60561380125059072</v>
      </c>
      <c r="J1296">
        <v>0.34089582687393077</v>
      </c>
      <c r="K1296">
        <v>0.14721048023307109</v>
      </c>
      <c r="L1296">
        <v>0.19246423489570971</v>
      </c>
      <c r="M1296">
        <v>23</v>
      </c>
      <c r="N1296">
        <v>1</v>
      </c>
      <c r="O1296">
        <v>0</v>
      </c>
      <c r="P1296">
        <v>0.61970000000000003</v>
      </c>
      <c r="Q1296">
        <v>5.1000000000000004E-3</v>
      </c>
      <c r="R1296">
        <v>0.10539999999999999</v>
      </c>
      <c r="S1296">
        <v>0.51429999999999998</v>
      </c>
      <c r="T1296">
        <v>0.61970000000000003</v>
      </c>
      <c r="U1296">
        <v>5</v>
      </c>
      <c r="V1296">
        <v>0</v>
      </c>
      <c r="W1296">
        <v>0.2</v>
      </c>
      <c r="X1296">
        <v>0</v>
      </c>
      <c r="Y1296">
        <v>0.49890000000000001</v>
      </c>
      <c r="Z1296">
        <v>1</v>
      </c>
    </row>
    <row r="1297" spans="1:26" x14ac:dyDescent="0.2">
      <c r="A1297" t="s">
        <v>112</v>
      </c>
      <c r="B1297">
        <v>2017</v>
      </c>
      <c r="C1297" t="str">
        <f t="shared" si="20"/>
        <v>PAC2017</v>
      </c>
      <c r="D1297">
        <v>4.283177528739041E-14</v>
      </c>
      <c r="E1297">
        <v>0.2026197891736265</v>
      </c>
      <c r="F1297">
        <v>1.890652761805621</v>
      </c>
      <c r="G1297">
        <v>28.20800079730104</v>
      </c>
      <c r="H1297">
        <v>1.22900932181613</v>
      </c>
      <c r="I1297">
        <v>0.6235881319540808</v>
      </c>
      <c r="J1297">
        <v>5.0421094378718452E-2</v>
      </c>
      <c r="K1297">
        <v>2.4898349015446521E-3</v>
      </c>
      <c r="L1297">
        <v>0.20400316737710969</v>
      </c>
      <c r="M1297">
        <v>24</v>
      </c>
      <c r="N1297">
        <v>1</v>
      </c>
      <c r="O1297">
        <v>0</v>
      </c>
      <c r="P1297">
        <v>0.61970000000000003</v>
      </c>
      <c r="Q1297">
        <v>2.8E-3</v>
      </c>
      <c r="R1297">
        <v>0.10539999999999999</v>
      </c>
      <c r="S1297">
        <v>0.51429999999999998</v>
      </c>
      <c r="T1297">
        <v>0.61970000000000003</v>
      </c>
      <c r="U1297">
        <v>5</v>
      </c>
      <c r="V1297">
        <v>0</v>
      </c>
      <c r="W1297">
        <v>0.2</v>
      </c>
      <c r="X1297">
        <v>0</v>
      </c>
      <c r="Y1297">
        <v>0.46400000000000002</v>
      </c>
      <c r="Z1297">
        <v>1</v>
      </c>
    </row>
    <row r="1298" spans="1:26" x14ac:dyDescent="0.2">
      <c r="A1298" t="s">
        <v>112</v>
      </c>
      <c r="B1298">
        <v>2018</v>
      </c>
      <c r="C1298" t="str">
        <f t="shared" si="20"/>
        <v>PAC2018</v>
      </c>
      <c r="D1298">
        <v>3.270945314779211E-14</v>
      </c>
      <c r="E1298">
        <v>0.28172207861783338</v>
      </c>
      <c r="F1298">
        <v>1.5284276538472279</v>
      </c>
      <c r="G1298">
        <v>28.452038643022231</v>
      </c>
      <c r="H1298">
        <v>0.95213531132664153</v>
      </c>
      <c r="I1298">
        <v>0.73611434584230573</v>
      </c>
      <c r="J1298">
        <v>0.28598590760611547</v>
      </c>
      <c r="K1298">
        <v>5.9317467539517943E-2</v>
      </c>
      <c r="L1298">
        <v>0.17164635924684321</v>
      </c>
      <c r="M1298">
        <v>25</v>
      </c>
      <c r="N1298">
        <v>1</v>
      </c>
      <c r="O1298">
        <v>0</v>
      </c>
      <c r="P1298">
        <v>0.61970000000000003</v>
      </c>
      <c r="Q1298">
        <v>1E-3</v>
      </c>
      <c r="R1298">
        <v>0.10539999999999999</v>
      </c>
      <c r="S1298">
        <v>0.51429999999999998</v>
      </c>
      <c r="T1298">
        <v>0.61970000000000003</v>
      </c>
      <c r="U1298">
        <v>5</v>
      </c>
      <c r="V1298">
        <v>0</v>
      </c>
      <c r="W1298">
        <v>0.2</v>
      </c>
      <c r="X1298">
        <v>0</v>
      </c>
      <c r="Y1298">
        <v>0.49</v>
      </c>
      <c r="Z1298">
        <v>1</v>
      </c>
    </row>
    <row r="1299" spans="1:26" x14ac:dyDescent="0.2">
      <c r="A1299" t="s">
        <v>112</v>
      </c>
      <c r="B1299">
        <v>2019</v>
      </c>
      <c r="C1299" t="str">
        <f t="shared" si="20"/>
        <v>PAC2019</v>
      </c>
      <c r="D1299">
        <v>2.7043220712438801E-14</v>
      </c>
      <c r="E1299">
        <v>0.2493794924541432</v>
      </c>
      <c r="F1299">
        <v>1.198713087133132</v>
      </c>
      <c r="G1299">
        <v>28.540385676254871</v>
      </c>
      <c r="H1299">
        <v>0.9693938160388802</v>
      </c>
      <c r="I1299">
        <v>0.73076613453657946</v>
      </c>
      <c r="J1299">
        <v>8.4218240376413581E-2</v>
      </c>
      <c r="K1299">
        <v>8.1692353248034574E-2</v>
      </c>
      <c r="L1299">
        <v>0.15886310695154679</v>
      </c>
      <c r="M1299">
        <v>26</v>
      </c>
      <c r="N1299">
        <v>1</v>
      </c>
      <c r="O1299">
        <v>1</v>
      </c>
      <c r="P1299">
        <v>0.61899999999999999</v>
      </c>
      <c r="Q1299">
        <v>1E-3</v>
      </c>
      <c r="R1299">
        <v>0.105</v>
      </c>
      <c r="S1299">
        <v>0.51400000000000001</v>
      </c>
      <c r="T1299">
        <v>0.61899999999999999</v>
      </c>
      <c r="U1299">
        <v>5</v>
      </c>
      <c r="V1299">
        <v>0</v>
      </c>
      <c r="W1299">
        <v>0</v>
      </c>
      <c r="X1299">
        <v>0</v>
      </c>
      <c r="Y1299">
        <v>0.5</v>
      </c>
      <c r="Z1299">
        <v>1</v>
      </c>
    </row>
    <row r="1300" spans="1:26" x14ac:dyDescent="0.2">
      <c r="A1300" t="s">
        <v>112</v>
      </c>
      <c r="B1300">
        <v>2020</v>
      </c>
      <c r="C1300" t="str">
        <f t="shared" si="20"/>
        <v>PAC2020</v>
      </c>
      <c r="D1300">
        <v>2.5790680152911861E-14</v>
      </c>
      <c r="E1300">
        <v>0.20345536286776481</v>
      </c>
      <c r="F1300">
        <v>1.2281762346390379</v>
      </c>
      <c r="G1300">
        <v>28.506585552836849</v>
      </c>
      <c r="H1300">
        <v>1.020620669124104</v>
      </c>
      <c r="I1300">
        <v>0.69573888171967546</v>
      </c>
      <c r="J1300">
        <v>-3.323528104504514E-2</v>
      </c>
      <c r="K1300">
        <v>0.1061310545506103</v>
      </c>
      <c r="L1300">
        <v>0.15387217710699841</v>
      </c>
      <c r="M1300">
        <v>27</v>
      </c>
      <c r="N1300">
        <v>1</v>
      </c>
      <c r="O1300">
        <v>1</v>
      </c>
      <c r="P1300">
        <v>0.61899999999999999</v>
      </c>
      <c r="Q1300">
        <v>1E-3</v>
      </c>
      <c r="R1300">
        <v>0.105</v>
      </c>
      <c r="S1300">
        <v>0.51400000000000001</v>
      </c>
      <c r="T1300">
        <v>0.61899999999999999</v>
      </c>
      <c r="U1300">
        <v>5</v>
      </c>
      <c r="V1300">
        <v>0</v>
      </c>
      <c r="W1300">
        <v>0</v>
      </c>
      <c r="X1300">
        <v>0</v>
      </c>
      <c r="Y1300">
        <v>0.53</v>
      </c>
      <c r="Z1300">
        <v>1</v>
      </c>
    </row>
    <row r="1301" spans="1:26" x14ac:dyDescent="0.2">
      <c r="A1301" t="s">
        <v>112</v>
      </c>
      <c r="B1301">
        <v>2021</v>
      </c>
      <c r="C1301" t="str">
        <f t="shared" si="20"/>
        <v>PAC2021</v>
      </c>
      <c r="D1301">
        <v>2.8270690997433089E-14</v>
      </c>
      <c r="E1301">
        <v>0.20041705074671901</v>
      </c>
      <c r="F1301">
        <v>1.343648082560597</v>
      </c>
      <c r="G1301">
        <v>28.539138486571328</v>
      </c>
      <c r="H1301">
        <v>1.0791211084780341</v>
      </c>
      <c r="I1301">
        <v>0.65022229831484679</v>
      </c>
      <c r="J1301">
        <v>2.8499648552073209E-2</v>
      </c>
      <c r="K1301">
        <v>0.1087974132955941</v>
      </c>
      <c r="L1301">
        <v>0.15198006397931221</v>
      </c>
      <c r="M1301">
        <v>28</v>
      </c>
      <c r="N1301">
        <v>1</v>
      </c>
      <c r="O1301">
        <v>0</v>
      </c>
      <c r="P1301">
        <v>0.86099999999999999</v>
      </c>
      <c r="Q1301">
        <v>1E-3</v>
      </c>
      <c r="R1301">
        <v>0.105</v>
      </c>
      <c r="S1301">
        <v>0.51400000000000001</v>
      </c>
      <c r="T1301">
        <v>0.86099999999999999</v>
      </c>
      <c r="U1301">
        <v>5</v>
      </c>
      <c r="V1301">
        <v>0</v>
      </c>
      <c r="W1301">
        <v>0</v>
      </c>
      <c r="X1301">
        <v>0</v>
      </c>
      <c r="Y1301">
        <v>0.51829999999999998</v>
      </c>
      <c r="Z1301">
        <v>1</v>
      </c>
    </row>
    <row r="1302" spans="1:26" x14ac:dyDescent="0.2">
      <c r="A1302" t="s">
        <v>112</v>
      </c>
      <c r="B1302">
        <v>2022</v>
      </c>
      <c r="C1302" t="str">
        <f t="shared" si="20"/>
        <v>PAC2022</v>
      </c>
      <c r="D1302">
        <v>2.6793408982428651E-14</v>
      </c>
      <c r="E1302">
        <v>0.16914014726571569</v>
      </c>
      <c r="F1302">
        <v>1.2578304054078679</v>
      </c>
      <c r="G1302">
        <v>28.513111890881159</v>
      </c>
      <c r="H1302">
        <v>1.162603977687346</v>
      </c>
      <c r="I1302">
        <v>0.61729122066385156</v>
      </c>
      <c r="J1302">
        <v>-2.1343680174674581E-2</v>
      </c>
      <c r="K1302">
        <v>9.8716902202614677E-3</v>
      </c>
      <c r="L1302">
        <v>0.19042317734309441</v>
      </c>
      <c r="M1302">
        <v>29</v>
      </c>
      <c r="N1302">
        <v>1</v>
      </c>
      <c r="O1302">
        <v>0</v>
      </c>
      <c r="P1302">
        <v>0.88200000000000001</v>
      </c>
      <c r="Q1302">
        <v>1E-4</v>
      </c>
      <c r="R1302">
        <v>0.105</v>
      </c>
      <c r="S1302">
        <v>0.51400000000000001</v>
      </c>
      <c r="T1302">
        <v>0.88200000000000001</v>
      </c>
      <c r="U1302">
        <v>4</v>
      </c>
      <c r="V1302">
        <v>0</v>
      </c>
      <c r="W1302">
        <v>0</v>
      </c>
      <c r="X1302">
        <v>0</v>
      </c>
      <c r="Y1302">
        <v>0.5</v>
      </c>
      <c r="Z1302">
        <v>1</v>
      </c>
    </row>
    <row r="1303" spans="1:26" x14ac:dyDescent="0.2">
      <c r="A1303" t="s">
        <v>112</v>
      </c>
      <c r="B1303">
        <v>2023</v>
      </c>
      <c r="C1303" t="str">
        <f t="shared" si="20"/>
        <v>PAC2023</v>
      </c>
      <c r="D1303">
        <v>-4470633281680.9854</v>
      </c>
      <c r="E1303">
        <v>8.7707366209470491E-2</v>
      </c>
      <c r="F1303">
        <v>0.90418395800476792</v>
      </c>
      <c r="G1303">
        <v>28.520354009855961</v>
      </c>
      <c r="H1303">
        <v>1.15065873999099</v>
      </c>
      <c r="I1303">
        <v>0.46024971746706389</v>
      </c>
      <c r="J1303">
        <v>7.2684065393382458E-3</v>
      </c>
      <c r="K1303">
        <v>0.11165447236868251</v>
      </c>
      <c r="L1303">
        <v>0.1690373535810801</v>
      </c>
      <c r="M1303">
        <v>30</v>
      </c>
      <c r="N1303">
        <v>0</v>
      </c>
      <c r="O1303">
        <v>0</v>
      </c>
      <c r="P1303">
        <v>0.88200000000000001</v>
      </c>
      <c r="Q1303">
        <v>1E-4</v>
      </c>
      <c r="R1303">
        <v>0.105</v>
      </c>
      <c r="S1303">
        <v>0.51400000000000001</v>
      </c>
      <c r="T1303">
        <v>0.88200000000000001</v>
      </c>
      <c r="U1303">
        <v>4</v>
      </c>
      <c r="V1303">
        <v>0</v>
      </c>
      <c r="W1303">
        <v>0</v>
      </c>
      <c r="X1303">
        <v>0</v>
      </c>
      <c r="Y1303">
        <v>0.5</v>
      </c>
      <c r="Z1303">
        <v>1</v>
      </c>
    </row>
    <row r="1304" spans="1:26" x14ac:dyDescent="0.2">
      <c r="A1304" t="s">
        <v>113</v>
      </c>
      <c r="B1304">
        <v>2012</v>
      </c>
      <c r="C1304" t="str">
        <f t="shared" si="20"/>
        <v>PAN2012</v>
      </c>
      <c r="D1304">
        <v>5.9669666581192946E-13</v>
      </c>
      <c r="E1304">
        <v>0.24935516714345971</v>
      </c>
      <c r="F1304">
        <v>0.7368261186246724</v>
      </c>
      <c r="G1304">
        <v>26.634872562272989</v>
      </c>
      <c r="H1304">
        <v>6.7034507641966661</v>
      </c>
      <c r="I1304">
        <v>0.11131677716879231</v>
      </c>
      <c r="J1304">
        <v>0.25935009851165969</v>
      </c>
      <c r="K1304">
        <v>0.1901809163447071</v>
      </c>
      <c r="L1304">
        <v>4.8728875491527893E-2</v>
      </c>
      <c r="M1304">
        <v>7</v>
      </c>
      <c r="N1304">
        <v>1</v>
      </c>
      <c r="O1304">
        <v>0</v>
      </c>
      <c r="P1304">
        <v>0.36230000000000001</v>
      </c>
      <c r="Q1304">
        <v>9.2200000000000004E-2</v>
      </c>
      <c r="R1304">
        <v>0</v>
      </c>
      <c r="S1304">
        <v>0</v>
      </c>
      <c r="T1304">
        <v>0.29060000000000002</v>
      </c>
      <c r="U1304">
        <v>5</v>
      </c>
      <c r="V1304">
        <v>0</v>
      </c>
      <c r="W1304">
        <v>0.4</v>
      </c>
      <c r="X1304">
        <v>1</v>
      </c>
      <c r="Y1304">
        <v>0.37830000000000003</v>
      </c>
      <c r="Z1304">
        <v>1</v>
      </c>
    </row>
    <row r="1305" spans="1:26" x14ac:dyDescent="0.2">
      <c r="A1305" t="s">
        <v>113</v>
      </c>
      <c r="B1305">
        <v>2013</v>
      </c>
      <c r="C1305" t="str">
        <f t="shared" si="20"/>
        <v>PAN2013</v>
      </c>
      <c r="D1305">
        <v>1.8701909345944299E-14</v>
      </c>
      <c r="E1305">
        <v>4.1246660227637011E-2</v>
      </c>
      <c r="F1305">
        <v>1.044627124591597</v>
      </c>
      <c r="G1305">
        <v>27.69748176359241</v>
      </c>
      <c r="H1305">
        <v>4.7388733364851143</v>
      </c>
      <c r="I1305">
        <v>0.33922180678483782</v>
      </c>
      <c r="J1305">
        <v>1.893911945920328</v>
      </c>
      <c r="K1305">
        <v>0.17636643681238051</v>
      </c>
      <c r="L1305">
        <v>5.3160396773038673E-2</v>
      </c>
      <c r="M1305">
        <v>8</v>
      </c>
      <c r="N1305">
        <v>1</v>
      </c>
      <c r="O1305">
        <v>0</v>
      </c>
      <c r="P1305">
        <v>0.64870000000000005</v>
      </c>
      <c r="Q1305">
        <v>9.0500000000000011E-2</v>
      </c>
      <c r="R1305">
        <v>9.98E-2</v>
      </c>
      <c r="S1305">
        <v>0</v>
      </c>
      <c r="T1305">
        <v>0.64870000000000005</v>
      </c>
      <c r="U1305">
        <v>6</v>
      </c>
      <c r="V1305">
        <v>0</v>
      </c>
      <c r="W1305">
        <v>0.5</v>
      </c>
      <c r="X1305">
        <v>1</v>
      </c>
      <c r="Y1305">
        <v>0.45329999999999998</v>
      </c>
      <c r="Z1305">
        <v>1</v>
      </c>
    </row>
    <row r="1306" spans="1:26" x14ac:dyDescent="0.2">
      <c r="A1306" t="s">
        <v>113</v>
      </c>
      <c r="B1306">
        <v>2014</v>
      </c>
      <c r="C1306" t="str">
        <f t="shared" si="20"/>
        <v>PAN2014</v>
      </c>
      <c r="D1306">
        <v>3.1417366216293191E-14</v>
      </c>
      <c r="E1306">
        <v>0.1312821142690361</v>
      </c>
      <c r="F1306">
        <v>1.3647210385580779</v>
      </c>
      <c r="G1306">
        <v>28.443374410373892</v>
      </c>
      <c r="H1306">
        <v>2.5560309891117088</v>
      </c>
      <c r="I1306">
        <v>0.23617822387892179</v>
      </c>
      <c r="J1306">
        <v>1.108322582623321</v>
      </c>
      <c r="K1306">
        <v>3.8495400833813823E-2</v>
      </c>
      <c r="L1306">
        <v>5.8264581805695798E-2</v>
      </c>
      <c r="M1306">
        <v>9</v>
      </c>
      <c r="N1306">
        <v>1</v>
      </c>
      <c r="O1306">
        <v>0</v>
      </c>
      <c r="P1306">
        <v>0.6251000000000001</v>
      </c>
      <c r="Q1306">
        <v>5.9700000000000003E-2</v>
      </c>
      <c r="R1306">
        <v>0.29210000000000003</v>
      </c>
      <c r="S1306">
        <v>0</v>
      </c>
      <c r="T1306">
        <v>0.6251000000000001</v>
      </c>
      <c r="U1306">
        <v>8</v>
      </c>
      <c r="V1306">
        <v>0</v>
      </c>
      <c r="W1306">
        <v>0.375</v>
      </c>
      <c r="X1306">
        <v>0</v>
      </c>
      <c r="Y1306">
        <v>0.44800000000000001</v>
      </c>
      <c r="Z1306">
        <v>1</v>
      </c>
    </row>
    <row r="1307" spans="1:26" x14ac:dyDescent="0.2">
      <c r="A1307" t="s">
        <v>113</v>
      </c>
      <c r="B1307">
        <v>2015</v>
      </c>
      <c r="C1307" t="str">
        <f t="shared" si="20"/>
        <v>PAN2015</v>
      </c>
      <c r="D1307">
        <v>2.3095299840345589E-14</v>
      </c>
      <c r="E1307">
        <v>0.1159515368647366</v>
      </c>
      <c r="F1307">
        <v>1.0477550269043669</v>
      </c>
      <c r="G1307">
        <v>28.93756152440157</v>
      </c>
      <c r="H1307">
        <v>2.543505919542508</v>
      </c>
      <c r="I1307">
        <v>0.2643514463891829</v>
      </c>
      <c r="J1307">
        <v>0.63916524291123777</v>
      </c>
      <c r="K1307">
        <v>3.4965241004444328E-2</v>
      </c>
      <c r="L1307">
        <v>9.8855311161111736E-2</v>
      </c>
      <c r="M1307">
        <v>10</v>
      </c>
      <c r="N1307">
        <v>1</v>
      </c>
      <c r="O1307">
        <v>0</v>
      </c>
      <c r="P1307">
        <v>0.59720000000000006</v>
      </c>
      <c r="Q1307">
        <v>4.2699999999999988E-2</v>
      </c>
      <c r="R1307">
        <v>0.29299999999999998</v>
      </c>
      <c r="S1307">
        <v>0</v>
      </c>
      <c r="T1307">
        <v>0.59720000000000006</v>
      </c>
      <c r="U1307">
        <v>8</v>
      </c>
      <c r="V1307">
        <v>0</v>
      </c>
      <c r="W1307">
        <v>0.375</v>
      </c>
      <c r="X1307">
        <v>0</v>
      </c>
      <c r="Y1307">
        <v>0.45800000000000002</v>
      </c>
      <c r="Z1307">
        <v>1</v>
      </c>
    </row>
    <row r="1308" spans="1:26" x14ac:dyDescent="0.2">
      <c r="A1308" t="s">
        <v>113</v>
      </c>
      <c r="B1308">
        <v>2016</v>
      </c>
      <c r="C1308" t="str">
        <f t="shared" si="20"/>
        <v>PAN2016</v>
      </c>
      <c r="D1308">
        <v>2.378595848242713E-14</v>
      </c>
      <c r="E1308">
        <v>0.1151002101936032</v>
      </c>
      <c r="F1308">
        <v>1.387583372365834</v>
      </c>
      <c r="G1308">
        <v>28.95562481493053</v>
      </c>
      <c r="H1308">
        <v>2.412170687950296</v>
      </c>
      <c r="I1308">
        <v>0.22283610366631271</v>
      </c>
      <c r="J1308">
        <v>1.8227418502398281E-2</v>
      </c>
      <c r="K1308">
        <v>7.7448966166107969E-2</v>
      </c>
      <c r="L1308">
        <v>9.2345933151882137E-2</v>
      </c>
      <c r="M1308">
        <v>11</v>
      </c>
      <c r="N1308">
        <v>1</v>
      </c>
      <c r="O1308">
        <v>0</v>
      </c>
      <c r="P1308">
        <v>0.59889999999999999</v>
      </c>
      <c r="Q1308">
        <v>2.6700000000000002E-2</v>
      </c>
      <c r="R1308">
        <v>0.29409999999999997</v>
      </c>
      <c r="S1308">
        <v>0</v>
      </c>
      <c r="T1308">
        <v>0.59889999999999999</v>
      </c>
      <c r="U1308">
        <v>8</v>
      </c>
      <c r="V1308">
        <v>0</v>
      </c>
      <c r="W1308">
        <v>0.375</v>
      </c>
      <c r="X1308">
        <v>0</v>
      </c>
      <c r="Y1308">
        <v>0.47199999999999998</v>
      </c>
      <c r="Z1308">
        <v>1</v>
      </c>
    </row>
    <row r="1309" spans="1:26" x14ac:dyDescent="0.2">
      <c r="A1309" t="s">
        <v>113</v>
      </c>
      <c r="B1309">
        <v>2017</v>
      </c>
      <c r="C1309" t="str">
        <f t="shared" si="20"/>
        <v>PAN2017</v>
      </c>
      <c r="D1309">
        <v>1.4052095711801E-14</v>
      </c>
      <c r="E1309">
        <v>0.1207220579050118</v>
      </c>
      <c r="F1309">
        <v>1.0118716595603929</v>
      </c>
      <c r="G1309">
        <v>29.41985281960352</v>
      </c>
      <c r="H1309">
        <v>2.6590491652538129</v>
      </c>
      <c r="I1309">
        <v>0.30363937392746798</v>
      </c>
      <c r="J1309">
        <v>0.63528245957169949</v>
      </c>
      <c r="K1309">
        <v>4.6389055972747707E-2</v>
      </c>
      <c r="L1309">
        <v>0.15859846437889569</v>
      </c>
      <c r="M1309">
        <v>12</v>
      </c>
      <c r="N1309">
        <v>1</v>
      </c>
      <c r="O1309">
        <v>0</v>
      </c>
      <c r="P1309">
        <v>0.59689999999999999</v>
      </c>
      <c r="Q1309">
        <v>2.5999999999999999E-2</v>
      </c>
      <c r="R1309">
        <v>0.29210000000000003</v>
      </c>
      <c r="S1309">
        <v>0</v>
      </c>
      <c r="T1309">
        <v>0.59689999999999999</v>
      </c>
      <c r="U1309">
        <v>8</v>
      </c>
      <c r="V1309">
        <v>0</v>
      </c>
      <c r="W1309">
        <v>0.375</v>
      </c>
      <c r="X1309">
        <v>0</v>
      </c>
      <c r="Y1309">
        <v>0.48199999999999998</v>
      </c>
      <c r="Z1309">
        <v>1</v>
      </c>
    </row>
    <row r="1310" spans="1:26" x14ac:dyDescent="0.2">
      <c r="A1310" t="s">
        <v>113</v>
      </c>
      <c r="B1310">
        <v>2018</v>
      </c>
      <c r="C1310" t="str">
        <f t="shared" si="20"/>
        <v>PAN2018</v>
      </c>
      <c r="D1310">
        <v>6.3661147410285882E-15</v>
      </c>
      <c r="E1310">
        <v>9.4965089542423609E-2</v>
      </c>
      <c r="F1310">
        <v>0.99403731603464607</v>
      </c>
      <c r="G1310">
        <v>29.87584416822877</v>
      </c>
      <c r="H1310">
        <v>2.185640347559981</v>
      </c>
      <c r="I1310">
        <v>0.36726079523664562</v>
      </c>
      <c r="J1310">
        <v>0.53480571918425479</v>
      </c>
      <c r="K1310">
        <v>9.3269478393421423E-2</v>
      </c>
      <c r="L1310">
        <v>0.14095067710018541</v>
      </c>
      <c r="M1310">
        <v>13</v>
      </c>
      <c r="N1310">
        <v>1</v>
      </c>
      <c r="O1310">
        <v>0</v>
      </c>
      <c r="P1310">
        <v>0.69019999999999992</v>
      </c>
      <c r="Q1310">
        <v>3.44E-2</v>
      </c>
      <c r="R1310">
        <v>0.3458</v>
      </c>
      <c r="S1310">
        <v>0</v>
      </c>
      <c r="T1310">
        <v>0.69019999999999992</v>
      </c>
      <c r="U1310">
        <v>8</v>
      </c>
      <c r="V1310">
        <v>0</v>
      </c>
      <c r="W1310">
        <v>0.375</v>
      </c>
      <c r="X1310">
        <v>1</v>
      </c>
      <c r="Y1310">
        <v>0.45800000000000002</v>
      </c>
      <c r="Z1310">
        <v>1</v>
      </c>
    </row>
    <row r="1311" spans="1:26" x14ac:dyDescent="0.2">
      <c r="A1311" t="s">
        <v>113</v>
      </c>
      <c r="B1311">
        <v>2019</v>
      </c>
      <c r="C1311" t="str">
        <f t="shared" si="20"/>
        <v>PAN2019</v>
      </c>
      <c r="D1311">
        <v>3.9005499032233889E-15</v>
      </c>
      <c r="E1311">
        <v>7.3545410272328138E-2</v>
      </c>
      <c r="F1311">
        <v>0.87917082231461052</v>
      </c>
      <c r="G1311">
        <v>30.007279785876001</v>
      </c>
      <c r="H1311">
        <v>2.907993852383667</v>
      </c>
      <c r="I1311">
        <v>0.42909178600010051</v>
      </c>
      <c r="J1311">
        <v>0.1404644795722132</v>
      </c>
      <c r="K1311">
        <v>1.7973480530137271E-2</v>
      </c>
      <c r="L1311">
        <v>0.18263130868193031</v>
      </c>
      <c r="M1311">
        <v>14</v>
      </c>
      <c r="N1311">
        <v>1</v>
      </c>
      <c r="O1311">
        <v>1</v>
      </c>
      <c r="P1311">
        <v>0.62809999999999999</v>
      </c>
      <c r="Q1311">
        <v>4.1599999999999998E-2</v>
      </c>
      <c r="R1311">
        <v>0.33910000000000001</v>
      </c>
      <c r="S1311">
        <v>0</v>
      </c>
      <c r="T1311">
        <v>0.62809999999999999</v>
      </c>
      <c r="U1311">
        <v>9</v>
      </c>
      <c r="V1311">
        <v>0</v>
      </c>
      <c r="W1311">
        <v>0.33333333333333331</v>
      </c>
      <c r="X1311">
        <v>1</v>
      </c>
      <c r="Y1311">
        <v>0.47439999999999999</v>
      </c>
      <c r="Z1311">
        <v>1</v>
      </c>
    </row>
    <row r="1312" spans="1:26" x14ac:dyDescent="0.2">
      <c r="A1312" t="s">
        <v>113</v>
      </c>
      <c r="B1312">
        <v>2020</v>
      </c>
      <c r="C1312" t="str">
        <f t="shared" si="20"/>
        <v>PAN2020</v>
      </c>
      <c r="D1312">
        <v>2.5929449956328839E-15</v>
      </c>
      <c r="E1312">
        <v>5.3979458762389528E-2</v>
      </c>
      <c r="F1312">
        <v>1.0950676444851379</v>
      </c>
      <c r="G1312">
        <v>30.059030681945949</v>
      </c>
      <c r="H1312">
        <v>1.8571895267758081</v>
      </c>
      <c r="I1312">
        <v>0.45545229131710419</v>
      </c>
      <c r="J1312">
        <v>5.3113375155811722E-2</v>
      </c>
      <c r="K1312">
        <v>2.5098995778217062E-3</v>
      </c>
      <c r="L1312">
        <v>0.1622394105640739</v>
      </c>
      <c r="M1312">
        <v>15</v>
      </c>
      <c r="N1312">
        <v>1</v>
      </c>
      <c r="O1312">
        <v>1</v>
      </c>
      <c r="P1312">
        <v>0.58150000000000002</v>
      </c>
      <c r="Q1312">
        <v>4.3099999999999999E-2</v>
      </c>
      <c r="R1312">
        <v>0.27239999999999998</v>
      </c>
      <c r="S1312">
        <v>0</v>
      </c>
      <c r="T1312">
        <v>0.58150000000000002</v>
      </c>
      <c r="U1312">
        <v>9</v>
      </c>
      <c r="V1312">
        <v>0</v>
      </c>
      <c r="W1312">
        <v>0.33333333333333331</v>
      </c>
      <c r="X1312">
        <v>1</v>
      </c>
      <c r="Y1312">
        <v>0.49380000000000002</v>
      </c>
      <c r="Z1312">
        <v>1</v>
      </c>
    </row>
    <row r="1313" spans="1:26" x14ac:dyDescent="0.2">
      <c r="A1313" t="s">
        <v>113</v>
      </c>
      <c r="B1313">
        <v>2021</v>
      </c>
      <c r="C1313" t="str">
        <f t="shared" si="20"/>
        <v>PAN2021</v>
      </c>
      <c r="D1313">
        <v>2.2628041994899139E-15</v>
      </c>
      <c r="E1313">
        <v>6.7384966550146794E-2</v>
      </c>
      <c r="F1313">
        <v>1.0308038482370261</v>
      </c>
      <c r="G1313">
        <v>30.34066343853522</v>
      </c>
      <c r="H1313">
        <v>1.69504859047709</v>
      </c>
      <c r="I1313">
        <v>0.49549361433133732</v>
      </c>
      <c r="J1313">
        <v>0.3252919258792184</v>
      </c>
      <c r="K1313">
        <v>-8.0199411410441263E-2</v>
      </c>
      <c r="L1313">
        <v>0.1459098392788136</v>
      </c>
      <c r="M1313">
        <v>16</v>
      </c>
      <c r="N1313">
        <v>1</v>
      </c>
      <c r="O1313">
        <v>0</v>
      </c>
      <c r="P1313">
        <v>0.2374</v>
      </c>
      <c r="Q1313">
        <v>1.52E-2</v>
      </c>
      <c r="R1313">
        <v>0</v>
      </c>
      <c r="S1313">
        <v>0</v>
      </c>
      <c r="T1313">
        <v>0.2374</v>
      </c>
      <c r="U1313">
        <v>9</v>
      </c>
      <c r="V1313">
        <v>0</v>
      </c>
      <c r="W1313">
        <v>0.44444444444444442</v>
      </c>
      <c r="X1313">
        <v>1</v>
      </c>
      <c r="Y1313">
        <v>0.51749999999999996</v>
      </c>
      <c r="Z1313">
        <v>1</v>
      </c>
    </row>
    <row r="1314" spans="1:26" x14ac:dyDescent="0.2">
      <c r="A1314" t="s">
        <v>113</v>
      </c>
      <c r="B1314">
        <v>2022</v>
      </c>
      <c r="C1314" t="str">
        <f t="shared" si="20"/>
        <v>PAN2022</v>
      </c>
      <c r="D1314">
        <v>3.0713365068987651E-15</v>
      </c>
      <c r="E1314">
        <v>0.1008204600554249</v>
      </c>
      <c r="F1314">
        <v>0.70429510452323896</v>
      </c>
      <c r="G1314">
        <v>30.408696755771128</v>
      </c>
      <c r="H1314">
        <v>1.6785222301974141</v>
      </c>
      <c r="I1314">
        <v>0.5100994466426626</v>
      </c>
      <c r="J1314">
        <v>7.0400970686347986E-2</v>
      </c>
      <c r="K1314">
        <v>8.0204795520553568E-2</v>
      </c>
      <c r="L1314">
        <v>0.15767809091880991</v>
      </c>
      <c r="M1314">
        <v>17</v>
      </c>
      <c r="N1314">
        <v>1</v>
      </c>
      <c r="O1314">
        <v>0</v>
      </c>
      <c r="P1314">
        <v>0.2374</v>
      </c>
      <c r="Q1314">
        <v>1.5100000000000001E-2</v>
      </c>
      <c r="R1314">
        <v>0</v>
      </c>
      <c r="S1314">
        <v>0</v>
      </c>
      <c r="T1314">
        <v>0.2374</v>
      </c>
      <c r="U1314">
        <v>7</v>
      </c>
      <c r="V1314">
        <v>0</v>
      </c>
      <c r="W1314">
        <v>0.42857142857142849</v>
      </c>
      <c r="X1314">
        <v>1</v>
      </c>
      <c r="Y1314">
        <v>0.51</v>
      </c>
      <c r="Z1314">
        <v>1</v>
      </c>
    </row>
    <row r="1315" spans="1:26" x14ac:dyDescent="0.2">
      <c r="A1315" t="s">
        <v>113</v>
      </c>
      <c r="B1315">
        <v>2023</v>
      </c>
      <c r="C1315" t="str">
        <f t="shared" si="20"/>
        <v>PAN2023</v>
      </c>
      <c r="D1315">
        <v>6273815128382.748</v>
      </c>
      <c r="E1315">
        <v>7.2917219827710711E-2</v>
      </c>
      <c r="F1315">
        <v>0.64960687080820201</v>
      </c>
      <c r="G1315">
        <v>30.636116452023909</v>
      </c>
      <c r="H1315">
        <v>1.294687276856219</v>
      </c>
      <c r="I1315">
        <v>0.44491690507182757</v>
      </c>
      <c r="J1315">
        <v>0.25535662586516361</v>
      </c>
      <c r="K1315">
        <v>-0.18690891042187671</v>
      </c>
      <c r="L1315">
        <v>0.1269953717545026</v>
      </c>
      <c r="M1315">
        <v>18</v>
      </c>
      <c r="N1315">
        <v>0</v>
      </c>
      <c r="O1315">
        <v>0</v>
      </c>
      <c r="P1315">
        <v>0.2374</v>
      </c>
      <c r="Q1315">
        <v>1.5100000000000001E-2</v>
      </c>
      <c r="R1315">
        <v>0</v>
      </c>
      <c r="S1315">
        <v>0</v>
      </c>
      <c r="T1315">
        <v>0.2374</v>
      </c>
      <c r="U1315">
        <v>7</v>
      </c>
      <c r="V1315">
        <v>0</v>
      </c>
      <c r="W1315">
        <v>0.42857142857142849</v>
      </c>
      <c r="X1315">
        <v>1</v>
      </c>
      <c r="Y1315">
        <v>0.51</v>
      </c>
      <c r="Z1315">
        <v>1</v>
      </c>
    </row>
    <row r="1316" spans="1:26" x14ac:dyDescent="0.2">
      <c r="A1316" t="s">
        <v>114</v>
      </c>
      <c r="B1316">
        <v>2013</v>
      </c>
      <c r="C1316" t="str">
        <f t="shared" si="20"/>
        <v>PBP2013</v>
      </c>
      <c r="D1316">
        <v>1.1999764476122909E-12</v>
      </c>
      <c r="E1316">
        <v>0.2645287299230526</v>
      </c>
      <c r="F1316">
        <v>0.92911864316182891</v>
      </c>
      <c r="G1316">
        <v>25.228376884047059</v>
      </c>
      <c r="H1316" t="e">
        <v>#N/A</v>
      </c>
      <c r="I1316">
        <v>0.5895646643967889</v>
      </c>
      <c r="J1316">
        <v>0</v>
      </c>
      <c r="K1316">
        <v>8.1875919897314312E-2</v>
      </c>
      <c r="L1316">
        <v>0.65945850633308611</v>
      </c>
      <c r="M1316">
        <v>3</v>
      </c>
      <c r="N1316">
        <v>1</v>
      </c>
      <c r="O1316">
        <v>0</v>
      </c>
      <c r="P1316">
        <v>0.99980000000000002</v>
      </c>
      <c r="Q1316">
        <v>1.78E-2</v>
      </c>
      <c r="R1316">
        <v>0</v>
      </c>
      <c r="S1316">
        <v>0.77029999999999998</v>
      </c>
      <c r="T1316">
        <v>0.99980000000000002</v>
      </c>
      <c r="U1316">
        <v>5</v>
      </c>
      <c r="V1316">
        <v>0</v>
      </c>
      <c r="W1316">
        <v>0.2</v>
      </c>
      <c r="X1316">
        <v>0</v>
      </c>
      <c r="Y1316">
        <v>0.4022</v>
      </c>
      <c r="Z1316">
        <v>1</v>
      </c>
    </row>
    <row r="1317" spans="1:26" x14ac:dyDescent="0.2">
      <c r="A1317" t="s">
        <v>114</v>
      </c>
      <c r="B1317">
        <v>2014</v>
      </c>
      <c r="C1317" t="str">
        <f t="shared" si="20"/>
        <v>PBP2014</v>
      </c>
      <c r="D1317">
        <v>1.14391897077096E-12</v>
      </c>
      <c r="E1317">
        <v>0.21926484600737911</v>
      </c>
      <c r="F1317">
        <v>1.109431303677564</v>
      </c>
      <c r="G1317">
        <v>25.273080528478221</v>
      </c>
      <c r="H1317">
        <v>1.9798135480056991</v>
      </c>
      <c r="I1317">
        <v>0.50638804635598678</v>
      </c>
      <c r="J1317">
        <v>4.5717909657288391E-2</v>
      </c>
      <c r="K1317">
        <v>0.2094802936559598</v>
      </c>
      <c r="L1317">
        <v>0.57776247783944978</v>
      </c>
      <c r="M1317">
        <v>4</v>
      </c>
      <c r="N1317">
        <v>1</v>
      </c>
      <c r="O1317">
        <v>0</v>
      </c>
      <c r="P1317">
        <v>0.58379999999999999</v>
      </c>
      <c r="Q1317">
        <v>1.78E-2</v>
      </c>
      <c r="R1317">
        <v>0</v>
      </c>
      <c r="S1317">
        <v>0.51029999999999998</v>
      </c>
      <c r="T1317">
        <v>0.58379999999999999</v>
      </c>
      <c r="U1317">
        <v>5</v>
      </c>
      <c r="V1317">
        <v>0</v>
      </c>
      <c r="W1317">
        <v>0.2</v>
      </c>
      <c r="X1317">
        <v>0</v>
      </c>
      <c r="Y1317">
        <v>0.4022</v>
      </c>
      <c r="Z1317">
        <v>1</v>
      </c>
    </row>
    <row r="1318" spans="1:26" x14ac:dyDescent="0.2">
      <c r="A1318" t="s">
        <v>114</v>
      </c>
      <c r="B1318">
        <v>2015</v>
      </c>
      <c r="C1318" t="str">
        <f t="shared" si="20"/>
        <v>PBP2015</v>
      </c>
      <c r="D1318">
        <v>1.2262785757757089E-12</v>
      </c>
      <c r="E1318">
        <v>0.18933882995335621</v>
      </c>
      <c r="F1318">
        <v>1.0545348500587171</v>
      </c>
      <c r="G1318">
        <v>25.170824602315921</v>
      </c>
      <c r="H1318">
        <v>2.314372047409087</v>
      </c>
      <c r="I1318">
        <v>0.4467776953581411</v>
      </c>
      <c r="J1318">
        <v>-9.720152764784927E-2</v>
      </c>
      <c r="K1318">
        <v>5.6253896067287312E-2</v>
      </c>
      <c r="L1318">
        <v>0.60989766657226907</v>
      </c>
      <c r="M1318">
        <v>5</v>
      </c>
      <c r="N1318">
        <v>1</v>
      </c>
      <c r="O1318">
        <v>0</v>
      </c>
      <c r="P1318">
        <v>0.58379999999999999</v>
      </c>
      <c r="Q1318">
        <v>1.7999999999999999E-2</v>
      </c>
      <c r="R1318">
        <v>0</v>
      </c>
      <c r="S1318">
        <v>0.51029999999999998</v>
      </c>
      <c r="T1318">
        <v>0.58379999999999999</v>
      </c>
      <c r="U1318">
        <v>5</v>
      </c>
      <c r="V1318">
        <v>0</v>
      </c>
      <c r="W1318">
        <v>0.2</v>
      </c>
      <c r="X1318">
        <v>0</v>
      </c>
      <c r="Y1318">
        <v>0.4244</v>
      </c>
      <c r="Z1318">
        <v>0.8</v>
      </c>
    </row>
    <row r="1319" spans="1:26" x14ac:dyDescent="0.2">
      <c r="A1319" t="s">
        <v>114</v>
      </c>
      <c r="B1319">
        <v>2016</v>
      </c>
      <c r="C1319" t="str">
        <f t="shared" si="20"/>
        <v>PBP2016</v>
      </c>
      <c r="D1319">
        <v>6.7891579858224827E-13</v>
      </c>
      <c r="E1319">
        <v>0.16765829544417979</v>
      </c>
      <c r="F1319">
        <v>0.93850367996144335</v>
      </c>
      <c r="G1319">
        <v>25.48072327449437</v>
      </c>
      <c r="H1319">
        <v>2.0987874823248118</v>
      </c>
      <c r="I1319">
        <v>0.52844931340797385</v>
      </c>
      <c r="J1319">
        <v>0.36328696823464268</v>
      </c>
      <c r="K1319">
        <v>0.125787883373876</v>
      </c>
      <c r="L1319">
        <v>0.67644581815470195</v>
      </c>
      <c r="M1319">
        <v>6</v>
      </c>
      <c r="N1319">
        <v>1</v>
      </c>
      <c r="O1319">
        <v>0</v>
      </c>
      <c r="P1319">
        <v>0.63900000000000001</v>
      </c>
      <c r="Q1319">
        <v>1.23E-2</v>
      </c>
      <c r="R1319">
        <v>0</v>
      </c>
      <c r="S1319">
        <v>0.51029999999999998</v>
      </c>
      <c r="T1319">
        <v>0.58399999999999996</v>
      </c>
      <c r="U1319">
        <v>5</v>
      </c>
      <c r="V1319">
        <v>0</v>
      </c>
      <c r="W1319">
        <v>0.2</v>
      </c>
      <c r="X1319">
        <v>0</v>
      </c>
      <c r="Y1319">
        <v>0.442</v>
      </c>
      <c r="Z1319">
        <v>0.8</v>
      </c>
    </row>
    <row r="1320" spans="1:26" x14ac:dyDescent="0.2">
      <c r="A1320" t="s">
        <v>114</v>
      </c>
      <c r="B1320">
        <v>2017</v>
      </c>
      <c r="C1320" t="str">
        <f t="shared" si="20"/>
        <v>PBP2017</v>
      </c>
      <c r="D1320">
        <v>4.8164869573873286E-13</v>
      </c>
      <c r="E1320">
        <v>0.13257451869175019</v>
      </c>
      <c r="F1320">
        <v>1.120637680482387</v>
      </c>
      <c r="G1320">
        <v>25.525436127886021</v>
      </c>
      <c r="H1320">
        <v>1.0843672396105171</v>
      </c>
      <c r="I1320">
        <v>0.55758851980445689</v>
      </c>
      <c r="J1320">
        <v>4.5727539676541529E-2</v>
      </c>
      <c r="K1320">
        <v>0.12653999240131411</v>
      </c>
      <c r="L1320">
        <v>0.62936444279405013</v>
      </c>
      <c r="M1320">
        <v>7</v>
      </c>
      <c r="N1320">
        <v>1</v>
      </c>
      <c r="O1320">
        <v>0</v>
      </c>
      <c r="P1320">
        <v>0.75269999999999992</v>
      </c>
      <c r="Q1320">
        <v>0.21529999999999999</v>
      </c>
      <c r="R1320">
        <v>0</v>
      </c>
      <c r="S1320">
        <v>0.51029999999999998</v>
      </c>
      <c r="T1320">
        <v>0.58379999999999999</v>
      </c>
      <c r="U1320">
        <v>5</v>
      </c>
      <c r="V1320">
        <v>0</v>
      </c>
      <c r="W1320">
        <v>0.2</v>
      </c>
      <c r="X1320">
        <v>0</v>
      </c>
      <c r="Y1320">
        <v>0.44</v>
      </c>
      <c r="Z1320">
        <v>0.8</v>
      </c>
    </row>
    <row r="1321" spans="1:26" x14ac:dyDescent="0.2">
      <c r="A1321" t="s">
        <v>114</v>
      </c>
      <c r="B1321">
        <v>2018</v>
      </c>
      <c r="C1321" t="str">
        <f t="shared" si="20"/>
        <v>PBP2018</v>
      </c>
      <c r="D1321">
        <v>5.2449518153151119E-13</v>
      </c>
      <c r="E1321">
        <v>0.1554909132603628</v>
      </c>
      <c r="F1321">
        <v>0.92635259643355217</v>
      </c>
      <c r="G1321">
        <v>25.633610218478061</v>
      </c>
      <c r="H1321">
        <v>0.99528923288312121</v>
      </c>
      <c r="I1321">
        <v>0.54230943740460513</v>
      </c>
      <c r="J1321">
        <v>0.1142417075010265</v>
      </c>
      <c r="K1321">
        <v>5.4700515685254303E-2</v>
      </c>
      <c r="L1321">
        <v>0.50760676587460074</v>
      </c>
      <c r="M1321">
        <v>8</v>
      </c>
      <c r="N1321">
        <v>1</v>
      </c>
      <c r="O1321">
        <v>0</v>
      </c>
      <c r="P1321">
        <v>0.77939999999999998</v>
      </c>
      <c r="Q1321">
        <v>1.37E-2</v>
      </c>
      <c r="R1321">
        <v>0</v>
      </c>
      <c r="S1321">
        <v>0.51029999999999998</v>
      </c>
      <c r="T1321">
        <v>0.58379999999999999</v>
      </c>
      <c r="U1321">
        <v>5</v>
      </c>
      <c r="V1321">
        <v>0</v>
      </c>
      <c r="W1321">
        <v>0</v>
      </c>
      <c r="X1321">
        <v>0</v>
      </c>
      <c r="Y1321">
        <v>0.45450000000000002</v>
      </c>
      <c r="Z1321">
        <v>0.8</v>
      </c>
    </row>
    <row r="1322" spans="1:26" x14ac:dyDescent="0.2">
      <c r="A1322" t="s">
        <v>114</v>
      </c>
      <c r="B1322">
        <v>2019</v>
      </c>
      <c r="C1322" t="str">
        <f t="shared" si="20"/>
        <v>PBP2019</v>
      </c>
      <c r="D1322">
        <v>2.7759376967161591E-13</v>
      </c>
      <c r="E1322">
        <v>8.6758327898781004E-2</v>
      </c>
      <c r="F1322">
        <v>0.76710553115668612</v>
      </c>
      <c r="G1322">
        <v>25.655867523466341</v>
      </c>
      <c r="H1322">
        <v>1.106827497653224</v>
      </c>
      <c r="I1322">
        <v>0.55608457577750847</v>
      </c>
      <c r="J1322">
        <v>2.2506846737588401E-2</v>
      </c>
      <c r="K1322">
        <v>0.13357739355852721</v>
      </c>
      <c r="L1322">
        <v>0.42400716005679318</v>
      </c>
      <c r="M1322">
        <v>9</v>
      </c>
      <c r="N1322">
        <v>1</v>
      </c>
      <c r="O1322">
        <v>1</v>
      </c>
      <c r="P1322">
        <v>0.72760000000000002</v>
      </c>
      <c r="Q1322">
        <v>0</v>
      </c>
      <c r="R1322">
        <v>0</v>
      </c>
      <c r="S1322">
        <v>0.51029999999999998</v>
      </c>
      <c r="T1322">
        <v>0.58379999999999999</v>
      </c>
      <c r="U1322">
        <v>5</v>
      </c>
      <c r="V1322">
        <v>0</v>
      </c>
      <c r="W1322">
        <v>0</v>
      </c>
      <c r="X1322">
        <v>0</v>
      </c>
      <c r="Y1322">
        <v>0.47699999999999998</v>
      </c>
      <c r="Z1322">
        <v>0.8</v>
      </c>
    </row>
    <row r="1323" spans="1:26" x14ac:dyDescent="0.2">
      <c r="A1323" t="s">
        <v>114</v>
      </c>
      <c r="B1323">
        <v>2020</v>
      </c>
      <c r="C1323" t="str">
        <f t="shared" si="20"/>
        <v>PBP2020</v>
      </c>
      <c r="D1323">
        <v>5.1970933292403618E-13</v>
      </c>
      <c r="E1323">
        <v>8.923797259128706E-2</v>
      </c>
      <c r="F1323">
        <v>0.76812198603061188</v>
      </c>
      <c r="G1323">
        <v>25.36292549257788</v>
      </c>
      <c r="H1323">
        <v>1.144533173048673</v>
      </c>
      <c r="I1323">
        <v>0.39717756437502949</v>
      </c>
      <c r="J1323">
        <v>-0.25393461180860383</v>
      </c>
      <c r="K1323">
        <v>0.1824862019488839</v>
      </c>
      <c r="L1323">
        <v>0.47280118262395882</v>
      </c>
      <c r="M1323">
        <v>10</v>
      </c>
      <c r="N1323">
        <v>1</v>
      </c>
      <c r="O1323">
        <v>1</v>
      </c>
      <c r="P1323">
        <v>0.75749999999999995</v>
      </c>
      <c r="Q1323">
        <v>0</v>
      </c>
      <c r="R1323">
        <v>0</v>
      </c>
      <c r="S1323">
        <v>0.51029999999999998</v>
      </c>
      <c r="T1323">
        <v>0.58379999999999999</v>
      </c>
      <c r="U1323">
        <v>5</v>
      </c>
      <c r="V1323">
        <v>0</v>
      </c>
      <c r="W1323">
        <v>0.2</v>
      </c>
      <c r="X1323">
        <v>0</v>
      </c>
      <c r="Y1323">
        <v>0.45729999999999998</v>
      </c>
      <c r="Z1323">
        <v>0.8</v>
      </c>
    </row>
    <row r="1324" spans="1:26" x14ac:dyDescent="0.2">
      <c r="A1324" t="s">
        <v>114</v>
      </c>
      <c r="B1324">
        <v>2021</v>
      </c>
      <c r="C1324" t="str">
        <f t="shared" si="20"/>
        <v>PBP2021</v>
      </c>
      <c r="D1324">
        <v>5.5595645145795385E-13</v>
      </c>
      <c r="E1324">
        <v>9.1710941401008036E-2</v>
      </c>
      <c r="F1324">
        <v>1.071523866216094</v>
      </c>
      <c r="G1324">
        <v>25.34964465775046</v>
      </c>
      <c r="H1324">
        <v>1.4494535585565449</v>
      </c>
      <c r="I1324">
        <v>0.38080075820940601</v>
      </c>
      <c r="J1324">
        <v>-1.3193033661278769E-2</v>
      </c>
      <c r="K1324">
        <v>0.23183398767592081</v>
      </c>
      <c r="L1324">
        <v>0.39798715001780038</v>
      </c>
      <c r="M1324">
        <v>11</v>
      </c>
      <c r="N1324">
        <v>1</v>
      </c>
      <c r="O1324">
        <v>0</v>
      </c>
      <c r="P1324">
        <v>0.76750000000000018</v>
      </c>
      <c r="Q1324">
        <v>0</v>
      </c>
      <c r="R1324">
        <v>0</v>
      </c>
      <c r="S1324">
        <v>0.51029999999999998</v>
      </c>
      <c r="T1324">
        <v>0.58379999999999999</v>
      </c>
      <c r="U1324">
        <v>5</v>
      </c>
      <c r="V1324">
        <v>0</v>
      </c>
      <c r="W1324">
        <v>0.2</v>
      </c>
      <c r="X1324">
        <v>0</v>
      </c>
      <c r="Y1324">
        <v>0.46729999999999999</v>
      </c>
      <c r="Z1324">
        <v>0.8</v>
      </c>
    </row>
    <row r="1325" spans="1:26" x14ac:dyDescent="0.2">
      <c r="A1325" t="s">
        <v>114</v>
      </c>
      <c r="B1325">
        <v>2022</v>
      </c>
      <c r="C1325" t="str">
        <f t="shared" si="20"/>
        <v>PBP2022</v>
      </c>
      <c r="D1325">
        <v>3.5042539572592241E-13</v>
      </c>
      <c r="E1325">
        <v>0.1042849718259608</v>
      </c>
      <c r="F1325">
        <v>0.95538912185539759</v>
      </c>
      <c r="G1325">
        <v>25.656373322934879</v>
      </c>
      <c r="H1325">
        <v>1.630012674859856</v>
      </c>
      <c r="I1325">
        <v>0.5335606256941573</v>
      </c>
      <c r="J1325">
        <v>0.35897218157565858</v>
      </c>
      <c r="K1325">
        <v>0.37326962911930262</v>
      </c>
      <c r="L1325">
        <v>0.25637657075513359</v>
      </c>
      <c r="M1325">
        <v>12</v>
      </c>
      <c r="N1325">
        <v>1</v>
      </c>
      <c r="O1325">
        <v>0</v>
      </c>
      <c r="P1325">
        <v>0.63690000000000002</v>
      </c>
      <c r="Q1325">
        <v>0</v>
      </c>
      <c r="R1325">
        <v>0</v>
      </c>
      <c r="S1325">
        <v>0.51029999999999998</v>
      </c>
      <c r="T1325">
        <v>0.58379999999999999</v>
      </c>
      <c r="U1325">
        <v>5</v>
      </c>
      <c r="V1325">
        <v>0</v>
      </c>
      <c r="W1325">
        <v>0.2</v>
      </c>
      <c r="X1325">
        <v>0</v>
      </c>
      <c r="Y1325">
        <v>0.47729999999999989</v>
      </c>
      <c r="Z1325">
        <v>0.8</v>
      </c>
    </row>
    <row r="1326" spans="1:26" x14ac:dyDescent="0.2">
      <c r="A1326" t="s">
        <v>114</v>
      </c>
      <c r="B1326">
        <v>2023</v>
      </c>
      <c r="C1326" t="str">
        <f t="shared" si="20"/>
        <v>PBP2023</v>
      </c>
      <c r="D1326">
        <v>-81035190840.856125</v>
      </c>
      <c r="E1326">
        <v>6.6356846038895467E-2</v>
      </c>
      <c r="F1326">
        <v>0.47107372853371499</v>
      </c>
      <c r="G1326">
        <v>25.552151496765841</v>
      </c>
      <c r="H1326">
        <v>1.3762021456801079</v>
      </c>
      <c r="I1326">
        <v>3.3608137315929099E-2</v>
      </c>
      <c r="J1326">
        <v>-9.8974595762367001E-2</v>
      </c>
      <c r="K1326">
        <v>1.606538941408937E-2</v>
      </c>
      <c r="L1326">
        <v>0.29139693175492593</v>
      </c>
      <c r="M1326">
        <v>13</v>
      </c>
      <c r="N1326">
        <v>0</v>
      </c>
      <c r="O1326">
        <v>0</v>
      </c>
      <c r="P1326">
        <v>0.63690000000000002</v>
      </c>
      <c r="Q1326">
        <v>0</v>
      </c>
      <c r="R1326">
        <v>0</v>
      </c>
      <c r="S1326">
        <v>0.51029999999999998</v>
      </c>
      <c r="T1326">
        <v>0.58379999999999999</v>
      </c>
      <c r="U1326">
        <v>5</v>
      </c>
      <c r="V1326">
        <v>0</v>
      </c>
      <c r="W1326">
        <v>0.2</v>
      </c>
      <c r="X1326">
        <v>0</v>
      </c>
      <c r="Y1326">
        <v>0.47729999999999989</v>
      </c>
      <c r="Z1326">
        <v>0.8</v>
      </c>
    </row>
    <row r="1327" spans="1:26" x14ac:dyDescent="0.2">
      <c r="A1327" t="s">
        <v>115</v>
      </c>
      <c r="B1327">
        <v>2014</v>
      </c>
      <c r="C1327" t="str">
        <f t="shared" si="20"/>
        <v>PCE2014</v>
      </c>
      <c r="D1327">
        <v>5.6233607444553177E-13</v>
      </c>
      <c r="E1327">
        <v>0.2632575949215939</v>
      </c>
      <c r="F1327">
        <v>0.73024791767928388</v>
      </c>
      <c r="G1327">
        <v>26.31188562646344</v>
      </c>
      <c r="H1327" t="e">
        <v>#N/A</v>
      </c>
      <c r="I1327">
        <v>0.42888736082171952</v>
      </c>
      <c r="J1327">
        <v>0</v>
      </c>
      <c r="K1327">
        <v>3.7318070802038979E-2</v>
      </c>
      <c r="L1327">
        <v>0.12902052689822249</v>
      </c>
      <c r="M1327">
        <v>6</v>
      </c>
      <c r="N1327">
        <v>1</v>
      </c>
      <c r="O1327">
        <v>0</v>
      </c>
      <c r="P1327">
        <v>0.80500000000000005</v>
      </c>
      <c r="Q1327">
        <v>6.4000000000000001E-2</v>
      </c>
      <c r="R1327">
        <v>0</v>
      </c>
      <c r="S1327">
        <v>0.75</v>
      </c>
      <c r="T1327">
        <v>0.75</v>
      </c>
      <c r="U1327">
        <v>5</v>
      </c>
      <c r="V1327">
        <v>0</v>
      </c>
      <c r="W1327">
        <v>0</v>
      </c>
      <c r="X1327">
        <v>0</v>
      </c>
      <c r="Y1327">
        <v>0.40439999999999998</v>
      </c>
      <c r="Z1327">
        <v>1</v>
      </c>
    </row>
    <row r="1328" spans="1:26" x14ac:dyDescent="0.2">
      <c r="A1328" t="s">
        <v>115</v>
      </c>
      <c r="B1328">
        <v>2015</v>
      </c>
      <c r="C1328" t="str">
        <f t="shared" si="20"/>
        <v>PCE2015</v>
      </c>
      <c r="D1328">
        <v>3.9929450174801432E-13</v>
      </c>
      <c r="E1328">
        <v>0.1713278495995999</v>
      </c>
      <c r="F1328">
        <v>0.92372399357398582</v>
      </c>
      <c r="G1328">
        <v>26.301520537027692</v>
      </c>
      <c r="H1328">
        <v>1.7875681490096811</v>
      </c>
      <c r="I1328">
        <v>0.38330475332990083</v>
      </c>
      <c r="J1328">
        <v>-1.0311557012012919E-2</v>
      </c>
      <c r="K1328">
        <v>0.42094772659123891</v>
      </c>
      <c r="L1328">
        <v>0.11171121669568181</v>
      </c>
      <c r="M1328">
        <v>7</v>
      </c>
      <c r="N1328">
        <v>1</v>
      </c>
      <c r="O1328">
        <v>0</v>
      </c>
      <c r="P1328">
        <v>0.80500000000000005</v>
      </c>
      <c r="Q1328">
        <v>6.4000000000000001E-2</v>
      </c>
      <c r="R1328">
        <v>0</v>
      </c>
      <c r="S1328">
        <v>0.75</v>
      </c>
      <c r="T1328">
        <v>0.75</v>
      </c>
      <c r="U1328">
        <v>5</v>
      </c>
      <c r="V1328">
        <v>0</v>
      </c>
      <c r="W1328">
        <v>0</v>
      </c>
      <c r="X1328">
        <v>0</v>
      </c>
      <c r="Y1328">
        <v>0.40439999999999998</v>
      </c>
      <c r="Z1328">
        <v>1</v>
      </c>
    </row>
    <row r="1329" spans="1:26" x14ac:dyDescent="0.2">
      <c r="A1329" t="s">
        <v>115</v>
      </c>
      <c r="B1329">
        <v>2016</v>
      </c>
      <c r="C1329" t="str">
        <f t="shared" si="20"/>
        <v>PCE2016</v>
      </c>
      <c r="D1329">
        <v>6.5419956478949087E-13</v>
      </c>
      <c r="E1329">
        <v>0.15632274615363559</v>
      </c>
      <c r="F1329">
        <v>1.005109693516695</v>
      </c>
      <c r="G1329">
        <v>26.00209393385953</v>
      </c>
      <c r="H1329">
        <v>2.043222935510975</v>
      </c>
      <c r="I1329">
        <v>0.17916854905712651</v>
      </c>
      <c r="J1329">
        <v>-0.25875687468973152</v>
      </c>
      <c r="K1329">
        <v>-6.2453457237935148E-2</v>
      </c>
      <c r="L1329">
        <v>0.1238400832171017</v>
      </c>
      <c r="M1329">
        <v>8</v>
      </c>
      <c r="N1329">
        <v>1</v>
      </c>
      <c r="O1329">
        <v>0</v>
      </c>
      <c r="P1329">
        <v>0.83499999999999996</v>
      </c>
      <c r="Q1329">
        <v>5.0000000000000001E-3</v>
      </c>
      <c r="R1329">
        <v>0</v>
      </c>
      <c r="S1329">
        <v>0.75</v>
      </c>
      <c r="T1329">
        <v>0.75</v>
      </c>
      <c r="U1329">
        <v>5</v>
      </c>
      <c r="V1329">
        <v>0</v>
      </c>
      <c r="W1329">
        <v>0</v>
      </c>
      <c r="X1329">
        <v>0</v>
      </c>
      <c r="Y1329">
        <v>0.4133</v>
      </c>
      <c r="Z1329">
        <v>1</v>
      </c>
    </row>
    <row r="1330" spans="1:26" x14ac:dyDescent="0.2">
      <c r="A1330" t="s">
        <v>115</v>
      </c>
      <c r="B1330">
        <v>2017</v>
      </c>
      <c r="C1330" t="str">
        <f t="shared" si="20"/>
        <v>PCE2017</v>
      </c>
      <c r="D1330">
        <v>4.6364268883450432E-13</v>
      </c>
      <c r="E1330">
        <v>0.1089003595853467</v>
      </c>
      <c r="F1330">
        <v>0.73762415927200398</v>
      </c>
      <c r="G1330">
        <v>25.993587387044339</v>
      </c>
      <c r="H1330">
        <v>4.0915930182375284</v>
      </c>
      <c r="I1330">
        <v>0.1720088991248285</v>
      </c>
      <c r="J1330">
        <v>-8.4704685188812245E-3</v>
      </c>
      <c r="K1330">
        <v>0.23999338857690619</v>
      </c>
      <c r="L1330">
        <v>9.8687883149046321E-2</v>
      </c>
      <c r="M1330">
        <v>9</v>
      </c>
      <c r="N1330">
        <v>1</v>
      </c>
      <c r="O1330">
        <v>0</v>
      </c>
      <c r="P1330">
        <v>0.88500000000000001</v>
      </c>
      <c r="Q1330">
        <v>5.0000000000000001E-3</v>
      </c>
      <c r="R1330">
        <v>0</v>
      </c>
      <c r="S1330">
        <v>0.75</v>
      </c>
      <c r="T1330">
        <v>0.8</v>
      </c>
      <c r="U1330">
        <v>5</v>
      </c>
      <c r="V1330">
        <v>0</v>
      </c>
      <c r="W1330">
        <v>0</v>
      </c>
      <c r="X1330">
        <v>0</v>
      </c>
      <c r="Y1330">
        <v>0.42330000000000001</v>
      </c>
      <c r="Z1330">
        <v>1</v>
      </c>
    </row>
    <row r="1331" spans="1:26" x14ac:dyDescent="0.2">
      <c r="A1331" t="s">
        <v>115</v>
      </c>
      <c r="B1331">
        <v>2018</v>
      </c>
      <c r="C1331" t="str">
        <f t="shared" si="20"/>
        <v>PCE2018</v>
      </c>
      <c r="D1331">
        <v>7.598266989459962E-14</v>
      </c>
      <c r="E1331">
        <v>8.1855586565525315E-2</v>
      </c>
      <c r="F1331">
        <v>0.76404117185160347</v>
      </c>
      <c r="G1331">
        <v>26.760703941441811</v>
      </c>
      <c r="H1331">
        <v>4.4238342893554163</v>
      </c>
      <c r="I1331">
        <v>0.61123041723892912</v>
      </c>
      <c r="J1331">
        <v>1.153547655082076</v>
      </c>
      <c r="K1331">
        <v>-0.1014272971700599</v>
      </c>
      <c r="L1331">
        <v>3.4727476440281242E-2</v>
      </c>
      <c r="M1331">
        <v>10</v>
      </c>
      <c r="N1331">
        <v>1</v>
      </c>
      <c r="O1331">
        <v>0</v>
      </c>
      <c r="P1331">
        <v>0.88500000000000001</v>
      </c>
      <c r="Q1331">
        <v>2E-3</v>
      </c>
      <c r="R1331">
        <v>0</v>
      </c>
      <c r="S1331">
        <v>0.75</v>
      </c>
      <c r="T1331">
        <v>0.8</v>
      </c>
      <c r="U1331">
        <v>5</v>
      </c>
      <c r="V1331">
        <v>0</v>
      </c>
      <c r="W1331">
        <v>0</v>
      </c>
      <c r="X1331">
        <v>0</v>
      </c>
      <c r="Y1331">
        <v>0.435</v>
      </c>
      <c r="Z1331">
        <v>1</v>
      </c>
    </row>
    <row r="1332" spans="1:26" x14ac:dyDescent="0.2">
      <c r="A1332" t="s">
        <v>115</v>
      </c>
      <c r="B1332">
        <v>2019</v>
      </c>
      <c r="C1332" t="str">
        <f t="shared" si="20"/>
        <v>PCE2019</v>
      </c>
      <c r="D1332">
        <v>3.7562694950033358E-13</v>
      </c>
      <c r="E1332">
        <v>9.5781997861467627E-2</v>
      </c>
      <c r="F1332">
        <v>0.59955058605547151</v>
      </c>
      <c r="G1332">
        <v>26.039283505197091</v>
      </c>
      <c r="H1332">
        <v>1.467452900965553</v>
      </c>
      <c r="I1332">
        <v>0.20165613752907971</v>
      </c>
      <c r="J1332">
        <v>-0.51393865377380843</v>
      </c>
      <c r="K1332">
        <v>5.5288299775096972E-2</v>
      </c>
      <c r="L1332">
        <v>6.2236642840654083E-2</v>
      </c>
      <c r="M1332">
        <v>11</v>
      </c>
      <c r="N1332">
        <v>1</v>
      </c>
      <c r="O1332">
        <v>1</v>
      </c>
      <c r="P1332">
        <v>0.88500000000000001</v>
      </c>
      <c r="Q1332">
        <v>2E-3</v>
      </c>
      <c r="R1332">
        <v>0</v>
      </c>
      <c r="S1332">
        <v>0.75</v>
      </c>
      <c r="T1332">
        <v>0.8</v>
      </c>
      <c r="U1332">
        <v>5</v>
      </c>
      <c r="V1332">
        <v>0</v>
      </c>
      <c r="W1332">
        <v>0</v>
      </c>
      <c r="X1332">
        <v>0</v>
      </c>
      <c r="Y1332">
        <v>0.44500000000000001</v>
      </c>
      <c r="Z1332">
        <v>1</v>
      </c>
    </row>
    <row r="1333" spans="1:26" x14ac:dyDescent="0.2">
      <c r="A1333" t="s">
        <v>115</v>
      </c>
      <c r="B1333">
        <v>2020</v>
      </c>
      <c r="C1333" t="str">
        <f t="shared" si="20"/>
        <v>PCE2020</v>
      </c>
      <c r="D1333">
        <v>3.3184067564047479E-13</v>
      </c>
      <c r="E1333">
        <v>7.9993727407638396E-2</v>
      </c>
      <c r="F1333">
        <v>0.68795515380743544</v>
      </c>
      <c r="G1333">
        <v>26.004469618198129</v>
      </c>
      <c r="H1333">
        <v>3.9757153758767561</v>
      </c>
      <c r="I1333">
        <v>0.18441102729576661</v>
      </c>
      <c r="J1333">
        <v>-3.4214855296216817E-2</v>
      </c>
      <c r="K1333">
        <v>-2.1185865480182819E-2</v>
      </c>
      <c r="L1333">
        <v>5.7709118551509821E-2</v>
      </c>
      <c r="M1333">
        <v>12</v>
      </c>
      <c r="N1333">
        <v>1</v>
      </c>
      <c r="O1333">
        <v>1</v>
      </c>
      <c r="P1333">
        <v>0.88500000000000001</v>
      </c>
      <c r="Q1333">
        <v>2E-3</v>
      </c>
      <c r="R1333">
        <v>0</v>
      </c>
      <c r="S1333">
        <v>0.75</v>
      </c>
      <c r="T1333">
        <v>0.8</v>
      </c>
      <c r="U1333">
        <v>4</v>
      </c>
      <c r="V1333">
        <v>0</v>
      </c>
      <c r="W1333">
        <v>0</v>
      </c>
      <c r="X1333">
        <v>0</v>
      </c>
      <c r="Y1333">
        <v>0.4486</v>
      </c>
      <c r="Z1333">
        <v>1</v>
      </c>
    </row>
    <row r="1334" spans="1:26" x14ac:dyDescent="0.2">
      <c r="A1334" t="s">
        <v>115</v>
      </c>
      <c r="B1334">
        <v>2021</v>
      </c>
      <c r="C1334" t="str">
        <f t="shared" si="20"/>
        <v>PCE2021</v>
      </c>
      <c r="D1334">
        <v>8.1362861097016545E-13</v>
      </c>
      <c r="E1334">
        <v>0.32356852646052059</v>
      </c>
      <c r="F1334">
        <v>1.086546590136751</v>
      </c>
      <c r="G1334">
        <v>26.37364997740416</v>
      </c>
      <c r="H1334">
        <v>4.3849141623504027</v>
      </c>
      <c r="I1334">
        <v>0.2848607845666204</v>
      </c>
      <c r="J1334">
        <v>0.44654847848350848</v>
      </c>
      <c r="K1334">
        <v>-3.0936687150649261E-2</v>
      </c>
      <c r="L1334">
        <v>3.3431309158721889E-2</v>
      </c>
      <c r="M1334">
        <v>13</v>
      </c>
      <c r="N1334">
        <v>1</v>
      </c>
      <c r="O1334">
        <v>0</v>
      </c>
      <c r="P1334">
        <v>0.88500000000000001</v>
      </c>
      <c r="Q1334">
        <v>3.0000000000000001E-3</v>
      </c>
      <c r="R1334">
        <v>0</v>
      </c>
      <c r="S1334">
        <v>0.75</v>
      </c>
      <c r="T1334">
        <v>0.8</v>
      </c>
      <c r="U1334">
        <v>3</v>
      </c>
      <c r="V1334">
        <v>0</v>
      </c>
      <c r="W1334">
        <v>0</v>
      </c>
      <c r="X1334">
        <v>0</v>
      </c>
      <c r="Y1334">
        <v>0.46429999999999999</v>
      </c>
      <c r="Z1334">
        <v>1</v>
      </c>
    </row>
    <row r="1335" spans="1:26" x14ac:dyDescent="0.2">
      <c r="A1335" t="s">
        <v>115</v>
      </c>
      <c r="B1335">
        <v>2022</v>
      </c>
      <c r="C1335" t="str">
        <f t="shared" si="20"/>
        <v>PCE2022</v>
      </c>
      <c r="D1335">
        <v>4.0895848410195001E-13</v>
      </c>
      <c r="E1335">
        <v>0.1481828084534734</v>
      </c>
      <c r="F1335">
        <v>1.1431807325336509</v>
      </c>
      <c r="G1335">
        <v>26.319757037678201</v>
      </c>
      <c r="H1335">
        <v>3.065547940908667</v>
      </c>
      <c r="I1335">
        <v>0.2562848177635097</v>
      </c>
      <c r="J1335">
        <v>-5.2466455727361971E-2</v>
      </c>
      <c r="K1335">
        <v>0.24251628364373501</v>
      </c>
      <c r="L1335">
        <v>2.2879585723723291E-2</v>
      </c>
      <c r="M1335">
        <v>14</v>
      </c>
      <c r="N1335">
        <v>1</v>
      </c>
      <c r="O1335">
        <v>0</v>
      </c>
      <c r="P1335">
        <v>0.88500000000000001</v>
      </c>
      <c r="Q1335">
        <v>0</v>
      </c>
      <c r="R1335">
        <v>0</v>
      </c>
      <c r="S1335">
        <v>0.75</v>
      </c>
      <c r="T1335">
        <v>0.8</v>
      </c>
      <c r="U1335">
        <v>3</v>
      </c>
      <c r="V1335">
        <v>0</v>
      </c>
      <c r="W1335">
        <v>0</v>
      </c>
      <c r="X1335">
        <v>0</v>
      </c>
      <c r="Y1335">
        <v>0.46379999999999999</v>
      </c>
      <c r="Z1335">
        <v>1</v>
      </c>
    </row>
    <row r="1336" spans="1:26" x14ac:dyDescent="0.2">
      <c r="A1336" t="s">
        <v>115</v>
      </c>
      <c r="B1336">
        <v>2023</v>
      </c>
      <c r="C1336" t="str">
        <f t="shared" si="20"/>
        <v>PCE2023</v>
      </c>
      <c r="D1336">
        <v>-136345657384.2373</v>
      </c>
      <c r="E1336">
        <v>9.1799968820510142E-2</v>
      </c>
      <c r="F1336">
        <v>0.80759948668404313</v>
      </c>
      <c r="G1336">
        <v>26.153025326511891</v>
      </c>
      <c r="H1336">
        <v>3.4367481982725372</v>
      </c>
      <c r="I1336">
        <v>0</v>
      </c>
      <c r="J1336">
        <v>-0.15357333229903611</v>
      </c>
      <c r="K1336">
        <v>0.53985450979565275</v>
      </c>
      <c r="L1336">
        <v>3.04480508448867E-2</v>
      </c>
      <c r="M1336">
        <v>15</v>
      </c>
      <c r="N1336">
        <v>0</v>
      </c>
      <c r="O1336">
        <v>0</v>
      </c>
      <c r="P1336">
        <v>0.88500000000000001</v>
      </c>
      <c r="Q1336">
        <v>0</v>
      </c>
      <c r="R1336">
        <v>0</v>
      </c>
      <c r="S1336">
        <v>0.75</v>
      </c>
      <c r="T1336">
        <v>0.8</v>
      </c>
      <c r="U1336">
        <v>3</v>
      </c>
      <c r="V1336">
        <v>0</v>
      </c>
      <c r="W1336">
        <v>0</v>
      </c>
      <c r="X1336">
        <v>0</v>
      </c>
      <c r="Y1336">
        <v>0.46379999999999999</v>
      </c>
      <c r="Z1336">
        <v>1</v>
      </c>
    </row>
    <row r="1337" spans="1:26" x14ac:dyDescent="0.2">
      <c r="A1337" t="s">
        <v>116</v>
      </c>
      <c r="B1337">
        <v>2014</v>
      </c>
      <c r="C1337" t="str">
        <f t="shared" si="20"/>
        <v>PDB2014</v>
      </c>
      <c r="D1337">
        <v>3.942087425683393E-13</v>
      </c>
      <c r="E1337">
        <v>8.8302963158507136E-2</v>
      </c>
      <c r="F1337">
        <v>0.89937406243405571</v>
      </c>
      <c r="G1337">
        <v>25.689264845444569</v>
      </c>
      <c r="H1337" t="e">
        <v>#N/A</v>
      </c>
      <c r="I1337">
        <v>0.35959171640488602</v>
      </c>
      <c r="J1337">
        <v>0</v>
      </c>
      <c r="K1337">
        <v>-1.833910818223318E-2</v>
      </c>
      <c r="L1337">
        <v>0.36939712961704019</v>
      </c>
      <c r="M1337">
        <v>4</v>
      </c>
      <c r="N1337">
        <v>0</v>
      </c>
      <c r="O1337">
        <v>0</v>
      </c>
      <c r="P1337">
        <v>0.21740000000000001</v>
      </c>
      <c r="Q1337">
        <v>9.1700000000000004E-2</v>
      </c>
      <c r="R1337">
        <v>0</v>
      </c>
      <c r="S1337">
        <v>0</v>
      </c>
      <c r="T1337">
        <v>0.21740000000000001</v>
      </c>
      <c r="U1337">
        <v>5</v>
      </c>
      <c r="V1337">
        <v>0</v>
      </c>
      <c r="W1337">
        <v>0.4</v>
      </c>
      <c r="X1337">
        <v>1</v>
      </c>
      <c r="Y1337">
        <v>0.41</v>
      </c>
      <c r="Z1337">
        <v>1</v>
      </c>
    </row>
    <row r="1338" spans="1:26" x14ac:dyDescent="0.2">
      <c r="A1338" t="s">
        <v>116</v>
      </c>
      <c r="B1338">
        <v>2015</v>
      </c>
      <c r="C1338" t="str">
        <f t="shared" si="20"/>
        <v>PDB2015</v>
      </c>
      <c r="D1338">
        <v>9.1940378036779659E-13</v>
      </c>
      <c r="E1338">
        <v>0.2634856412625961</v>
      </c>
      <c r="F1338">
        <v>1.2871906895763541</v>
      </c>
      <c r="G1338">
        <v>25.91213817192488</v>
      </c>
      <c r="H1338">
        <v>1.6622694851377979</v>
      </c>
      <c r="I1338">
        <v>0.37447027173202818</v>
      </c>
      <c r="J1338">
        <v>0.24966226459192581</v>
      </c>
      <c r="K1338">
        <v>0.21847833535489619</v>
      </c>
      <c r="L1338">
        <v>0.33133697282697022</v>
      </c>
      <c r="M1338">
        <v>5</v>
      </c>
      <c r="N1338">
        <v>0</v>
      </c>
      <c r="O1338">
        <v>0</v>
      </c>
      <c r="P1338">
        <v>0.21740000000000001</v>
      </c>
      <c r="Q1338">
        <v>9.1700000000000004E-2</v>
      </c>
      <c r="R1338">
        <v>0</v>
      </c>
      <c r="S1338">
        <v>0</v>
      </c>
      <c r="T1338">
        <v>0.21740000000000001</v>
      </c>
      <c r="U1338">
        <v>5</v>
      </c>
      <c r="V1338">
        <v>0</v>
      </c>
      <c r="W1338">
        <v>0.4</v>
      </c>
      <c r="X1338">
        <v>1</v>
      </c>
      <c r="Y1338">
        <v>0.42</v>
      </c>
      <c r="Z1338">
        <v>1</v>
      </c>
    </row>
    <row r="1339" spans="1:26" x14ac:dyDescent="0.2">
      <c r="A1339" t="s">
        <v>116</v>
      </c>
      <c r="B1339">
        <v>2016</v>
      </c>
      <c r="C1339" t="str">
        <f t="shared" si="20"/>
        <v>PDB2016</v>
      </c>
      <c r="D1339">
        <v>5.7680519710629169E-13</v>
      </c>
      <c r="E1339">
        <v>0.24077930399858161</v>
      </c>
      <c r="F1339">
        <v>1.1807406656778621</v>
      </c>
      <c r="G1339">
        <v>26.139568516238111</v>
      </c>
      <c r="H1339">
        <v>2.0040409406726059</v>
      </c>
      <c r="I1339">
        <v>0.46088629045192703</v>
      </c>
      <c r="J1339">
        <v>0.2553699930495712</v>
      </c>
      <c r="K1339">
        <v>4.811045635937615E-2</v>
      </c>
      <c r="L1339">
        <v>0.34488099696264468</v>
      </c>
      <c r="M1339">
        <v>6</v>
      </c>
      <c r="N1339">
        <v>0</v>
      </c>
      <c r="O1339">
        <v>0</v>
      </c>
      <c r="P1339">
        <v>0.3196</v>
      </c>
      <c r="Q1339">
        <v>0.1782</v>
      </c>
      <c r="R1339">
        <v>0</v>
      </c>
      <c r="S1339">
        <v>0</v>
      </c>
      <c r="T1339">
        <v>0.21740000000000001</v>
      </c>
      <c r="U1339">
        <v>5</v>
      </c>
      <c r="V1339">
        <v>0</v>
      </c>
      <c r="W1339">
        <v>0.4</v>
      </c>
      <c r="X1339">
        <v>1</v>
      </c>
      <c r="Y1339">
        <v>0.42499999999999999</v>
      </c>
      <c r="Z1339">
        <v>1</v>
      </c>
    </row>
    <row r="1340" spans="1:26" x14ac:dyDescent="0.2">
      <c r="A1340" t="s">
        <v>116</v>
      </c>
      <c r="B1340">
        <v>2017</v>
      </c>
      <c r="C1340" t="str">
        <f t="shared" si="20"/>
        <v>PDB2017</v>
      </c>
      <c r="D1340">
        <v>2.1960805177304821E-13</v>
      </c>
      <c r="E1340">
        <v>0.1235922679700811</v>
      </c>
      <c r="F1340">
        <v>0.90845864892328865</v>
      </c>
      <c r="G1340">
        <v>26.31924386788025</v>
      </c>
      <c r="H1340">
        <v>1.8368717192744719</v>
      </c>
      <c r="I1340">
        <v>0.5214147196596115</v>
      </c>
      <c r="J1340">
        <v>0.19682875155533569</v>
      </c>
      <c r="K1340">
        <v>1.308832331376826E-2</v>
      </c>
      <c r="L1340">
        <v>0.36056662097858122</v>
      </c>
      <c r="M1340">
        <v>7</v>
      </c>
      <c r="N1340">
        <v>0</v>
      </c>
      <c r="O1340">
        <v>0</v>
      </c>
      <c r="P1340">
        <v>0.38990000000000002</v>
      </c>
      <c r="Q1340">
        <v>0.1782</v>
      </c>
      <c r="R1340">
        <v>7.0300000000000001E-2</v>
      </c>
      <c r="S1340">
        <v>0</v>
      </c>
      <c r="T1340">
        <v>0.21740000000000001</v>
      </c>
      <c r="U1340">
        <v>5</v>
      </c>
      <c r="V1340">
        <v>0</v>
      </c>
      <c r="W1340">
        <v>0.4</v>
      </c>
      <c r="X1340">
        <v>1</v>
      </c>
      <c r="Y1340">
        <v>0.435</v>
      </c>
      <c r="Z1340">
        <v>1</v>
      </c>
    </row>
    <row r="1341" spans="1:26" x14ac:dyDescent="0.2">
      <c r="A1341" t="s">
        <v>116</v>
      </c>
      <c r="B1341">
        <v>2018</v>
      </c>
      <c r="C1341" t="str">
        <f t="shared" si="20"/>
        <v>PDB2018</v>
      </c>
      <c r="D1341">
        <v>2.3861203381915219E-13</v>
      </c>
      <c r="E1341">
        <v>0.1349410087576659</v>
      </c>
      <c r="F1341">
        <v>0.8272041314480405</v>
      </c>
      <c r="G1341">
        <v>26.34905059391458</v>
      </c>
      <c r="H1341">
        <v>1.5996952411375009</v>
      </c>
      <c r="I1341">
        <v>0.50932303948783297</v>
      </c>
      <c r="J1341">
        <v>3.0255393164290378E-2</v>
      </c>
      <c r="K1341">
        <v>0.1061007304988078</v>
      </c>
      <c r="L1341">
        <v>0.29100185332552803</v>
      </c>
      <c r="M1341">
        <v>8</v>
      </c>
      <c r="N1341">
        <v>0</v>
      </c>
      <c r="O1341">
        <v>0</v>
      </c>
      <c r="P1341">
        <v>0.3196</v>
      </c>
      <c r="Q1341">
        <v>0.1782</v>
      </c>
      <c r="R1341">
        <v>0</v>
      </c>
      <c r="S1341">
        <v>0</v>
      </c>
      <c r="T1341">
        <v>0.21740000000000001</v>
      </c>
      <c r="U1341">
        <v>5</v>
      </c>
      <c r="V1341">
        <v>0</v>
      </c>
      <c r="W1341">
        <v>0.4</v>
      </c>
      <c r="X1341">
        <v>1</v>
      </c>
      <c r="Y1341">
        <v>0.44500000000000001</v>
      </c>
      <c r="Z1341">
        <v>1</v>
      </c>
    </row>
    <row r="1342" spans="1:26" x14ac:dyDescent="0.2">
      <c r="A1342" t="s">
        <v>116</v>
      </c>
      <c r="B1342">
        <v>2019</v>
      </c>
      <c r="C1342" t="str">
        <f t="shared" si="20"/>
        <v>PDB2019</v>
      </c>
      <c r="D1342">
        <v>2.5057722835376511E-13</v>
      </c>
      <c r="E1342">
        <v>0.144674140138321</v>
      </c>
      <c r="F1342">
        <v>0.791953362920642</v>
      </c>
      <c r="G1342">
        <v>26.394042865779991</v>
      </c>
      <c r="H1342">
        <v>1.632193306765402</v>
      </c>
      <c r="I1342">
        <v>0.49726645676263748</v>
      </c>
      <c r="J1342">
        <v>4.6019776095858278E-2</v>
      </c>
      <c r="K1342">
        <v>0.1407047124940497</v>
      </c>
      <c r="L1342">
        <v>0.28375939940811901</v>
      </c>
      <c r="M1342">
        <v>9</v>
      </c>
      <c r="N1342">
        <v>0</v>
      </c>
      <c r="O1342">
        <v>1</v>
      </c>
      <c r="P1342">
        <v>0.3196</v>
      </c>
      <c r="Q1342">
        <v>0.1782</v>
      </c>
      <c r="R1342">
        <v>0</v>
      </c>
      <c r="S1342">
        <v>0</v>
      </c>
      <c r="T1342">
        <v>0.21740000000000001</v>
      </c>
      <c r="U1342">
        <v>5</v>
      </c>
      <c r="V1342">
        <v>0</v>
      </c>
      <c r="W1342">
        <v>0.4</v>
      </c>
      <c r="X1342">
        <v>1</v>
      </c>
      <c r="Y1342">
        <v>0.45500000000000002</v>
      </c>
      <c r="Z1342">
        <v>1</v>
      </c>
    </row>
    <row r="1343" spans="1:26" x14ac:dyDescent="0.2">
      <c r="A1343" t="s">
        <v>116</v>
      </c>
      <c r="B1343">
        <v>2020</v>
      </c>
      <c r="C1343" t="str">
        <f t="shared" si="20"/>
        <v>PDB2020</v>
      </c>
      <c r="D1343">
        <v>6.1020912619737951E-14</v>
      </c>
      <c r="E1343">
        <v>2.7099966660325141E-2</v>
      </c>
      <c r="F1343">
        <v>0.71259896226651909</v>
      </c>
      <c r="G1343">
        <v>26.234803896377041</v>
      </c>
      <c r="H1343">
        <v>1.6552616541725229</v>
      </c>
      <c r="I1343">
        <v>0.44263395466088851</v>
      </c>
      <c r="J1343">
        <v>-0.1472074567076623</v>
      </c>
      <c r="K1343">
        <v>0.19205005369073239</v>
      </c>
      <c r="L1343">
        <v>0.32719180810452769</v>
      </c>
      <c r="M1343">
        <v>10</v>
      </c>
      <c r="N1343">
        <v>0</v>
      </c>
      <c r="O1343">
        <v>1</v>
      </c>
      <c r="P1343">
        <v>0.39250000000000002</v>
      </c>
      <c r="Q1343">
        <v>0.18240000000000001</v>
      </c>
      <c r="R1343">
        <v>6.8699999999999997E-2</v>
      </c>
      <c r="S1343">
        <v>0</v>
      </c>
      <c r="T1343">
        <v>0.21740000000000001</v>
      </c>
      <c r="U1343">
        <v>5</v>
      </c>
      <c r="V1343">
        <v>0</v>
      </c>
      <c r="W1343">
        <v>0.4</v>
      </c>
      <c r="X1343">
        <v>1</v>
      </c>
      <c r="Y1343">
        <v>0.46500000000000002</v>
      </c>
      <c r="Z1343">
        <v>1</v>
      </c>
    </row>
    <row r="1344" spans="1:26" x14ac:dyDescent="0.2">
      <c r="A1344" t="s">
        <v>116</v>
      </c>
      <c r="B1344">
        <v>2021</v>
      </c>
      <c r="C1344" t="str">
        <f t="shared" si="20"/>
        <v>PDB2021</v>
      </c>
      <c r="D1344">
        <v>4.219267188066371E-14</v>
      </c>
      <c r="E1344">
        <v>1.527212990152387E-2</v>
      </c>
      <c r="F1344">
        <v>1.363799836237219</v>
      </c>
      <c r="G1344">
        <v>26.127306443984171</v>
      </c>
      <c r="H1344">
        <v>1.621623271673597</v>
      </c>
      <c r="I1344">
        <v>0.38583871756219928</v>
      </c>
      <c r="J1344">
        <v>-0.1019211896001324</v>
      </c>
      <c r="K1344">
        <v>3.6791949410696717E-2</v>
      </c>
      <c r="L1344">
        <v>0.29643006622015539</v>
      </c>
      <c r="M1344">
        <v>11</v>
      </c>
      <c r="N1344">
        <v>0</v>
      </c>
      <c r="O1344">
        <v>0</v>
      </c>
      <c r="P1344">
        <v>0.41049999999999998</v>
      </c>
      <c r="Q1344">
        <v>0.21049999999999999</v>
      </c>
      <c r="R1344">
        <v>0</v>
      </c>
      <c r="S1344">
        <v>0</v>
      </c>
      <c r="T1344">
        <v>0.21740000000000001</v>
      </c>
      <c r="U1344">
        <v>5</v>
      </c>
      <c r="V1344">
        <v>0</v>
      </c>
      <c r="W1344">
        <v>0.4</v>
      </c>
      <c r="X1344">
        <v>1</v>
      </c>
      <c r="Y1344">
        <v>0.47089999999999999</v>
      </c>
      <c r="Z1344">
        <v>1</v>
      </c>
    </row>
    <row r="1345" spans="1:26" x14ac:dyDescent="0.2">
      <c r="A1345" t="s">
        <v>116</v>
      </c>
      <c r="B1345">
        <v>2022</v>
      </c>
      <c r="C1345" t="str">
        <f t="shared" si="20"/>
        <v>PDB2022</v>
      </c>
      <c r="D1345">
        <v>8.3721970357135874E-15</v>
      </c>
      <c r="E1345">
        <v>3.2432108002008759E-3</v>
      </c>
      <c r="F1345">
        <v>0.83423572544340585</v>
      </c>
      <c r="G1345">
        <v>26.12803877380701</v>
      </c>
      <c r="H1345">
        <v>1.723423486377667</v>
      </c>
      <c r="I1345">
        <v>0.42571519487900111</v>
      </c>
      <c r="J1345">
        <v>7.325980417989264E-4</v>
      </c>
      <c r="K1345">
        <v>7.5938170036877986E-2</v>
      </c>
      <c r="L1345">
        <v>0.25761785983400393</v>
      </c>
      <c r="M1345">
        <v>12</v>
      </c>
      <c r="N1345">
        <v>0</v>
      </c>
      <c r="O1345">
        <v>0</v>
      </c>
      <c r="P1345">
        <v>0.43290000000000001</v>
      </c>
      <c r="Q1345">
        <v>0.22770000000000001</v>
      </c>
      <c r="R1345">
        <v>0</v>
      </c>
      <c r="S1345">
        <v>0</v>
      </c>
      <c r="T1345">
        <v>0.21740000000000001</v>
      </c>
      <c r="U1345">
        <v>5</v>
      </c>
      <c r="V1345">
        <v>0</v>
      </c>
      <c r="W1345">
        <v>0.2</v>
      </c>
      <c r="X1345">
        <v>1</v>
      </c>
      <c r="Y1345">
        <v>0.46729999999999999</v>
      </c>
      <c r="Z1345">
        <v>1</v>
      </c>
    </row>
    <row r="1346" spans="1:26" x14ac:dyDescent="0.2">
      <c r="A1346" t="s">
        <v>116</v>
      </c>
      <c r="B1346">
        <v>2023</v>
      </c>
      <c r="C1346" t="str">
        <f t="shared" si="20"/>
        <v>PDB2023</v>
      </c>
      <c r="D1346">
        <v>-602790038105.96497</v>
      </c>
      <c r="E1346">
        <v>1.264048856598966E-2</v>
      </c>
      <c r="F1346">
        <v>0.44612868432469888</v>
      </c>
      <c r="G1346">
        <v>26.123891100234989</v>
      </c>
      <c r="H1346">
        <v>1.6240377012792719</v>
      </c>
      <c r="I1346">
        <v>0.1090677486430245</v>
      </c>
      <c r="J1346">
        <v>-4.1390838538731822E-3</v>
      </c>
      <c r="K1346">
        <v>8.8770460648526714E-2</v>
      </c>
      <c r="L1346">
        <v>0.19874591353528409</v>
      </c>
      <c r="M1346">
        <v>13</v>
      </c>
      <c r="N1346">
        <v>0</v>
      </c>
      <c r="O1346">
        <v>0</v>
      </c>
      <c r="P1346">
        <v>0.43290000000000001</v>
      </c>
      <c r="Q1346">
        <v>0.22770000000000001</v>
      </c>
      <c r="R1346">
        <v>0</v>
      </c>
      <c r="S1346">
        <v>0</v>
      </c>
      <c r="T1346">
        <v>0.21740000000000001</v>
      </c>
      <c r="U1346">
        <v>5</v>
      </c>
      <c r="V1346">
        <v>0</v>
      </c>
      <c r="W1346">
        <v>0.2</v>
      </c>
      <c r="X1346">
        <v>1</v>
      </c>
      <c r="Y1346">
        <v>0.46729999999999999</v>
      </c>
      <c r="Z1346">
        <v>1</v>
      </c>
    </row>
    <row r="1347" spans="1:26" x14ac:dyDescent="0.2">
      <c r="A1347" t="s">
        <v>117</v>
      </c>
      <c r="B1347">
        <v>2014</v>
      </c>
      <c r="C1347" t="str">
        <f t="shared" ref="C1347:C1410" si="21">A1347&amp;B1347</f>
        <v>PHN2014</v>
      </c>
      <c r="D1347">
        <v>1.201119774209642E-12</v>
      </c>
      <c r="E1347">
        <v>0.1900891693949838</v>
      </c>
      <c r="F1347">
        <v>2.0731010132212511</v>
      </c>
      <c r="G1347">
        <v>25.49241307119075</v>
      </c>
      <c r="H1347" t="e">
        <v>#N/A</v>
      </c>
      <c r="I1347">
        <v>0.25553673772002528</v>
      </c>
      <c r="J1347">
        <v>0</v>
      </c>
      <c r="K1347">
        <v>6.3932564936900527E-2</v>
      </c>
      <c r="L1347">
        <v>0.14241548422582809</v>
      </c>
      <c r="M1347">
        <v>10</v>
      </c>
      <c r="N1347">
        <v>0</v>
      </c>
      <c r="O1347">
        <v>0</v>
      </c>
      <c r="P1347">
        <v>0.56019999999999992</v>
      </c>
      <c r="Q1347">
        <v>7.6499999999999999E-2</v>
      </c>
      <c r="R1347">
        <v>0.3</v>
      </c>
      <c r="S1347">
        <v>0.21</v>
      </c>
      <c r="T1347">
        <v>0.51</v>
      </c>
      <c r="U1347">
        <v>7</v>
      </c>
      <c r="V1347">
        <v>1</v>
      </c>
      <c r="W1347">
        <v>0.14285714285714279</v>
      </c>
      <c r="X1347">
        <v>0</v>
      </c>
      <c r="Y1347">
        <v>0.53100000000000003</v>
      </c>
      <c r="Z1347">
        <v>1</v>
      </c>
    </row>
    <row r="1348" spans="1:26" x14ac:dyDescent="0.2">
      <c r="A1348" t="s">
        <v>117</v>
      </c>
      <c r="B1348">
        <v>2015</v>
      </c>
      <c r="C1348" t="str">
        <f t="shared" si="21"/>
        <v>PHN2015</v>
      </c>
      <c r="D1348">
        <v>8.6493054531307928E-13</v>
      </c>
      <c r="E1348">
        <v>0.1364018670210953</v>
      </c>
      <c r="F1348">
        <v>1.9267689323272039</v>
      </c>
      <c r="G1348">
        <v>25.523127520920909</v>
      </c>
      <c r="H1348">
        <v>2.6327547629062429</v>
      </c>
      <c r="I1348">
        <v>0.2296033900535259</v>
      </c>
      <c r="J1348">
        <v>3.7973240216344413E-2</v>
      </c>
      <c r="K1348">
        <v>0.1589989622869856</v>
      </c>
      <c r="L1348">
        <v>0.1105017780902752</v>
      </c>
      <c r="M1348">
        <v>11</v>
      </c>
      <c r="N1348">
        <v>0</v>
      </c>
      <c r="O1348">
        <v>0</v>
      </c>
      <c r="P1348">
        <v>0.56019999999999992</v>
      </c>
      <c r="Q1348">
        <v>7.6799999999999993E-2</v>
      </c>
      <c r="R1348">
        <v>0.3</v>
      </c>
      <c r="S1348">
        <v>0.21</v>
      </c>
      <c r="T1348">
        <v>0.51</v>
      </c>
      <c r="U1348">
        <v>7</v>
      </c>
      <c r="V1348">
        <v>1</v>
      </c>
      <c r="W1348">
        <v>0.14285714285714279</v>
      </c>
      <c r="X1348">
        <v>0</v>
      </c>
      <c r="Y1348">
        <v>0.54100000000000004</v>
      </c>
      <c r="Z1348">
        <v>1</v>
      </c>
    </row>
    <row r="1349" spans="1:26" x14ac:dyDescent="0.2">
      <c r="A1349" t="s">
        <v>117</v>
      </c>
      <c r="B1349">
        <v>2016</v>
      </c>
      <c r="C1349" t="str">
        <f t="shared" si="21"/>
        <v>PHN2016</v>
      </c>
      <c r="D1349">
        <v>1.0225880588536399E-12</v>
      </c>
      <c r="E1349">
        <v>0.19801007333900689</v>
      </c>
      <c r="F1349">
        <v>1.598378529604213</v>
      </c>
      <c r="G1349">
        <v>25.61298951399781</v>
      </c>
      <c r="H1349">
        <v>3.0399375255279799</v>
      </c>
      <c r="I1349">
        <v>0.31357444528838357</v>
      </c>
      <c r="J1349">
        <v>8.6874817848101138E-2</v>
      </c>
      <c r="K1349">
        <v>0.14629004157239281</v>
      </c>
      <c r="L1349">
        <v>0.1574692327327249</v>
      </c>
      <c r="M1349">
        <v>12</v>
      </c>
      <c r="N1349">
        <v>0</v>
      </c>
      <c r="O1349">
        <v>0</v>
      </c>
      <c r="P1349">
        <v>0.56019999999999992</v>
      </c>
      <c r="Q1349">
        <v>7.6799999999999993E-2</v>
      </c>
      <c r="R1349">
        <v>0.3</v>
      </c>
      <c r="S1349">
        <v>0.21</v>
      </c>
      <c r="T1349">
        <v>0.51</v>
      </c>
      <c r="U1349">
        <v>8</v>
      </c>
      <c r="V1349">
        <v>1</v>
      </c>
      <c r="W1349">
        <v>0.125</v>
      </c>
      <c r="X1349">
        <v>0</v>
      </c>
      <c r="Y1349">
        <v>0.5464</v>
      </c>
      <c r="Z1349">
        <v>1</v>
      </c>
    </row>
    <row r="1350" spans="1:26" x14ac:dyDescent="0.2">
      <c r="A1350" t="s">
        <v>117</v>
      </c>
      <c r="B1350">
        <v>2017</v>
      </c>
      <c r="C1350" t="str">
        <f t="shared" si="21"/>
        <v>PHN2017</v>
      </c>
      <c r="D1350">
        <v>9.9454986207284013E-13</v>
      </c>
      <c r="E1350">
        <v>0.20027792911048869</v>
      </c>
      <c r="F1350">
        <v>1.620090468748886</v>
      </c>
      <c r="G1350">
        <v>25.695906000999759</v>
      </c>
      <c r="H1350">
        <v>2.0131767306482131</v>
      </c>
      <c r="I1350">
        <v>0.28289350978808742</v>
      </c>
      <c r="J1350">
        <v>8.6451071973194585E-2</v>
      </c>
      <c r="K1350">
        <v>0.14826564246161469</v>
      </c>
      <c r="L1350">
        <v>0.122827614042193</v>
      </c>
      <c r="M1350">
        <v>13</v>
      </c>
      <c r="N1350">
        <v>0</v>
      </c>
      <c r="O1350">
        <v>0</v>
      </c>
      <c r="P1350">
        <v>0.56019999999999992</v>
      </c>
      <c r="Q1350">
        <v>7.8399999999999997E-2</v>
      </c>
      <c r="R1350">
        <v>0.3</v>
      </c>
      <c r="S1350">
        <v>0.21</v>
      </c>
      <c r="T1350">
        <v>0.51</v>
      </c>
      <c r="U1350">
        <v>8</v>
      </c>
      <c r="V1350">
        <v>1</v>
      </c>
      <c r="W1350">
        <v>0.125</v>
      </c>
      <c r="X1350">
        <v>0</v>
      </c>
      <c r="Y1350">
        <v>0.53639999999999999</v>
      </c>
      <c r="Z1350">
        <v>1</v>
      </c>
    </row>
    <row r="1351" spans="1:26" x14ac:dyDescent="0.2">
      <c r="A1351" t="s">
        <v>117</v>
      </c>
      <c r="B1351">
        <v>2018</v>
      </c>
      <c r="C1351" t="str">
        <f t="shared" si="21"/>
        <v>PHN2018</v>
      </c>
      <c r="D1351">
        <v>8.3997712042317855E-13</v>
      </c>
      <c r="E1351">
        <v>0.17803113573953119</v>
      </c>
      <c r="F1351">
        <v>2.0797216950998019</v>
      </c>
      <c r="G1351">
        <v>25.720321767016511</v>
      </c>
      <c r="H1351">
        <v>2.4103537842151841</v>
      </c>
      <c r="I1351">
        <v>0.30182336529532833</v>
      </c>
      <c r="J1351">
        <v>2.4716271538478551E-2</v>
      </c>
      <c r="K1351">
        <v>0.13793872938096041</v>
      </c>
      <c r="L1351">
        <v>0.16080751309971231</v>
      </c>
      <c r="M1351">
        <v>14</v>
      </c>
      <c r="N1351">
        <v>0</v>
      </c>
      <c r="O1351">
        <v>0</v>
      </c>
      <c r="P1351">
        <v>0.56019999999999992</v>
      </c>
      <c r="Q1351">
        <v>6.0999999999999999E-2</v>
      </c>
      <c r="R1351">
        <v>0.3</v>
      </c>
      <c r="S1351">
        <v>0.21</v>
      </c>
      <c r="T1351">
        <v>0.51</v>
      </c>
      <c r="U1351">
        <v>5</v>
      </c>
      <c r="V1351">
        <v>1</v>
      </c>
      <c r="W1351">
        <v>0.2</v>
      </c>
      <c r="X1351">
        <v>0</v>
      </c>
      <c r="Y1351">
        <v>0.53100000000000003</v>
      </c>
      <c r="Z1351">
        <v>1</v>
      </c>
    </row>
    <row r="1352" spans="1:26" x14ac:dyDescent="0.2">
      <c r="A1352" t="s">
        <v>117</v>
      </c>
      <c r="B1352">
        <v>2019</v>
      </c>
      <c r="C1352" t="str">
        <f t="shared" si="21"/>
        <v>PHN2019</v>
      </c>
      <c r="D1352">
        <v>1.139056499701804E-12</v>
      </c>
      <c r="E1352">
        <v>0.21353898131498961</v>
      </c>
      <c r="F1352">
        <v>1.59010995782353</v>
      </c>
      <c r="G1352">
        <v>25.63159886099567</v>
      </c>
      <c r="H1352">
        <v>2.157915832401244</v>
      </c>
      <c r="I1352">
        <v>0.27767932199577661</v>
      </c>
      <c r="J1352">
        <v>-8.490089310059401E-2</v>
      </c>
      <c r="K1352">
        <v>0.28921209751874838</v>
      </c>
      <c r="L1352">
        <v>0.16473967116225191</v>
      </c>
      <c r="M1352">
        <v>15</v>
      </c>
      <c r="N1352">
        <v>0</v>
      </c>
      <c r="O1352">
        <v>1</v>
      </c>
      <c r="P1352">
        <v>0.54020000000000001</v>
      </c>
      <c r="Q1352">
        <v>7.1500000000000008E-2</v>
      </c>
      <c r="R1352">
        <v>0.49</v>
      </c>
      <c r="S1352">
        <v>0</v>
      </c>
      <c r="T1352">
        <v>0.49</v>
      </c>
      <c r="U1352">
        <v>7</v>
      </c>
      <c r="V1352">
        <v>1</v>
      </c>
      <c r="W1352">
        <v>0.14285714285714279</v>
      </c>
      <c r="X1352">
        <v>0</v>
      </c>
      <c r="Y1352">
        <v>0.55200000000000005</v>
      </c>
      <c r="Z1352">
        <v>1</v>
      </c>
    </row>
    <row r="1353" spans="1:26" x14ac:dyDescent="0.2">
      <c r="A1353" t="s">
        <v>117</v>
      </c>
      <c r="B1353">
        <v>2020</v>
      </c>
      <c r="C1353" t="str">
        <f t="shared" si="21"/>
        <v>PHN2020</v>
      </c>
      <c r="D1353">
        <v>2.1605820938816739E-12</v>
      </c>
      <c r="E1353">
        <v>0.34206101418782159</v>
      </c>
      <c r="F1353">
        <v>1.6117095789384059</v>
      </c>
      <c r="G1353">
        <v>25.62729199925473</v>
      </c>
      <c r="H1353">
        <v>2.41553488073543</v>
      </c>
      <c r="I1353">
        <v>0.1483548160038326</v>
      </c>
      <c r="J1353">
        <v>-4.2976005122996597E-3</v>
      </c>
      <c r="K1353">
        <v>0.35922793555213373</v>
      </c>
      <c r="L1353">
        <v>0.1396781986372633</v>
      </c>
      <c r="M1353">
        <v>16</v>
      </c>
      <c r="N1353">
        <v>0</v>
      </c>
      <c r="O1353">
        <v>1</v>
      </c>
      <c r="P1353">
        <v>0.54020000000000001</v>
      </c>
      <c r="Q1353">
        <v>7.1500000000000008E-2</v>
      </c>
      <c r="R1353">
        <v>0.49</v>
      </c>
      <c r="S1353">
        <v>0</v>
      </c>
      <c r="T1353">
        <v>0.49</v>
      </c>
      <c r="U1353">
        <v>7</v>
      </c>
      <c r="V1353">
        <v>0</v>
      </c>
      <c r="W1353">
        <v>0.14285714285714279</v>
      </c>
      <c r="X1353">
        <v>0</v>
      </c>
      <c r="Y1353">
        <v>0.5464</v>
      </c>
      <c r="Z1353">
        <v>1</v>
      </c>
    </row>
    <row r="1354" spans="1:26" x14ac:dyDescent="0.2">
      <c r="A1354" t="s">
        <v>117</v>
      </c>
      <c r="B1354">
        <v>2021</v>
      </c>
      <c r="C1354" t="str">
        <f t="shared" si="21"/>
        <v>PHN2021</v>
      </c>
      <c r="D1354">
        <v>1.051381731317549E-12</v>
      </c>
      <c r="E1354">
        <v>0.27527906336278662</v>
      </c>
      <c r="F1354">
        <v>2.0689630870471571</v>
      </c>
      <c r="G1354">
        <v>25.8596360630177</v>
      </c>
      <c r="H1354">
        <v>4.8284729011960126</v>
      </c>
      <c r="I1354">
        <v>0.35034244881112647</v>
      </c>
      <c r="J1354">
        <v>0.26155370908194642</v>
      </c>
      <c r="K1354">
        <v>4.3893017031084933E-2</v>
      </c>
      <c r="L1354">
        <v>9.7567369155820732E-2</v>
      </c>
      <c r="M1354">
        <v>17</v>
      </c>
      <c r="N1354">
        <v>0</v>
      </c>
      <c r="O1354">
        <v>0</v>
      </c>
      <c r="P1354">
        <v>0.5956999999999999</v>
      </c>
      <c r="Q1354">
        <v>7.1500000000000008E-2</v>
      </c>
      <c r="R1354">
        <v>0.49</v>
      </c>
      <c r="S1354">
        <v>0</v>
      </c>
      <c r="T1354">
        <v>0.49</v>
      </c>
      <c r="U1354">
        <v>7</v>
      </c>
      <c r="V1354">
        <v>0</v>
      </c>
      <c r="W1354">
        <v>0.14285714285714279</v>
      </c>
      <c r="X1354">
        <v>0</v>
      </c>
      <c r="Y1354">
        <v>0.55640000000000001</v>
      </c>
      <c r="Z1354">
        <v>1</v>
      </c>
    </row>
    <row r="1355" spans="1:26" x14ac:dyDescent="0.2">
      <c r="A1355" t="s">
        <v>117</v>
      </c>
      <c r="B1355">
        <v>2022</v>
      </c>
      <c r="C1355" t="str">
        <f t="shared" si="21"/>
        <v>PHN2022</v>
      </c>
      <c r="D1355">
        <v>1.698400395435061E-12</v>
      </c>
      <c r="E1355">
        <v>0.292937603918142</v>
      </c>
      <c r="F1355">
        <v>1.922923086154894</v>
      </c>
      <c r="G1355">
        <v>25.714179653133389</v>
      </c>
      <c r="H1355">
        <v>2.2509399845714282</v>
      </c>
      <c r="I1355">
        <v>0.14730976913350349</v>
      </c>
      <c r="J1355">
        <v>-0.13537242153130069</v>
      </c>
      <c r="K1355">
        <v>0.40733719384961842</v>
      </c>
      <c r="L1355">
        <v>7.9577711030313455E-2</v>
      </c>
      <c r="M1355">
        <v>18</v>
      </c>
      <c r="N1355">
        <v>0</v>
      </c>
      <c r="O1355">
        <v>0</v>
      </c>
      <c r="P1355">
        <v>0.59829999999999994</v>
      </c>
      <c r="Q1355">
        <v>6.9900000000000004E-2</v>
      </c>
      <c r="R1355">
        <v>0.49</v>
      </c>
      <c r="S1355">
        <v>0</v>
      </c>
      <c r="T1355">
        <v>0.49</v>
      </c>
      <c r="U1355">
        <v>7</v>
      </c>
      <c r="V1355">
        <v>0</v>
      </c>
      <c r="W1355">
        <v>0.14285714285714279</v>
      </c>
      <c r="X1355">
        <v>0</v>
      </c>
      <c r="Y1355">
        <v>0.56600000000000006</v>
      </c>
      <c r="Z1355">
        <v>1</v>
      </c>
    </row>
    <row r="1356" spans="1:26" x14ac:dyDescent="0.2">
      <c r="A1356" t="s">
        <v>117</v>
      </c>
      <c r="B1356">
        <v>2023</v>
      </c>
      <c r="C1356" t="str">
        <f t="shared" si="21"/>
        <v>PHN2023</v>
      </c>
      <c r="D1356">
        <v>-9139611438658.8262</v>
      </c>
      <c r="E1356">
        <v>0.29438252970548517</v>
      </c>
      <c r="F1356">
        <v>1.807425615950812</v>
      </c>
      <c r="G1356">
        <v>25.878743582685971</v>
      </c>
      <c r="H1356">
        <v>5.3001087888031426</v>
      </c>
      <c r="I1356">
        <v>0</v>
      </c>
      <c r="J1356">
        <v>0.17887893234531621</v>
      </c>
      <c r="K1356">
        <v>0.27458733649697897</v>
      </c>
      <c r="L1356">
        <v>5.9913771504793989E-2</v>
      </c>
      <c r="M1356">
        <v>19</v>
      </c>
      <c r="N1356">
        <v>0</v>
      </c>
      <c r="O1356">
        <v>0</v>
      </c>
      <c r="P1356">
        <v>0.59829999999999994</v>
      </c>
      <c r="Q1356">
        <v>6.9900000000000004E-2</v>
      </c>
      <c r="R1356">
        <v>0.49</v>
      </c>
      <c r="S1356">
        <v>0</v>
      </c>
      <c r="T1356">
        <v>0.49</v>
      </c>
      <c r="U1356">
        <v>7</v>
      </c>
      <c r="V1356">
        <v>0</v>
      </c>
      <c r="W1356">
        <v>0.14285714285714279</v>
      </c>
      <c r="X1356">
        <v>0</v>
      </c>
      <c r="Y1356">
        <v>0.56600000000000006</v>
      </c>
      <c r="Z1356">
        <v>1</v>
      </c>
    </row>
    <row r="1357" spans="1:26" x14ac:dyDescent="0.2">
      <c r="A1357" t="s">
        <v>118</v>
      </c>
      <c r="B1357">
        <v>2012</v>
      </c>
      <c r="C1357" t="str">
        <f t="shared" si="21"/>
        <v>PHR2012</v>
      </c>
      <c r="D1357">
        <v>6.6851251318284659E-14</v>
      </c>
      <c r="E1357">
        <v>0.31761971014667523</v>
      </c>
      <c r="F1357">
        <v>1.050716388583478</v>
      </c>
      <c r="G1357">
        <v>28.76278799449727</v>
      </c>
      <c r="H1357">
        <v>1.149552934569162</v>
      </c>
      <c r="I1357">
        <v>0.33950156665674081</v>
      </c>
      <c r="J1357">
        <v>2.022698455954175E-2</v>
      </c>
      <c r="K1357">
        <v>4.773203990181768E-2</v>
      </c>
      <c r="L1357">
        <v>0.44461588109001499</v>
      </c>
      <c r="M1357">
        <v>19</v>
      </c>
      <c r="N1357">
        <v>0</v>
      </c>
      <c r="O1357">
        <v>0</v>
      </c>
      <c r="P1357">
        <v>0.66620000000000001</v>
      </c>
      <c r="Q1357">
        <v>1E-3</v>
      </c>
      <c r="R1357">
        <v>0</v>
      </c>
      <c r="S1357">
        <v>0.66620000000000001</v>
      </c>
      <c r="T1357">
        <v>0.66620000000000001</v>
      </c>
      <c r="U1357">
        <v>5</v>
      </c>
      <c r="V1357">
        <v>0</v>
      </c>
      <c r="W1357">
        <v>0</v>
      </c>
      <c r="X1357">
        <v>0</v>
      </c>
      <c r="Y1357">
        <v>0.49199999999999999</v>
      </c>
      <c r="Z1357">
        <v>1</v>
      </c>
    </row>
    <row r="1358" spans="1:26" x14ac:dyDescent="0.2">
      <c r="A1358" t="s">
        <v>118</v>
      </c>
      <c r="B1358">
        <v>2013</v>
      </c>
      <c r="C1358" t="str">
        <f t="shared" si="21"/>
        <v>PHR2013</v>
      </c>
      <c r="D1358">
        <v>3.2402817507655782E-14</v>
      </c>
      <c r="E1358">
        <v>0.17414409402818659</v>
      </c>
      <c r="F1358">
        <v>1.055231273653338</v>
      </c>
      <c r="G1358">
        <v>28.855734576984929</v>
      </c>
      <c r="H1358">
        <v>1.305146706470979</v>
      </c>
      <c r="I1358">
        <v>0.35870863909335798</v>
      </c>
      <c r="J1358">
        <v>8.0099524253970392E-2</v>
      </c>
      <c r="K1358">
        <v>4.2390929283410123E-2</v>
      </c>
      <c r="L1358">
        <v>0.47602830295073512</v>
      </c>
      <c r="M1358">
        <v>20</v>
      </c>
      <c r="N1358">
        <v>0</v>
      </c>
      <c r="O1358">
        <v>0</v>
      </c>
      <c r="P1358">
        <v>0.66620000000000001</v>
      </c>
      <c r="Q1358">
        <v>1E-3</v>
      </c>
      <c r="R1358">
        <v>0</v>
      </c>
      <c r="S1358">
        <v>0.66620000000000001</v>
      </c>
      <c r="T1358">
        <v>0.66620000000000001</v>
      </c>
      <c r="U1358">
        <v>5</v>
      </c>
      <c r="V1358">
        <v>0</v>
      </c>
      <c r="W1358">
        <v>0</v>
      </c>
      <c r="X1358">
        <v>0</v>
      </c>
      <c r="Y1358">
        <v>0.49270000000000003</v>
      </c>
      <c r="Z1358">
        <v>1</v>
      </c>
    </row>
    <row r="1359" spans="1:26" x14ac:dyDescent="0.2">
      <c r="A1359" t="s">
        <v>118</v>
      </c>
      <c r="B1359">
        <v>2014</v>
      </c>
      <c r="C1359" t="str">
        <f t="shared" si="21"/>
        <v>PHR2014</v>
      </c>
      <c r="D1359">
        <v>2.2694230977102979E-14</v>
      </c>
      <c r="E1359">
        <v>0.11842145591505771</v>
      </c>
      <c r="F1359">
        <v>0.94290513354380556</v>
      </c>
      <c r="G1359">
        <v>28.863240253369671</v>
      </c>
      <c r="H1359">
        <v>1.3471328611026749</v>
      </c>
      <c r="I1359">
        <v>0.32942089239832067</v>
      </c>
      <c r="J1359">
        <v>7.5339145784378836E-3</v>
      </c>
      <c r="K1359">
        <v>3.6990867379142853E-2</v>
      </c>
      <c r="L1359">
        <v>0.53865605856413479</v>
      </c>
      <c r="M1359">
        <v>21</v>
      </c>
      <c r="N1359">
        <v>0</v>
      </c>
      <c r="O1359">
        <v>0</v>
      </c>
      <c r="P1359">
        <v>0.66620000000000001</v>
      </c>
      <c r="Q1359">
        <v>1E-3</v>
      </c>
      <c r="R1359">
        <v>0</v>
      </c>
      <c r="S1359">
        <v>0.66620000000000001</v>
      </c>
      <c r="T1359">
        <v>0.66620000000000001</v>
      </c>
      <c r="U1359">
        <v>5</v>
      </c>
      <c r="V1359">
        <v>0</v>
      </c>
      <c r="W1359">
        <v>0</v>
      </c>
      <c r="X1359">
        <v>0</v>
      </c>
      <c r="Y1359">
        <v>0.50270000000000004</v>
      </c>
      <c r="Z1359">
        <v>1</v>
      </c>
    </row>
    <row r="1360" spans="1:26" x14ac:dyDescent="0.2">
      <c r="A1360" t="s">
        <v>118</v>
      </c>
      <c r="B1360">
        <v>2015</v>
      </c>
      <c r="C1360" t="str">
        <f t="shared" si="21"/>
        <v>PHR2015</v>
      </c>
      <c r="D1360">
        <v>1.7919175376572479E-14</v>
      </c>
      <c r="E1360">
        <v>8.8995040110157991E-2</v>
      </c>
      <c r="F1360">
        <v>0.72311884253367031</v>
      </c>
      <c r="G1360">
        <v>28.825056236070399</v>
      </c>
      <c r="H1360">
        <v>1.459492766832704</v>
      </c>
      <c r="I1360">
        <v>0.33546925191246108</v>
      </c>
      <c r="J1360">
        <v>-4.6961271782693048E-2</v>
      </c>
      <c r="K1360">
        <v>9.2049303764690463E-2</v>
      </c>
      <c r="L1360">
        <v>0.63548001549771271</v>
      </c>
      <c r="M1360">
        <v>22</v>
      </c>
      <c r="N1360">
        <v>0</v>
      </c>
      <c r="O1360">
        <v>0</v>
      </c>
      <c r="P1360">
        <v>0.66620000000000001</v>
      </c>
      <c r="Q1360">
        <v>1.5E-3</v>
      </c>
      <c r="R1360">
        <v>0</v>
      </c>
      <c r="S1360">
        <v>0.66620000000000001</v>
      </c>
      <c r="T1360">
        <v>0.66620000000000001</v>
      </c>
      <c r="U1360">
        <v>5</v>
      </c>
      <c r="V1360">
        <v>0</v>
      </c>
      <c r="W1360">
        <v>0</v>
      </c>
      <c r="X1360">
        <v>0</v>
      </c>
      <c r="Y1360">
        <v>0.5091</v>
      </c>
      <c r="Z1360">
        <v>1</v>
      </c>
    </row>
    <row r="1361" spans="1:26" x14ac:dyDescent="0.2">
      <c r="A1361" t="s">
        <v>118</v>
      </c>
      <c r="B1361">
        <v>2016</v>
      </c>
      <c r="C1361" t="str">
        <f t="shared" si="21"/>
        <v>PHR2016</v>
      </c>
      <c r="D1361">
        <v>1.497638247468086E-14</v>
      </c>
      <c r="E1361">
        <v>9.722146500737619E-2</v>
      </c>
      <c r="F1361">
        <v>0.91872586959507563</v>
      </c>
      <c r="G1361">
        <v>28.981781349458121</v>
      </c>
      <c r="H1361">
        <v>1.1321322221183701</v>
      </c>
      <c r="I1361">
        <v>0.40533486392711898</v>
      </c>
      <c r="J1361">
        <v>0.18132989560404031</v>
      </c>
      <c r="K1361">
        <v>7.9716768895221876E-2</v>
      </c>
      <c r="L1361">
        <v>0.56675245517922235</v>
      </c>
      <c r="M1361">
        <v>23</v>
      </c>
      <c r="N1361">
        <v>0</v>
      </c>
      <c r="O1361">
        <v>0</v>
      </c>
      <c r="P1361">
        <v>0.66620000000000001</v>
      </c>
      <c r="Q1361">
        <v>1.5E-3</v>
      </c>
      <c r="R1361">
        <v>0</v>
      </c>
      <c r="S1361">
        <v>0.66620000000000001</v>
      </c>
      <c r="T1361">
        <v>0.66620000000000001</v>
      </c>
      <c r="U1361">
        <v>5</v>
      </c>
      <c r="V1361">
        <v>0</v>
      </c>
      <c r="W1361">
        <v>0</v>
      </c>
      <c r="X1361">
        <v>0</v>
      </c>
      <c r="Y1361">
        <v>0.51910000000000001</v>
      </c>
      <c r="Z1361">
        <v>1</v>
      </c>
    </row>
    <row r="1362" spans="1:26" x14ac:dyDescent="0.2">
      <c r="A1362" t="s">
        <v>118</v>
      </c>
      <c r="B1362">
        <v>2017</v>
      </c>
      <c r="C1362" t="str">
        <f t="shared" si="21"/>
        <v>PHR2017</v>
      </c>
      <c r="D1362">
        <v>1.791456180611805E-14</v>
      </c>
      <c r="E1362">
        <v>0.13706109444392961</v>
      </c>
      <c r="F1362">
        <v>1.2308252683553249</v>
      </c>
      <c r="G1362">
        <v>29.08847813385718</v>
      </c>
      <c r="H1362">
        <v>1.1755466523657969</v>
      </c>
      <c r="I1362">
        <v>0.43861922618244992</v>
      </c>
      <c r="J1362">
        <v>0.1128341561575235</v>
      </c>
      <c r="K1362">
        <v>4.2289027273567377E-2</v>
      </c>
      <c r="L1362">
        <v>0.550191768333677</v>
      </c>
      <c r="M1362">
        <v>24</v>
      </c>
      <c r="N1362">
        <v>0</v>
      </c>
      <c r="O1362">
        <v>0</v>
      </c>
      <c r="P1362">
        <v>0.66620000000000001</v>
      </c>
      <c r="Q1362">
        <v>1E-3</v>
      </c>
      <c r="R1362">
        <v>0</v>
      </c>
      <c r="S1362">
        <v>0.66620000000000001</v>
      </c>
      <c r="T1362">
        <v>0.66620000000000001</v>
      </c>
      <c r="U1362">
        <v>5</v>
      </c>
      <c r="V1362">
        <v>0</v>
      </c>
      <c r="W1362">
        <v>0</v>
      </c>
      <c r="X1362">
        <v>0</v>
      </c>
      <c r="Y1362">
        <v>0.54330000000000001</v>
      </c>
      <c r="Z1362">
        <v>1</v>
      </c>
    </row>
    <row r="1363" spans="1:26" x14ac:dyDescent="0.2">
      <c r="A1363" t="s">
        <v>118</v>
      </c>
      <c r="B1363">
        <v>2018</v>
      </c>
      <c r="C1363" t="str">
        <f t="shared" si="21"/>
        <v>PHR2018</v>
      </c>
      <c r="D1363">
        <v>2.4866000139164189E-14</v>
      </c>
      <c r="E1363">
        <v>0.23952179355845171</v>
      </c>
      <c r="F1363">
        <v>1.362786524997627</v>
      </c>
      <c r="G1363">
        <v>29.257774269702441</v>
      </c>
      <c r="H1363">
        <v>0.98867441090131403</v>
      </c>
      <c r="I1363">
        <v>0.47185786735126672</v>
      </c>
      <c r="J1363">
        <v>0.1842182653431092</v>
      </c>
      <c r="K1363">
        <v>0.10618023700180811</v>
      </c>
      <c r="L1363">
        <v>0.47304045255213117</v>
      </c>
      <c r="M1363">
        <v>25</v>
      </c>
      <c r="N1363">
        <v>0</v>
      </c>
      <c r="O1363">
        <v>0</v>
      </c>
      <c r="P1363">
        <v>0.66620000000000001</v>
      </c>
      <c r="Q1363">
        <v>1.5E-3</v>
      </c>
      <c r="R1363">
        <v>0</v>
      </c>
      <c r="S1363">
        <v>0.66620000000000001</v>
      </c>
      <c r="T1363">
        <v>0.66620000000000001</v>
      </c>
      <c r="U1363">
        <v>5</v>
      </c>
      <c r="V1363">
        <v>0</v>
      </c>
      <c r="W1363">
        <v>0</v>
      </c>
      <c r="X1363">
        <v>0</v>
      </c>
      <c r="Y1363">
        <v>0.53859999999999997</v>
      </c>
      <c r="Z1363">
        <v>1</v>
      </c>
    </row>
    <row r="1364" spans="1:26" x14ac:dyDescent="0.2">
      <c r="A1364" t="s">
        <v>118</v>
      </c>
      <c r="B1364">
        <v>2019</v>
      </c>
      <c r="C1364" t="str">
        <f t="shared" si="21"/>
        <v>PHR2019</v>
      </c>
      <c r="D1364">
        <v>1.423202904253054E-14</v>
      </c>
      <c r="E1364">
        <v>0.18753457001447421</v>
      </c>
      <c r="F1364">
        <v>1.4398160283909249</v>
      </c>
      <c r="G1364">
        <v>29.39823404935758</v>
      </c>
      <c r="H1364">
        <v>1.7491249569920799</v>
      </c>
      <c r="I1364">
        <v>0.5557000037079366</v>
      </c>
      <c r="J1364">
        <v>0.15080279294882229</v>
      </c>
      <c r="K1364">
        <v>0.14627742322829401</v>
      </c>
      <c r="L1364">
        <v>0.40711462119364239</v>
      </c>
      <c r="M1364">
        <v>26</v>
      </c>
      <c r="N1364">
        <v>0</v>
      </c>
      <c r="O1364">
        <v>1</v>
      </c>
      <c r="P1364">
        <v>0.66620000000000001</v>
      </c>
      <c r="Q1364">
        <v>5.6999999999999993E-3</v>
      </c>
      <c r="R1364">
        <v>0</v>
      </c>
      <c r="S1364">
        <v>0.66620000000000001</v>
      </c>
      <c r="T1364">
        <v>0.66620000000000001</v>
      </c>
      <c r="U1364">
        <v>5</v>
      </c>
      <c r="V1364">
        <v>0</v>
      </c>
      <c r="W1364">
        <v>0.2</v>
      </c>
      <c r="X1364">
        <v>0</v>
      </c>
      <c r="Y1364">
        <v>0.52859999999999996</v>
      </c>
      <c r="Z1364">
        <v>1</v>
      </c>
    </row>
    <row r="1365" spans="1:26" x14ac:dyDescent="0.2">
      <c r="A1365" t="s">
        <v>118</v>
      </c>
      <c r="B1365">
        <v>2020</v>
      </c>
      <c r="C1365" t="str">
        <f t="shared" si="21"/>
        <v>PHR2020</v>
      </c>
      <c r="D1365">
        <v>2.6312306508090969E-14</v>
      </c>
      <c r="E1365">
        <v>0.33976157015572622</v>
      </c>
      <c r="F1365">
        <v>1.7990852726337521</v>
      </c>
      <c r="G1365">
        <v>29.508793860501161</v>
      </c>
      <c r="H1365">
        <v>1.848658316383833</v>
      </c>
      <c r="I1365">
        <v>0.49360313806648659</v>
      </c>
      <c r="J1365">
        <v>0.1169031503090583</v>
      </c>
      <c r="K1365">
        <v>0.14153599879838241</v>
      </c>
      <c r="L1365">
        <v>0.36004243748020931</v>
      </c>
      <c r="M1365">
        <v>27</v>
      </c>
      <c r="N1365">
        <v>0</v>
      </c>
      <c r="O1365">
        <v>1</v>
      </c>
      <c r="P1365">
        <v>0.72660000000000013</v>
      </c>
      <c r="Q1365">
        <v>2.5000000000000001E-3</v>
      </c>
      <c r="R1365">
        <v>6.0400000000000002E-2</v>
      </c>
      <c r="S1365">
        <v>0.66620000000000001</v>
      </c>
      <c r="T1365">
        <v>0.72660000000000013</v>
      </c>
      <c r="U1365">
        <v>5</v>
      </c>
      <c r="V1365">
        <v>0</v>
      </c>
      <c r="W1365">
        <v>0.4</v>
      </c>
      <c r="X1365">
        <v>1</v>
      </c>
      <c r="Y1365">
        <v>0.48499999999999999</v>
      </c>
      <c r="Z1365">
        <v>1</v>
      </c>
    </row>
    <row r="1366" spans="1:26" x14ac:dyDescent="0.2">
      <c r="A1366" t="s">
        <v>118</v>
      </c>
      <c r="B1366">
        <v>2021</v>
      </c>
      <c r="C1366" t="str">
        <f t="shared" si="21"/>
        <v>PHR2021</v>
      </c>
      <c r="D1366">
        <v>1.4132682948600529E-14</v>
      </c>
      <c r="E1366">
        <v>0.16511807314581381</v>
      </c>
      <c r="F1366">
        <v>2.0870798636934351</v>
      </c>
      <c r="G1366">
        <v>29.427284505208299</v>
      </c>
      <c r="H1366">
        <v>2.7360984373598969</v>
      </c>
      <c r="I1366">
        <v>0.4841335520509033</v>
      </c>
      <c r="J1366">
        <v>-7.8275913185214097E-2</v>
      </c>
      <c r="K1366">
        <v>7.6109032074971189E-2</v>
      </c>
      <c r="L1366">
        <v>0.37732442050599457</v>
      </c>
      <c r="M1366">
        <v>28</v>
      </c>
      <c r="N1366">
        <v>0</v>
      </c>
      <c r="O1366">
        <v>0</v>
      </c>
      <c r="P1366">
        <v>0.72660000000000013</v>
      </c>
      <c r="Q1366">
        <v>2.2000000000000001E-3</v>
      </c>
      <c r="R1366">
        <v>6.0400000000000002E-2</v>
      </c>
      <c r="S1366">
        <v>0.66620000000000001</v>
      </c>
      <c r="T1366">
        <v>0.72660000000000013</v>
      </c>
      <c r="U1366">
        <v>4</v>
      </c>
      <c r="V1366">
        <v>0</v>
      </c>
      <c r="W1366">
        <v>0.25</v>
      </c>
      <c r="X1366">
        <v>0</v>
      </c>
      <c r="Y1366">
        <v>0.49859999999999999</v>
      </c>
      <c r="Z1366">
        <v>1</v>
      </c>
    </row>
    <row r="1367" spans="1:26" x14ac:dyDescent="0.2">
      <c r="A1367" t="s">
        <v>118</v>
      </c>
      <c r="B1367">
        <v>2022</v>
      </c>
      <c r="C1367" t="str">
        <f t="shared" si="21"/>
        <v>PHR2022</v>
      </c>
      <c r="D1367">
        <v>2.321415338909438E-14</v>
      </c>
      <c r="E1367">
        <v>0.27064567211061158</v>
      </c>
      <c r="F1367">
        <v>1.300773052129955</v>
      </c>
      <c r="G1367">
        <v>29.476086160225719</v>
      </c>
      <c r="H1367">
        <v>2.297827351549472</v>
      </c>
      <c r="I1367">
        <v>0.45718313740455868</v>
      </c>
      <c r="J1367">
        <v>5.0806360658270933E-2</v>
      </c>
      <c r="K1367">
        <v>0.15225885657891711</v>
      </c>
      <c r="L1367">
        <v>0.36151441689892899</v>
      </c>
      <c r="M1367">
        <v>29</v>
      </c>
      <c r="N1367">
        <v>0</v>
      </c>
      <c r="O1367">
        <v>0</v>
      </c>
      <c r="P1367">
        <v>0.66620000000000001</v>
      </c>
      <c r="Q1367">
        <v>3.7000000000000002E-3</v>
      </c>
      <c r="R1367">
        <v>0</v>
      </c>
      <c r="S1367">
        <v>0.66620000000000001</v>
      </c>
      <c r="T1367">
        <v>0.66620000000000001</v>
      </c>
      <c r="U1367">
        <v>5</v>
      </c>
      <c r="V1367">
        <v>0</v>
      </c>
      <c r="W1367">
        <v>0.2</v>
      </c>
      <c r="X1367">
        <v>1</v>
      </c>
      <c r="Y1367">
        <v>0.53249999999999997</v>
      </c>
      <c r="Z1367">
        <v>1</v>
      </c>
    </row>
    <row r="1368" spans="1:26" x14ac:dyDescent="0.2">
      <c r="A1368" t="s">
        <v>118</v>
      </c>
      <c r="B1368">
        <v>2023</v>
      </c>
      <c r="C1368" t="str">
        <f t="shared" si="21"/>
        <v>PHR2023</v>
      </c>
      <c r="D1368">
        <v>9623773371039.9844</v>
      </c>
      <c r="E1368">
        <v>0.11319597194596311</v>
      </c>
      <c r="F1368">
        <v>1.1448471313009001</v>
      </c>
      <c r="G1368">
        <v>29.449184333031319</v>
      </c>
      <c r="H1368">
        <v>2.361954912533045</v>
      </c>
      <c r="I1368">
        <v>5.1709460039464153E-2</v>
      </c>
      <c r="J1368">
        <v>-2.7279023536280759E-2</v>
      </c>
      <c r="K1368">
        <v>8.3715967673840985E-2</v>
      </c>
      <c r="L1368">
        <v>0.36775082895607858</v>
      </c>
      <c r="M1368">
        <v>30</v>
      </c>
      <c r="N1368">
        <v>0</v>
      </c>
      <c r="O1368">
        <v>0</v>
      </c>
      <c r="P1368">
        <v>0.66620000000000001</v>
      </c>
      <c r="Q1368">
        <v>3.7000000000000002E-3</v>
      </c>
      <c r="R1368">
        <v>0</v>
      </c>
      <c r="S1368">
        <v>0.66620000000000001</v>
      </c>
      <c r="T1368">
        <v>0.66620000000000001</v>
      </c>
      <c r="U1368">
        <v>5</v>
      </c>
      <c r="V1368">
        <v>0</v>
      </c>
      <c r="W1368">
        <v>0.2</v>
      </c>
      <c r="X1368">
        <v>1</v>
      </c>
      <c r="Y1368">
        <v>0.53249999999999997</v>
      </c>
      <c r="Z1368">
        <v>1</v>
      </c>
    </row>
    <row r="1369" spans="1:26" x14ac:dyDescent="0.2">
      <c r="A1369" t="s">
        <v>119</v>
      </c>
      <c r="B1369">
        <v>2012</v>
      </c>
      <c r="C1369" t="str">
        <f t="shared" si="21"/>
        <v>PLC2012</v>
      </c>
      <c r="D1369">
        <v>2.7169591619993002E-14</v>
      </c>
      <c r="E1369">
        <v>0.17076402714808109</v>
      </c>
      <c r="F1369">
        <v>1.0021194584130131</v>
      </c>
      <c r="G1369">
        <v>28.544403501979641</v>
      </c>
      <c r="H1369">
        <v>1.298349704824711</v>
      </c>
      <c r="I1369">
        <v>0.60339000696638456</v>
      </c>
      <c r="J1369">
        <v>-0.12772597074275549</v>
      </c>
      <c r="K1369">
        <v>0.1554074931177632</v>
      </c>
      <c r="L1369">
        <v>0.12093732616338521</v>
      </c>
      <c r="M1369">
        <v>8</v>
      </c>
      <c r="N1369">
        <v>1</v>
      </c>
      <c r="O1369">
        <v>0</v>
      </c>
      <c r="P1369">
        <v>0.79069999999999996</v>
      </c>
      <c r="Q1369">
        <v>7.1999999999999998E-3</v>
      </c>
      <c r="R1369">
        <v>0</v>
      </c>
      <c r="S1369">
        <v>0.79069999999999996</v>
      </c>
      <c r="T1369">
        <v>0.79069999999999996</v>
      </c>
      <c r="U1369">
        <v>5</v>
      </c>
      <c r="V1369">
        <v>0</v>
      </c>
      <c r="W1369">
        <v>0</v>
      </c>
      <c r="X1369">
        <v>0</v>
      </c>
      <c r="Y1369">
        <v>0.47399999999999998</v>
      </c>
      <c r="Z1369">
        <v>1</v>
      </c>
    </row>
    <row r="1370" spans="1:26" x14ac:dyDescent="0.2">
      <c r="A1370" t="s">
        <v>119</v>
      </c>
      <c r="B1370">
        <v>2013</v>
      </c>
      <c r="C1370" t="str">
        <f t="shared" si="21"/>
        <v>PLC2013</v>
      </c>
      <c r="D1370">
        <v>2.06439389486079E-14</v>
      </c>
      <c r="E1370">
        <v>0.16715056091755309</v>
      </c>
      <c r="F1370">
        <v>1.019435300586701</v>
      </c>
      <c r="G1370">
        <v>28.738615948769919</v>
      </c>
      <c r="H1370">
        <v>1.396245556544919</v>
      </c>
      <c r="I1370">
        <v>0.62614167849894031</v>
      </c>
      <c r="J1370">
        <v>0.2143542412148722</v>
      </c>
      <c r="K1370">
        <v>7.1363568105758668E-2</v>
      </c>
      <c r="L1370">
        <v>0.1268606567251124</v>
      </c>
      <c r="M1370">
        <v>9</v>
      </c>
      <c r="N1370">
        <v>1</v>
      </c>
      <c r="O1370">
        <v>0</v>
      </c>
      <c r="P1370">
        <v>0.79069999999999996</v>
      </c>
      <c r="Q1370">
        <v>7.9000000000000008E-3</v>
      </c>
      <c r="R1370">
        <v>0</v>
      </c>
      <c r="S1370">
        <v>0.79069999999999996</v>
      </c>
      <c r="T1370">
        <v>0.79069999999999996</v>
      </c>
      <c r="U1370">
        <v>5</v>
      </c>
      <c r="V1370">
        <v>0</v>
      </c>
      <c r="W1370">
        <v>0</v>
      </c>
      <c r="X1370">
        <v>0</v>
      </c>
      <c r="Y1370">
        <v>0.4718</v>
      </c>
      <c r="Z1370">
        <v>1</v>
      </c>
    </row>
    <row r="1371" spans="1:26" x14ac:dyDescent="0.2">
      <c r="A1371" t="s">
        <v>119</v>
      </c>
      <c r="B1371">
        <v>2014</v>
      </c>
      <c r="C1371" t="str">
        <f t="shared" si="21"/>
        <v>PLC2014</v>
      </c>
      <c r="D1371">
        <v>2.0840921974417339E-14</v>
      </c>
      <c r="E1371">
        <v>0.24225315994254021</v>
      </c>
      <c r="F1371">
        <v>1.281211763628169</v>
      </c>
      <c r="G1371">
        <v>28.905904296334331</v>
      </c>
      <c r="H1371">
        <v>1.321220912895523</v>
      </c>
      <c r="I1371">
        <v>0.69216201523473764</v>
      </c>
      <c r="J1371">
        <v>0.18209507040528641</v>
      </c>
      <c r="K1371">
        <v>0.16735158188047031</v>
      </c>
      <c r="L1371">
        <v>0.12924032121220319</v>
      </c>
      <c r="M1371">
        <v>10</v>
      </c>
      <c r="N1371">
        <v>1</v>
      </c>
      <c r="O1371">
        <v>0</v>
      </c>
      <c r="P1371">
        <v>0.79069999999999996</v>
      </c>
      <c r="Q1371">
        <v>7.7000000000000002E-3</v>
      </c>
      <c r="R1371">
        <v>0</v>
      </c>
      <c r="S1371">
        <v>0.79069999999999996</v>
      </c>
      <c r="T1371">
        <v>0.79069999999999996</v>
      </c>
      <c r="U1371">
        <v>5</v>
      </c>
      <c r="V1371">
        <v>0</v>
      </c>
      <c r="W1371">
        <v>0</v>
      </c>
      <c r="X1371">
        <v>0</v>
      </c>
      <c r="Y1371">
        <v>0.48089999999999999</v>
      </c>
      <c r="Z1371">
        <v>1</v>
      </c>
    </row>
    <row r="1372" spans="1:26" x14ac:dyDescent="0.2">
      <c r="A1372" t="s">
        <v>119</v>
      </c>
      <c r="B1372">
        <v>2015</v>
      </c>
      <c r="C1372" t="str">
        <f t="shared" si="21"/>
        <v>PLC2015</v>
      </c>
      <c r="D1372">
        <v>1.978741582945259E-14</v>
      </c>
      <c r="E1372">
        <v>0.29623306775843339</v>
      </c>
      <c r="F1372">
        <v>1.4253222452421599</v>
      </c>
      <c r="G1372">
        <v>29.054448420529159</v>
      </c>
      <c r="H1372">
        <v>1.1874372287766439</v>
      </c>
      <c r="I1372">
        <v>0.72270491735451436</v>
      </c>
      <c r="J1372">
        <v>0.1657976259441134</v>
      </c>
      <c r="K1372">
        <v>-6.1911547691505857E-2</v>
      </c>
      <c r="L1372">
        <v>0.14822809610500159</v>
      </c>
      <c r="M1372">
        <v>11</v>
      </c>
      <c r="N1372">
        <v>1</v>
      </c>
      <c r="O1372">
        <v>0</v>
      </c>
      <c r="P1372">
        <v>0.79069999999999996</v>
      </c>
      <c r="Q1372">
        <v>8.199999999999999E-3</v>
      </c>
      <c r="R1372">
        <v>0</v>
      </c>
      <c r="S1372">
        <v>0.79069999999999996</v>
      </c>
      <c r="T1372">
        <v>0.79069999999999996</v>
      </c>
      <c r="U1372">
        <v>5</v>
      </c>
      <c r="V1372">
        <v>0</v>
      </c>
      <c r="W1372">
        <v>0</v>
      </c>
      <c r="X1372">
        <v>0</v>
      </c>
      <c r="Y1372">
        <v>0.49090000000000011</v>
      </c>
      <c r="Z1372">
        <v>1</v>
      </c>
    </row>
    <row r="1373" spans="1:26" x14ac:dyDescent="0.2">
      <c r="A1373" t="s">
        <v>119</v>
      </c>
      <c r="B1373">
        <v>2016</v>
      </c>
      <c r="C1373" t="str">
        <f t="shared" si="21"/>
        <v>PLC2016</v>
      </c>
      <c r="D1373">
        <v>1.8024708463964591E-14</v>
      </c>
      <c r="E1373">
        <v>0.1515690169197384</v>
      </c>
      <c r="F1373">
        <v>1.260653857940198</v>
      </c>
      <c r="G1373">
        <v>28.84622368587657</v>
      </c>
      <c r="H1373">
        <v>1.13587604962922</v>
      </c>
      <c r="I1373">
        <v>0.59912074207003641</v>
      </c>
      <c r="J1373">
        <v>-0.1919134587323704</v>
      </c>
      <c r="K1373">
        <v>0.19260383917055859</v>
      </c>
      <c r="L1373">
        <v>0.17141712719443</v>
      </c>
      <c r="M1373">
        <v>12</v>
      </c>
      <c r="N1373">
        <v>1</v>
      </c>
      <c r="O1373">
        <v>0</v>
      </c>
      <c r="P1373">
        <v>0.79069999999999996</v>
      </c>
      <c r="Q1373">
        <v>8.199999999999999E-3</v>
      </c>
      <c r="R1373">
        <v>0</v>
      </c>
      <c r="S1373">
        <v>0.79069999999999996</v>
      </c>
      <c r="T1373">
        <v>0.79069999999999996</v>
      </c>
      <c r="U1373">
        <v>5</v>
      </c>
      <c r="V1373">
        <v>0</v>
      </c>
      <c r="W1373">
        <v>0</v>
      </c>
      <c r="X1373">
        <v>0</v>
      </c>
      <c r="Y1373">
        <v>0.50090000000000001</v>
      </c>
      <c r="Z1373">
        <v>1</v>
      </c>
    </row>
    <row r="1374" spans="1:26" x14ac:dyDescent="0.2">
      <c r="A1374" t="s">
        <v>119</v>
      </c>
      <c r="B1374">
        <v>2017</v>
      </c>
      <c r="C1374" t="str">
        <f t="shared" si="21"/>
        <v>PLC2017</v>
      </c>
      <c r="D1374">
        <v>1.138110395306471E-14</v>
      </c>
      <c r="E1374">
        <v>0.1275593848994688</v>
      </c>
      <c r="F1374">
        <v>1.174256673600492</v>
      </c>
      <c r="G1374">
        <v>28.98704642950538</v>
      </c>
      <c r="H1374">
        <v>1.2922207650268089</v>
      </c>
      <c r="I1374">
        <v>0.6537527882891262</v>
      </c>
      <c r="J1374">
        <v>0.1512205687176551</v>
      </c>
      <c r="K1374">
        <v>-3.2287780346956108E-3</v>
      </c>
      <c r="L1374">
        <v>0.1698508961312532</v>
      </c>
      <c r="M1374">
        <v>13</v>
      </c>
      <c r="N1374">
        <v>1</v>
      </c>
      <c r="O1374">
        <v>0</v>
      </c>
      <c r="P1374">
        <v>0.79069999999999996</v>
      </c>
      <c r="Q1374">
        <v>8.8000000000000005E-3</v>
      </c>
      <c r="R1374">
        <v>0</v>
      </c>
      <c r="S1374">
        <v>0.79069999999999996</v>
      </c>
      <c r="T1374">
        <v>0.79069999999999996</v>
      </c>
      <c r="U1374">
        <v>5</v>
      </c>
      <c r="V1374">
        <v>0</v>
      </c>
      <c r="W1374">
        <v>0</v>
      </c>
      <c r="X1374">
        <v>0</v>
      </c>
      <c r="Y1374">
        <v>0.50700000000000001</v>
      </c>
      <c r="Z1374">
        <v>1</v>
      </c>
    </row>
    <row r="1375" spans="1:26" x14ac:dyDescent="0.2">
      <c r="A1375" t="s">
        <v>119</v>
      </c>
      <c r="B1375">
        <v>2018</v>
      </c>
      <c r="C1375" t="str">
        <f t="shared" si="21"/>
        <v>PLC2018</v>
      </c>
      <c r="D1375">
        <v>6.3067056985373141E-15</v>
      </c>
      <c r="E1375">
        <v>0.11218095909538529</v>
      </c>
      <c r="F1375">
        <v>1.0050660627529771</v>
      </c>
      <c r="G1375">
        <v>29.210874390844339</v>
      </c>
      <c r="H1375">
        <v>1.211546661571457</v>
      </c>
      <c r="I1375">
        <v>0.72709909493899727</v>
      </c>
      <c r="J1375">
        <v>0.25188686871921728</v>
      </c>
      <c r="K1375">
        <v>-2.6069770222480599E-2</v>
      </c>
      <c r="L1375">
        <v>0.17376976790800189</v>
      </c>
      <c r="M1375">
        <v>14</v>
      </c>
      <c r="N1375">
        <v>1</v>
      </c>
      <c r="O1375">
        <v>0</v>
      </c>
      <c r="P1375">
        <v>0.79069999999999996</v>
      </c>
      <c r="Q1375">
        <v>9.4999999999999998E-3</v>
      </c>
      <c r="R1375">
        <v>0</v>
      </c>
      <c r="S1375">
        <v>0.79069999999999996</v>
      </c>
      <c r="T1375">
        <v>0.79069999999999996</v>
      </c>
      <c r="U1375">
        <v>7</v>
      </c>
      <c r="V1375">
        <v>0</v>
      </c>
      <c r="W1375">
        <v>0</v>
      </c>
      <c r="X1375">
        <v>0</v>
      </c>
      <c r="Y1375">
        <v>0.49919999999999998</v>
      </c>
      <c r="Z1375">
        <v>1</v>
      </c>
    </row>
    <row r="1376" spans="1:26" x14ac:dyDescent="0.2">
      <c r="A1376" t="s">
        <v>119</v>
      </c>
      <c r="B1376">
        <v>2019</v>
      </c>
      <c r="C1376" t="str">
        <f t="shared" si="21"/>
        <v>PLC2019</v>
      </c>
      <c r="D1376">
        <v>7.2832700322637055E-15</v>
      </c>
      <c r="E1376">
        <v>0.10982099030575861</v>
      </c>
      <c r="F1376">
        <v>0.90842899608681482</v>
      </c>
      <c r="G1376">
        <v>29.12716377182867</v>
      </c>
      <c r="H1376">
        <v>1.1010035140517269</v>
      </c>
      <c r="I1376">
        <v>0.70392103359214397</v>
      </c>
      <c r="J1376">
        <v>-8.1060109086638188E-2</v>
      </c>
      <c r="K1376">
        <v>0.1843412825505216</v>
      </c>
      <c r="L1376">
        <v>0.21288110891986911</v>
      </c>
      <c r="M1376">
        <v>15</v>
      </c>
      <c r="N1376">
        <v>1</v>
      </c>
      <c r="O1376">
        <v>1</v>
      </c>
      <c r="P1376">
        <v>0.79069999999999996</v>
      </c>
      <c r="Q1376">
        <v>8.6E-3</v>
      </c>
      <c r="R1376">
        <v>0</v>
      </c>
      <c r="S1376">
        <v>0.79069999999999996</v>
      </c>
      <c r="T1376">
        <v>0.79069999999999996</v>
      </c>
      <c r="U1376">
        <v>7</v>
      </c>
      <c r="V1376">
        <v>0</v>
      </c>
      <c r="W1376">
        <v>0</v>
      </c>
      <c r="X1376">
        <v>0</v>
      </c>
      <c r="Y1376">
        <v>0.49909999999999999</v>
      </c>
      <c r="Z1376">
        <v>1</v>
      </c>
    </row>
    <row r="1377" spans="1:26" x14ac:dyDescent="0.2">
      <c r="A1377" t="s">
        <v>119</v>
      </c>
      <c r="B1377">
        <v>2020</v>
      </c>
      <c r="C1377" t="str">
        <f t="shared" si="21"/>
        <v>PLC2020</v>
      </c>
      <c r="D1377">
        <v>6.6868413424847227E-15</v>
      </c>
      <c r="E1377">
        <v>0.11766267784103381</v>
      </c>
      <c r="F1377">
        <v>1.2310990447828249</v>
      </c>
      <c r="G1377">
        <v>29.1790215579029</v>
      </c>
      <c r="H1377">
        <v>1.0941213855522789</v>
      </c>
      <c r="I1377">
        <v>0.73277915023869866</v>
      </c>
      <c r="J1377">
        <v>5.3225948465357657E-2</v>
      </c>
      <c r="K1377">
        <v>0.113404137416538</v>
      </c>
      <c r="L1377">
        <v>0.19725878725087659</v>
      </c>
      <c r="M1377">
        <v>16</v>
      </c>
      <c r="N1377">
        <v>1</v>
      </c>
      <c r="O1377">
        <v>1</v>
      </c>
      <c r="P1377">
        <v>0.79069999999999996</v>
      </c>
      <c r="Q1377">
        <v>6.4000000000000003E-3</v>
      </c>
      <c r="R1377">
        <v>0</v>
      </c>
      <c r="S1377">
        <v>0.79069999999999996</v>
      </c>
      <c r="T1377">
        <v>0.79069999999999996</v>
      </c>
      <c r="U1377">
        <v>7</v>
      </c>
      <c r="V1377">
        <v>0</v>
      </c>
      <c r="W1377">
        <v>0</v>
      </c>
      <c r="X1377">
        <v>0</v>
      </c>
      <c r="Y1377">
        <v>0.48359999999999997</v>
      </c>
      <c r="Z1377">
        <v>1</v>
      </c>
    </row>
    <row r="1378" spans="1:26" x14ac:dyDescent="0.2">
      <c r="A1378" t="s">
        <v>119</v>
      </c>
      <c r="B1378">
        <v>2021</v>
      </c>
      <c r="C1378" t="str">
        <f t="shared" si="21"/>
        <v>PLC2021</v>
      </c>
      <c r="D1378">
        <v>7.4853498851956533E-15</v>
      </c>
      <c r="E1378">
        <v>0.127029349059785</v>
      </c>
      <c r="F1378">
        <v>1.408358744220743</v>
      </c>
      <c r="G1378">
        <v>29.205436312469459</v>
      </c>
      <c r="H1378">
        <v>1.0430508223076049</v>
      </c>
      <c r="I1378">
        <v>0.71550943703119829</v>
      </c>
      <c r="J1378">
        <v>2.6766716357155881E-2</v>
      </c>
      <c r="K1378">
        <v>7.6621968397284884E-2</v>
      </c>
      <c r="L1378">
        <v>0.17523834535407859</v>
      </c>
      <c r="M1378">
        <v>17</v>
      </c>
      <c r="N1378">
        <v>1</v>
      </c>
      <c r="O1378">
        <v>0</v>
      </c>
      <c r="P1378">
        <v>0.79069999999999996</v>
      </c>
      <c r="Q1378">
        <v>1E-4</v>
      </c>
      <c r="R1378">
        <v>0</v>
      </c>
      <c r="S1378">
        <v>0.79069999999999996</v>
      </c>
      <c r="T1378">
        <v>0.79069999999999996</v>
      </c>
      <c r="U1378">
        <v>6</v>
      </c>
      <c r="V1378">
        <v>0</v>
      </c>
      <c r="W1378">
        <v>0.1666666666666666</v>
      </c>
      <c r="X1378">
        <v>1</v>
      </c>
      <c r="Y1378">
        <v>0.48420000000000002</v>
      </c>
      <c r="Z1378">
        <v>1</v>
      </c>
    </row>
    <row r="1379" spans="1:26" x14ac:dyDescent="0.2">
      <c r="A1379" t="s">
        <v>119</v>
      </c>
      <c r="B1379">
        <v>2022</v>
      </c>
      <c r="C1379" t="str">
        <f t="shared" si="21"/>
        <v>PLC2022</v>
      </c>
      <c r="D1379">
        <v>5.476557103582905E-15</v>
      </c>
      <c r="E1379">
        <v>9.5192186865680053E-2</v>
      </c>
      <c r="F1379">
        <v>1.127519356993685</v>
      </c>
      <c r="G1379">
        <v>29.161687899155581</v>
      </c>
      <c r="H1379">
        <v>1.0954057599173279</v>
      </c>
      <c r="I1379">
        <v>0.73413176410714132</v>
      </c>
      <c r="J1379">
        <v>-4.2805255363869477E-2</v>
      </c>
      <c r="K1379">
        <v>-7.0970034692433431E-2</v>
      </c>
      <c r="L1379">
        <v>0.16840118146884619</v>
      </c>
      <c r="M1379">
        <v>18</v>
      </c>
      <c r="N1379">
        <v>1</v>
      </c>
      <c r="O1379">
        <v>0</v>
      </c>
      <c r="P1379">
        <v>0.79069999999999996</v>
      </c>
      <c r="Q1379">
        <v>4.0000000000000002E-4</v>
      </c>
      <c r="R1379">
        <v>0</v>
      </c>
      <c r="S1379">
        <v>0.79069999999999996</v>
      </c>
      <c r="T1379">
        <v>0.79069999999999996</v>
      </c>
      <c r="U1379">
        <v>7</v>
      </c>
      <c r="V1379">
        <v>0</v>
      </c>
      <c r="W1379">
        <v>0</v>
      </c>
      <c r="X1379">
        <v>1</v>
      </c>
      <c r="Y1379">
        <v>0.48920000000000002</v>
      </c>
      <c r="Z1379">
        <v>1</v>
      </c>
    </row>
    <row r="1380" spans="1:26" x14ac:dyDescent="0.2">
      <c r="A1380" t="s">
        <v>119</v>
      </c>
      <c r="B1380">
        <v>2023</v>
      </c>
      <c r="C1380" t="str">
        <f t="shared" si="21"/>
        <v>PLC2023</v>
      </c>
      <c r="D1380">
        <v>2777625621950.606</v>
      </c>
      <c r="E1380">
        <v>3.5458828228194912E-2</v>
      </c>
      <c r="F1380">
        <v>0.88995906658619428</v>
      </c>
      <c r="G1380">
        <v>29.07543969492486</v>
      </c>
      <c r="H1380">
        <v>1.088239905922775</v>
      </c>
      <c r="I1380">
        <v>0.32200740045810661</v>
      </c>
      <c r="J1380">
        <v>-8.263349128811015E-2</v>
      </c>
      <c r="K1380">
        <v>0.1041810940829578</v>
      </c>
      <c r="L1380">
        <v>0.169374995552732</v>
      </c>
      <c r="M1380">
        <v>19</v>
      </c>
      <c r="N1380">
        <v>0</v>
      </c>
      <c r="O1380">
        <v>0</v>
      </c>
      <c r="P1380">
        <v>0.79069999999999996</v>
      </c>
      <c r="Q1380">
        <v>4.0000000000000002E-4</v>
      </c>
      <c r="R1380">
        <v>0</v>
      </c>
      <c r="S1380">
        <v>0.79069999999999996</v>
      </c>
      <c r="T1380">
        <v>0.79069999999999996</v>
      </c>
      <c r="U1380">
        <v>7</v>
      </c>
      <c r="V1380">
        <v>0</v>
      </c>
      <c r="W1380">
        <v>0</v>
      </c>
      <c r="X1380">
        <v>1</v>
      </c>
      <c r="Y1380">
        <v>0.48920000000000002</v>
      </c>
      <c r="Z1380">
        <v>1</v>
      </c>
    </row>
    <row r="1381" spans="1:26" x14ac:dyDescent="0.2">
      <c r="A1381" t="s">
        <v>120</v>
      </c>
      <c r="B1381">
        <v>2012</v>
      </c>
      <c r="C1381" t="str">
        <f t="shared" si="21"/>
        <v>PMC2012</v>
      </c>
      <c r="D1381">
        <v>1.5597862744582951E-12</v>
      </c>
      <c r="E1381">
        <v>0.3493783144611774</v>
      </c>
      <c r="F1381">
        <v>1.3801755999187739</v>
      </c>
      <c r="G1381">
        <v>25.851436117833771</v>
      </c>
      <c r="H1381">
        <v>3.474074905831146</v>
      </c>
      <c r="I1381">
        <v>0.24680885704099689</v>
      </c>
      <c r="J1381">
        <v>0.1124006405939226</v>
      </c>
      <c r="K1381">
        <v>0.2710259148653113</v>
      </c>
      <c r="L1381">
        <v>0.17854632938870491</v>
      </c>
      <c r="M1381">
        <v>15</v>
      </c>
      <c r="N1381">
        <v>0</v>
      </c>
      <c r="O1381">
        <v>0</v>
      </c>
      <c r="P1381">
        <v>0.43440000000000001</v>
      </c>
      <c r="Q1381">
        <v>1.24E-2</v>
      </c>
      <c r="R1381">
        <v>0</v>
      </c>
      <c r="S1381">
        <v>0.43440000000000001</v>
      </c>
      <c r="T1381">
        <v>0.43440000000000001</v>
      </c>
      <c r="U1381">
        <v>9</v>
      </c>
      <c r="V1381">
        <v>0</v>
      </c>
      <c r="W1381">
        <v>0.33333333333333331</v>
      </c>
      <c r="X1381">
        <v>1</v>
      </c>
      <c r="Y1381">
        <v>0.59829999999999994</v>
      </c>
      <c r="Z1381">
        <v>1</v>
      </c>
    </row>
    <row r="1382" spans="1:26" x14ac:dyDescent="0.2">
      <c r="A1382" t="s">
        <v>120</v>
      </c>
      <c r="B1382">
        <v>2013</v>
      </c>
      <c r="C1382" t="str">
        <f t="shared" si="21"/>
        <v>PMC2013</v>
      </c>
      <c r="D1382">
        <v>1.2744854638687371E-12</v>
      </c>
      <c r="E1382">
        <v>0.3507213091775353</v>
      </c>
      <c r="F1382">
        <v>2.1838684476093069</v>
      </c>
      <c r="G1382">
        <v>26.06525678402712</v>
      </c>
      <c r="H1382">
        <v>3.2500252082710142</v>
      </c>
      <c r="I1382">
        <v>0.24077600811495309</v>
      </c>
      <c r="J1382">
        <v>0.2384005477940081</v>
      </c>
      <c r="K1382">
        <v>0.17929649250992369</v>
      </c>
      <c r="L1382">
        <v>0.14358629676580581</v>
      </c>
      <c r="M1382">
        <v>16</v>
      </c>
      <c r="N1382">
        <v>0</v>
      </c>
      <c r="O1382">
        <v>0</v>
      </c>
      <c r="P1382">
        <v>0.43440000000000001</v>
      </c>
      <c r="Q1382">
        <v>1.24E-2</v>
      </c>
      <c r="R1382">
        <v>0</v>
      </c>
      <c r="S1382">
        <v>0.43440000000000001</v>
      </c>
      <c r="T1382">
        <v>0.43440000000000001</v>
      </c>
      <c r="U1382">
        <v>9</v>
      </c>
      <c r="V1382">
        <v>0</v>
      </c>
      <c r="W1382">
        <v>0.33333333333333331</v>
      </c>
      <c r="X1382">
        <v>1</v>
      </c>
      <c r="Y1382">
        <v>0.60829999999999995</v>
      </c>
      <c r="Z1382">
        <v>1</v>
      </c>
    </row>
    <row r="1383" spans="1:26" x14ac:dyDescent="0.2">
      <c r="A1383" t="s">
        <v>120</v>
      </c>
      <c r="B1383">
        <v>2014</v>
      </c>
      <c r="C1383" t="str">
        <f t="shared" si="21"/>
        <v>PMC2014</v>
      </c>
      <c r="D1383">
        <v>1.135364107645648E-12</v>
      </c>
      <c r="E1383">
        <v>0.34247835973979313</v>
      </c>
      <c r="F1383">
        <v>1.995745637590099</v>
      </c>
      <c r="G1383">
        <v>26.179879369589219</v>
      </c>
      <c r="H1383">
        <v>3.4967908462914359</v>
      </c>
      <c r="I1383">
        <v>0.22325373610951901</v>
      </c>
      <c r="J1383">
        <v>0.12145010622980611</v>
      </c>
      <c r="K1383">
        <v>0.23913396987555549</v>
      </c>
      <c r="L1383">
        <v>0.14820494045790211</v>
      </c>
      <c r="M1383">
        <v>17</v>
      </c>
      <c r="N1383">
        <v>0</v>
      </c>
      <c r="O1383">
        <v>0</v>
      </c>
      <c r="P1383">
        <v>0.43440000000000001</v>
      </c>
      <c r="Q1383">
        <v>9.0000000000000011E-3</v>
      </c>
      <c r="R1383">
        <v>0</v>
      </c>
      <c r="S1383">
        <v>0.43440000000000001</v>
      </c>
      <c r="T1383">
        <v>0.43440000000000001</v>
      </c>
      <c r="U1383">
        <v>7</v>
      </c>
      <c r="V1383">
        <v>0</v>
      </c>
      <c r="W1383">
        <v>0.2857142857142857</v>
      </c>
      <c r="X1383">
        <v>1</v>
      </c>
      <c r="Y1383">
        <v>0.55310000000000004</v>
      </c>
      <c r="Z1383">
        <v>1</v>
      </c>
    </row>
    <row r="1384" spans="1:26" x14ac:dyDescent="0.2">
      <c r="A1384" t="s">
        <v>120</v>
      </c>
      <c r="B1384">
        <v>2015</v>
      </c>
      <c r="C1384" t="str">
        <f t="shared" si="21"/>
        <v>PMC2015</v>
      </c>
      <c r="D1384">
        <v>9.3640498010580987E-13</v>
      </c>
      <c r="E1384">
        <v>0.3099910433524099</v>
      </c>
      <c r="F1384">
        <v>1.74311583748083</v>
      </c>
      <c r="G1384">
        <v>26.28883854734649</v>
      </c>
      <c r="H1384">
        <v>3.752623188869106</v>
      </c>
      <c r="I1384">
        <v>0.21075455216979691</v>
      </c>
      <c r="J1384">
        <v>0.1151168278424697</v>
      </c>
      <c r="K1384">
        <v>0.24458493568078299</v>
      </c>
      <c r="L1384">
        <v>0.13517529431613931</v>
      </c>
      <c r="M1384">
        <v>18</v>
      </c>
      <c r="N1384">
        <v>0</v>
      </c>
      <c r="O1384">
        <v>0</v>
      </c>
      <c r="P1384">
        <v>0.43440000000000001</v>
      </c>
      <c r="Q1384">
        <v>9.0000000000000011E-3</v>
      </c>
      <c r="R1384">
        <v>0</v>
      </c>
      <c r="S1384">
        <v>0.43440000000000001</v>
      </c>
      <c r="T1384">
        <v>0.43440000000000001</v>
      </c>
      <c r="U1384">
        <v>7</v>
      </c>
      <c r="V1384">
        <v>0</v>
      </c>
      <c r="W1384">
        <v>0.2857142857142857</v>
      </c>
      <c r="X1384">
        <v>1</v>
      </c>
      <c r="Y1384">
        <v>0.56310000000000004</v>
      </c>
      <c r="Z1384">
        <v>1</v>
      </c>
    </row>
    <row r="1385" spans="1:26" x14ac:dyDescent="0.2">
      <c r="A1385" t="s">
        <v>120</v>
      </c>
      <c r="B1385">
        <v>2016</v>
      </c>
      <c r="C1385" t="str">
        <f t="shared" si="21"/>
        <v>PMC2016</v>
      </c>
      <c r="D1385">
        <v>8.3819790437300926E-13</v>
      </c>
      <c r="E1385">
        <v>0.31020481611984752</v>
      </c>
      <c r="F1385">
        <v>2.3626003375137921</v>
      </c>
      <c r="G1385">
        <v>26.416968813354199</v>
      </c>
      <c r="H1385">
        <v>4.0201252616800049</v>
      </c>
      <c r="I1385">
        <v>0.19750595431585341</v>
      </c>
      <c r="J1385">
        <v>0.13670106656290321</v>
      </c>
      <c r="K1385">
        <v>0.14680889972826761</v>
      </c>
      <c r="L1385">
        <v>0.13944574275494881</v>
      </c>
      <c r="M1385">
        <v>19</v>
      </c>
      <c r="N1385">
        <v>0</v>
      </c>
      <c r="O1385">
        <v>0</v>
      </c>
      <c r="P1385">
        <v>0.43440000000000001</v>
      </c>
      <c r="Q1385">
        <v>1.52E-2</v>
      </c>
      <c r="R1385">
        <v>0</v>
      </c>
      <c r="S1385">
        <v>0.43440000000000001</v>
      </c>
      <c r="T1385">
        <v>0.43440000000000001</v>
      </c>
      <c r="U1385">
        <v>7</v>
      </c>
      <c r="V1385">
        <v>0</v>
      </c>
      <c r="W1385">
        <v>0.2857142857142857</v>
      </c>
      <c r="X1385">
        <v>1</v>
      </c>
      <c r="Y1385">
        <v>0.57310000000000005</v>
      </c>
      <c r="Z1385">
        <v>1</v>
      </c>
    </row>
    <row r="1386" spans="1:26" x14ac:dyDescent="0.2">
      <c r="A1386" t="s">
        <v>120</v>
      </c>
      <c r="B1386">
        <v>2017</v>
      </c>
      <c r="C1386" t="str">
        <f t="shared" si="21"/>
        <v>PMC2017</v>
      </c>
      <c r="D1386">
        <v>6.5813510186363293E-13</v>
      </c>
      <c r="E1386">
        <v>0.27064614385844349</v>
      </c>
      <c r="F1386">
        <v>2.1005122399614908</v>
      </c>
      <c r="G1386">
        <v>26.529743016300749</v>
      </c>
      <c r="H1386">
        <v>4.2603036059042392</v>
      </c>
      <c r="I1386">
        <v>0.1915852864849206</v>
      </c>
      <c r="J1386">
        <v>0.1193791518968665</v>
      </c>
      <c r="K1386">
        <v>0.17094411010232499</v>
      </c>
      <c r="L1386">
        <v>0.14641172614818751</v>
      </c>
      <c r="M1386">
        <v>20</v>
      </c>
      <c r="N1386">
        <v>0</v>
      </c>
      <c r="O1386">
        <v>0</v>
      </c>
      <c r="P1386">
        <v>0.43440000000000001</v>
      </c>
      <c r="Q1386">
        <v>1.54E-2</v>
      </c>
      <c r="R1386">
        <v>0</v>
      </c>
      <c r="S1386">
        <v>0.43440000000000001</v>
      </c>
      <c r="T1386">
        <v>0.43440000000000001</v>
      </c>
      <c r="U1386">
        <v>7</v>
      </c>
      <c r="V1386">
        <v>0</v>
      </c>
      <c r="W1386">
        <v>0.2857142857142857</v>
      </c>
      <c r="X1386">
        <v>1</v>
      </c>
      <c r="Y1386">
        <v>0.58310000000000006</v>
      </c>
      <c r="Z1386">
        <v>0.8571428571428571</v>
      </c>
    </row>
    <row r="1387" spans="1:26" x14ac:dyDescent="0.2">
      <c r="A1387" t="s">
        <v>120</v>
      </c>
      <c r="B1387">
        <v>2018</v>
      </c>
      <c r="C1387" t="str">
        <f t="shared" si="21"/>
        <v>PMC2018</v>
      </c>
      <c r="D1387">
        <v>5.8599979071426877E-13</v>
      </c>
      <c r="E1387">
        <v>0.24537803865819899</v>
      </c>
      <c r="F1387">
        <v>1.64598679591848</v>
      </c>
      <c r="G1387">
        <v>26.594016443859161</v>
      </c>
      <c r="H1387">
        <v>4.3537078391496733</v>
      </c>
      <c r="I1387">
        <v>0.15336471720285619</v>
      </c>
      <c r="J1387">
        <v>6.6383937658700098E-2</v>
      </c>
      <c r="K1387">
        <v>0.16012989476090289</v>
      </c>
      <c r="L1387">
        <v>0.12889356983000749</v>
      </c>
      <c r="M1387">
        <v>21</v>
      </c>
      <c r="N1387">
        <v>0</v>
      </c>
      <c r="O1387">
        <v>0</v>
      </c>
      <c r="P1387">
        <v>0.43440000000000001</v>
      </c>
      <c r="Q1387">
        <v>1.54E-2</v>
      </c>
      <c r="R1387">
        <v>0</v>
      </c>
      <c r="S1387">
        <v>0.43440000000000001</v>
      </c>
      <c r="T1387">
        <v>0.43440000000000001</v>
      </c>
      <c r="U1387">
        <v>7</v>
      </c>
      <c r="V1387">
        <v>0</v>
      </c>
      <c r="W1387">
        <v>0.2857142857142857</v>
      </c>
      <c r="X1387">
        <v>1</v>
      </c>
      <c r="Y1387">
        <v>0.59310000000000007</v>
      </c>
      <c r="Z1387">
        <v>0.8571428571428571</v>
      </c>
    </row>
    <row r="1388" spans="1:26" x14ac:dyDescent="0.2">
      <c r="A1388" t="s">
        <v>120</v>
      </c>
      <c r="B1388">
        <v>2019</v>
      </c>
      <c r="C1388" t="str">
        <f t="shared" si="21"/>
        <v>PMC2019</v>
      </c>
      <c r="D1388">
        <v>5.0440441534526642E-13</v>
      </c>
      <c r="E1388">
        <v>0.2240925902506673</v>
      </c>
      <c r="F1388">
        <v>1.418276183482361</v>
      </c>
      <c r="G1388">
        <v>26.674195510342258</v>
      </c>
      <c r="H1388">
        <v>5.5683772251474668</v>
      </c>
      <c r="I1388">
        <v>0.1354157847802625</v>
      </c>
      <c r="J1388">
        <v>8.3481065449094505E-2</v>
      </c>
      <c r="K1388">
        <v>8.1379914705473552E-2</v>
      </c>
      <c r="L1388">
        <v>0.13064588057553861</v>
      </c>
      <c r="M1388">
        <v>22</v>
      </c>
      <c r="N1388">
        <v>0</v>
      </c>
      <c r="O1388">
        <v>1</v>
      </c>
      <c r="P1388">
        <v>0.43440000000000001</v>
      </c>
      <c r="Q1388">
        <v>7.8000000000000014E-3</v>
      </c>
      <c r="R1388">
        <v>0</v>
      </c>
      <c r="S1388">
        <v>0.43440000000000001</v>
      </c>
      <c r="T1388">
        <v>0.43440000000000001</v>
      </c>
      <c r="U1388">
        <v>7</v>
      </c>
      <c r="V1388">
        <v>0</v>
      </c>
      <c r="W1388">
        <v>0.14285714285714279</v>
      </c>
      <c r="X1388">
        <v>1</v>
      </c>
      <c r="Y1388">
        <v>0.53079999999999994</v>
      </c>
      <c r="Z1388">
        <v>1</v>
      </c>
    </row>
    <row r="1389" spans="1:26" x14ac:dyDescent="0.2">
      <c r="A1389" t="s">
        <v>120</v>
      </c>
      <c r="B1389">
        <v>2020</v>
      </c>
      <c r="C1389" t="str">
        <f t="shared" si="21"/>
        <v>PMC2020</v>
      </c>
      <c r="D1389">
        <v>4.0534395024125242E-13</v>
      </c>
      <c r="E1389">
        <v>0.20489755976852059</v>
      </c>
      <c r="F1389">
        <v>1.401931292901913</v>
      </c>
      <c r="G1389">
        <v>26.784845446301031</v>
      </c>
      <c r="H1389">
        <v>6.3134643791520269</v>
      </c>
      <c r="I1389">
        <v>0.1512154116889558</v>
      </c>
      <c r="J1389">
        <v>0.11700381553520869</v>
      </c>
      <c r="K1389">
        <v>0.2058563809599161</v>
      </c>
      <c r="L1389">
        <v>0.15191346769625499</v>
      </c>
      <c r="M1389">
        <v>23</v>
      </c>
      <c r="N1389">
        <v>0</v>
      </c>
      <c r="O1389">
        <v>1</v>
      </c>
      <c r="P1389">
        <v>0.52129999999999999</v>
      </c>
      <c r="Q1389">
        <v>5.8999999999999999E-3</v>
      </c>
      <c r="R1389">
        <v>0</v>
      </c>
      <c r="S1389">
        <v>0.43440000000000001</v>
      </c>
      <c r="T1389">
        <v>0.52129999999999999</v>
      </c>
      <c r="U1389">
        <v>7</v>
      </c>
      <c r="V1389">
        <v>0</v>
      </c>
      <c r="W1389">
        <v>0.14285714285714279</v>
      </c>
      <c r="X1389">
        <v>1</v>
      </c>
      <c r="Y1389">
        <v>0.52</v>
      </c>
      <c r="Z1389">
        <v>1</v>
      </c>
    </row>
    <row r="1390" spans="1:26" x14ac:dyDescent="0.2">
      <c r="A1390" t="s">
        <v>120</v>
      </c>
      <c r="B1390">
        <v>2021</v>
      </c>
      <c r="C1390" t="str">
        <f t="shared" si="21"/>
        <v>PMC2021</v>
      </c>
      <c r="D1390">
        <v>3.1768821394286538E-13</v>
      </c>
      <c r="E1390">
        <v>0.166530088127782</v>
      </c>
      <c r="F1390">
        <v>1.492601717803741</v>
      </c>
      <c r="G1390">
        <v>26.835827642732461</v>
      </c>
      <c r="H1390">
        <v>5.4860926652762574</v>
      </c>
      <c r="I1390">
        <v>0.1386884843965957</v>
      </c>
      <c r="J1390">
        <v>5.2304158347190599E-2</v>
      </c>
      <c r="K1390">
        <v>0.15574918870045101</v>
      </c>
      <c r="L1390">
        <v>0.1193821778127481</v>
      </c>
      <c r="M1390">
        <v>24</v>
      </c>
      <c r="N1390">
        <v>0</v>
      </c>
      <c r="O1390">
        <v>0</v>
      </c>
      <c r="P1390">
        <v>0.52129999999999999</v>
      </c>
      <c r="Q1390">
        <v>8.0000000000000002E-3</v>
      </c>
      <c r="R1390">
        <v>0</v>
      </c>
      <c r="S1390">
        <v>0.43440000000000001</v>
      </c>
      <c r="T1390">
        <v>0.52129999999999999</v>
      </c>
      <c r="U1390">
        <v>7</v>
      </c>
      <c r="V1390">
        <v>0</v>
      </c>
      <c r="W1390">
        <v>0.14285714285714279</v>
      </c>
      <c r="X1390">
        <v>1</v>
      </c>
      <c r="Y1390">
        <v>0.54710000000000003</v>
      </c>
      <c r="Z1390">
        <v>1</v>
      </c>
    </row>
    <row r="1391" spans="1:26" x14ac:dyDescent="0.2">
      <c r="A1391" t="s">
        <v>120</v>
      </c>
      <c r="B1391">
        <v>2022</v>
      </c>
      <c r="C1391" t="str">
        <f t="shared" si="21"/>
        <v>PMC2022</v>
      </c>
      <c r="D1391">
        <v>3.416485380768438E-13</v>
      </c>
      <c r="E1391">
        <v>0.19499756527150161</v>
      </c>
      <c r="F1391">
        <v>1.7396656679233089</v>
      </c>
      <c r="G1391">
        <v>26.926052641783649</v>
      </c>
      <c r="H1391">
        <v>6.2130439816302054</v>
      </c>
      <c r="I1391">
        <v>0.13426204157630689</v>
      </c>
      <c r="J1391">
        <v>9.4420499579004127E-2</v>
      </c>
      <c r="K1391">
        <v>9.8815525525943332E-2</v>
      </c>
      <c r="L1391">
        <v>9.2872288977164388E-2</v>
      </c>
      <c r="M1391">
        <v>25</v>
      </c>
      <c r="N1391">
        <v>0</v>
      </c>
      <c r="O1391">
        <v>0</v>
      </c>
      <c r="P1391">
        <v>0.58040000000000003</v>
      </c>
      <c r="Q1391">
        <v>5.5000000000000014E-3</v>
      </c>
      <c r="R1391">
        <v>0</v>
      </c>
      <c r="S1391">
        <v>0.43440000000000001</v>
      </c>
      <c r="T1391">
        <v>0.58040000000000003</v>
      </c>
      <c r="U1391">
        <v>7</v>
      </c>
      <c r="V1391">
        <v>0</v>
      </c>
      <c r="W1391">
        <v>0.14285714285714279</v>
      </c>
      <c r="X1391">
        <v>1</v>
      </c>
      <c r="Y1391">
        <v>0.51749999999999996</v>
      </c>
      <c r="Z1391">
        <v>1</v>
      </c>
    </row>
    <row r="1392" spans="1:26" x14ac:dyDescent="0.2">
      <c r="A1392" t="s">
        <v>120</v>
      </c>
      <c r="B1392">
        <v>2023</v>
      </c>
      <c r="C1392" t="str">
        <f t="shared" si="21"/>
        <v>PMC2023</v>
      </c>
      <c r="D1392">
        <v>637741711581.58472</v>
      </c>
      <c r="E1392">
        <v>0.19499756527150161</v>
      </c>
      <c r="F1392">
        <v>1.7396656679233089</v>
      </c>
      <c r="G1392">
        <v>26.778584102651031</v>
      </c>
      <c r="H1392">
        <v>6.6494914968548997</v>
      </c>
      <c r="I1392">
        <v>0.13426204157630689</v>
      </c>
      <c r="J1392">
        <v>-0.13711041485084999</v>
      </c>
      <c r="K1392">
        <v>0.26756378849438589</v>
      </c>
      <c r="L1392">
        <v>9.3120617411983062E-2</v>
      </c>
      <c r="M1392">
        <v>26</v>
      </c>
      <c r="N1392">
        <v>0</v>
      </c>
      <c r="O1392">
        <v>0</v>
      </c>
      <c r="P1392">
        <v>0.58040000000000003</v>
      </c>
      <c r="Q1392">
        <v>5.5000000000000014E-3</v>
      </c>
      <c r="R1392">
        <v>0</v>
      </c>
      <c r="S1392">
        <v>0.43440000000000001</v>
      </c>
      <c r="T1392">
        <v>0.58040000000000003</v>
      </c>
      <c r="U1392">
        <v>7</v>
      </c>
      <c r="V1392">
        <v>0</v>
      </c>
      <c r="W1392">
        <v>0.14285714285714279</v>
      </c>
      <c r="X1392">
        <v>1</v>
      </c>
      <c r="Y1392">
        <v>0.51749999999999996</v>
      </c>
      <c r="Z1392">
        <v>1</v>
      </c>
    </row>
    <row r="1393" spans="1:26" x14ac:dyDescent="0.2">
      <c r="A1393" t="s">
        <v>121</v>
      </c>
      <c r="B1393">
        <v>2014</v>
      </c>
      <c r="C1393" t="str">
        <f t="shared" si="21"/>
        <v>PMP2014</v>
      </c>
      <c r="D1393">
        <v>8.5022956737897192E-13</v>
      </c>
      <c r="E1393">
        <v>0.16870726724599769</v>
      </c>
      <c r="F1393">
        <v>1.07047934588521</v>
      </c>
      <c r="G1393">
        <v>25.41835604435531</v>
      </c>
      <c r="H1393" t="e">
        <v>#N/A</v>
      </c>
      <c r="I1393">
        <v>0.44861597131301839</v>
      </c>
      <c r="J1393">
        <v>0</v>
      </c>
      <c r="K1393">
        <v>2.4190688959635609E-2</v>
      </c>
      <c r="L1393">
        <v>0.37471918818594391</v>
      </c>
      <c r="M1393">
        <v>6</v>
      </c>
      <c r="N1393">
        <v>1</v>
      </c>
      <c r="O1393">
        <v>0</v>
      </c>
      <c r="P1393">
        <v>0.83340000000000003</v>
      </c>
      <c r="Q1393">
        <v>5.6800000000000003E-2</v>
      </c>
      <c r="R1393">
        <v>0</v>
      </c>
      <c r="S1393">
        <v>0.43340000000000001</v>
      </c>
      <c r="T1393">
        <v>0.83340000000000003</v>
      </c>
      <c r="U1393">
        <v>5</v>
      </c>
      <c r="V1393">
        <v>0</v>
      </c>
      <c r="W1393">
        <v>0.2</v>
      </c>
      <c r="X1393">
        <v>1</v>
      </c>
      <c r="Y1393">
        <v>0.4118</v>
      </c>
      <c r="Z1393">
        <v>1</v>
      </c>
    </row>
    <row r="1394" spans="1:26" x14ac:dyDescent="0.2">
      <c r="A1394" t="s">
        <v>121</v>
      </c>
      <c r="B1394">
        <v>2015</v>
      </c>
      <c r="C1394" t="str">
        <f t="shared" si="21"/>
        <v>PMP2015</v>
      </c>
      <c r="D1394">
        <v>7.1692842708109611E-13</v>
      </c>
      <c r="E1394">
        <v>0.17673081286525641</v>
      </c>
      <c r="F1394">
        <v>0.96721718216504093</v>
      </c>
      <c r="G1394">
        <v>25.547595819247501</v>
      </c>
      <c r="H1394">
        <v>1.3976074337523881</v>
      </c>
      <c r="I1394">
        <v>0.49493948615533823</v>
      </c>
      <c r="J1394">
        <v>0.13796294639925891</v>
      </c>
      <c r="K1394">
        <v>2.2960060706792872E-2</v>
      </c>
      <c r="L1394">
        <v>0.32528137248145877</v>
      </c>
      <c r="M1394">
        <v>7</v>
      </c>
      <c r="N1394">
        <v>1</v>
      </c>
      <c r="O1394">
        <v>0</v>
      </c>
      <c r="P1394">
        <v>0.83340000000000003</v>
      </c>
      <c r="Q1394">
        <v>5.6800000000000003E-2</v>
      </c>
      <c r="R1394">
        <v>0</v>
      </c>
      <c r="S1394">
        <v>0.43340000000000001</v>
      </c>
      <c r="T1394">
        <v>0.83340000000000003</v>
      </c>
      <c r="U1394">
        <v>5</v>
      </c>
      <c r="V1394">
        <v>0</v>
      </c>
      <c r="W1394">
        <v>0.2</v>
      </c>
      <c r="X1394">
        <v>1</v>
      </c>
      <c r="Y1394">
        <v>0.42180000000000001</v>
      </c>
      <c r="Z1394">
        <v>1</v>
      </c>
    </row>
    <row r="1395" spans="1:26" x14ac:dyDescent="0.2">
      <c r="A1395" t="s">
        <v>121</v>
      </c>
      <c r="B1395">
        <v>2016</v>
      </c>
      <c r="C1395" t="str">
        <f t="shared" si="21"/>
        <v>PMP2016</v>
      </c>
      <c r="D1395">
        <v>5.0681221821207109E-13</v>
      </c>
      <c r="E1395">
        <v>0.16118049070620419</v>
      </c>
      <c r="F1395">
        <v>1.01509638098448</v>
      </c>
      <c r="G1395">
        <v>25.68535930831095</v>
      </c>
      <c r="H1395">
        <v>1.39312527946802</v>
      </c>
      <c r="I1395">
        <v>0.55069172622603213</v>
      </c>
      <c r="J1395">
        <v>0.14770407360650359</v>
      </c>
      <c r="K1395">
        <v>-9.5938297146686176E-3</v>
      </c>
      <c r="L1395">
        <v>0.33660428224297129</v>
      </c>
      <c r="M1395">
        <v>8</v>
      </c>
      <c r="N1395">
        <v>1</v>
      </c>
      <c r="O1395">
        <v>0</v>
      </c>
      <c r="P1395">
        <v>0.83340000000000003</v>
      </c>
      <c r="Q1395">
        <v>5.8000000000000003E-2</v>
      </c>
      <c r="R1395">
        <v>0</v>
      </c>
      <c r="S1395">
        <v>0.43340000000000001</v>
      </c>
      <c r="T1395">
        <v>0.83340000000000003</v>
      </c>
      <c r="U1395">
        <v>5</v>
      </c>
      <c r="V1395">
        <v>0</v>
      </c>
      <c r="W1395">
        <v>0.4</v>
      </c>
      <c r="X1395">
        <v>1</v>
      </c>
      <c r="Y1395">
        <v>0.42449999999999999</v>
      </c>
      <c r="Z1395">
        <v>1</v>
      </c>
    </row>
    <row r="1396" spans="1:26" x14ac:dyDescent="0.2">
      <c r="A1396" t="s">
        <v>121</v>
      </c>
      <c r="B1396">
        <v>2017</v>
      </c>
      <c r="C1396" t="str">
        <f t="shared" si="21"/>
        <v>PMP2017</v>
      </c>
      <c r="D1396">
        <v>3.0703009561235298E-13</v>
      </c>
      <c r="E1396">
        <v>0.18055275848589411</v>
      </c>
      <c r="F1396">
        <v>1.0598805404804059</v>
      </c>
      <c r="G1396">
        <v>26.00583491115615</v>
      </c>
      <c r="H1396">
        <v>1.226626645477523</v>
      </c>
      <c r="I1396">
        <v>0.66521389932098207</v>
      </c>
      <c r="J1396">
        <v>0.37778288599539378</v>
      </c>
      <c r="K1396">
        <v>7.4513751537203937E-2</v>
      </c>
      <c r="L1396">
        <v>0.38613748858812241</v>
      </c>
      <c r="M1396">
        <v>9</v>
      </c>
      <c r="N1396">
        <v>1</v>
      </c>
      <c r="O1396">
        <v>0</v>
      </c>
      <c r="P1396">
        <v>0.83340000000000003</v>
      </c>
      <c r="Q1396">
        <v>5.8000000000000003E-2</v>
      </c>
      <c r="R1396">
        <v>0</v>
      </c>
      <c r="S1396">
        <v>0.43340000000000001</v>
      </c>
      <c r="T1396">
        <v>0.83340000000000003</v>
      </c>
      <c r="U1396">
        <v>5</v>
      </c>
      <c r="V1396">
        <v>0</v>
      </c>
      <c r="W1396">
        <v>0.4</v>
      </c>
      <c r="X1396">
        <v>1</v>
      </c>
      <c r="Y1396">
        <v>0.43450000000000011</v>
      </c>
      <c r="Z1396">
        <v>1</v>
      </c>
    </row>
    <row r="1397" spans="1:26" x14ac:dyDescent="0.2">
      <c r="A1397" t="s">
        <v>121</v>
      </c>
      <c r="B1397">
        <v>2018</v>
      </c>
      <c r="C1397" t="str">
        <f t="shared" si="21"/>
        <v>PMP2018</v>
      </c>
      <c r="D1397">
        <v>1.5361081272840351E-13</v>
      </c>
      <c r="E1397">
        <v>0.13245471749567941</v>
      </c>
      <c r="F1397">
        <v>0.9840291350769157</v>
      </c>
      <c r="G1397">
        <v>26.19435705630562</v>
      </c>
      <c r="H1397">
        <v>1.0740301804654231</v>
      </c>
      <c r="I1397">
        <v>0.72431122554006677</v>
      </c>
      <c r="J1397">
        <v>0.20746382215736039</v>
      </c>
      <c r="K1397">
        <v>-2.3929227507276771E-3</v>
      </c>
      <c r="L1397">
        <v>0.29688022102690348</v>
      </c>
      <c r="M1397">
        <v>10</v>
      </c>
      <c r="N1397">
        <v>1</v>
      </c>
      <c r="O1397">
        <v>0</v>
      </c>
      <c r="P1397">
        <v>0.83340000000000003</v>
      </c>
      <c r="Q1397">
        <v>5.5599999999999997E-2</v>
      </c>
      <c r="R1397">
        <v>0</v>
      </c>
      <c r="S1397">
        <v>0.43340000000000001</v>
      </c>
      <c r="T1397">
        <v>0.83340000000000003</v>
      </c>
      <c r="U1397">
        <v>5</v>
      </c>
      <c r="V1397">
        <v>0</v>
      </c>
      <c r="W1397">
        <v>0.4</v>
      </c>
      <c r="X1397">
        <v>0</v>
      </c>
      <c r="Y1397">
        <v>0.43559999999999999</v>
      </c>
      <c r="Z1397">
        <v>1</v>
      </c>
    </row>
    <row r="1398" spans="1:26" x14ac:dyDescent="0.2">
      <c r="A1398" t="s">
        <v>121</v>
      </c>
      <c r="B1398">
        <v>2019</v>
      </c>
      <c r="C1398" t="str">
        <f t="shared" si="21"/>
        <v>PMP2019</v>
      </c>
      <c r="D1398">
        <v>8.1326417972730208E-14</v>
      </c>
      <c r="E1398">
        <v>6.3178351112441161E-2</v>
      </c>
      <c r="F1398">
        <v>0.9537203345652191</v>
      </c>
      <c r="G1398">
        <v>26.11653109353885</v>
      </c>
      <c r="H1398">
        <v>1.0518204056716971</v>
      </c>
      <c r="I1398">
        <v>0.71690728243358193</v>
      </c>
      <c r="J1398">
        <v>-7.4874581197904133E-2</v>
      </c>
      <c r="K1398">
        <v>1.900558810555128E-2</v>
      </c>
      <c r="L1398">
        <v>0.3046932107728767</v>
      </c>
      <c r="M1398">
        <v>11</v>
      </c>
      <c r="N1398">
        <v>1</v>
      </c>
      <c r="O1398">
        <v>1</v>
      </c>
      <c r="P1398">
        <v>0.83340000000000003</v>
      </c>
      <c r="Q1398">
        <v>4.7999999999999996E-3</v>
      </c>
      <c r="R1398">
        <v>0</v>
      </c>
      <c r="S1398">
        <v>0.43340000000000001</v>
      </c>
      <c r="T1398">
        <v>0.83340000000000003</v>
      </c>
      <c r="U1398">
        <v>5</v>
      </c>
      <c r="V1398">
        <v>0</v>
      </c>
      <c r="W1398">
        <v>0.2</v>
      </c>
      <c r="X1398">
        <v>0</v>
      </c>
      <c r="Y1398">
        <v>0.43559999999999999</v>
      </c>
      <c r="Z1398">
        <v>1</v>
      </c>
    </row>
    <row r="1399" spans="1:26" x14ac:dyDescent="0.2">
      <c r="A1399" t="s">
        <v>121</v>
      </c>
      <c r="B1399">
        <v>2020</v>
      </c>
      <c r="C1399" t="str">
        <f t="shared" si="21"/>
        <v>PMP2020</v>
      </c>
      <c r="D1399">
        <v>1.0472904095482251E-13</v>
      </c>
      <c r="E1399">
        <v>9.5600871241329793E-2</v>
      </c>
      <c r="F1399">
        <v>0.89840455016411136</v>
      </c>
      <c r="G1399">
        <v>26.215376512928248</v>
      </c>
      <c r="H1399">
        <v>1.0364777189186309</v>
      </c>
      <c r="I1399">
        <v>0.734050831409779</v>
      </c>
      <c r="J1399">
        <v>0.1038956455063922</v>
      </c>
      <c r="K1399">
        <v>0.1000257161594532</v>
      </c>
      <c r="L1399">
        <v>0.28599997478752992</v>
      </c>
      <c r="M1399">
        <v>12</v>
      </c>
      <c r="N1399">
        <v>1</v>
      </c>
      <c r="O1399">
        <v>1</v>
      </c>
      <c r="P1399">
        <v>0.83340000000000003</v>
      </c>
      <c r="Q1399">
        <v>5.8999999999999999E-3</v>
      </c>
      <c r="R1399">
        <v>0</v>
      </c>
      <c r="S1399">
        <v>0.43340000000000001</v>
      </c>
      <c r="T1399">
        <v>0.83340000000000003</v>
      </c>
      <c r="U1399">
        <v>5</v>
      </c>
      <c r="V1399">
        <v>0</v>
      </c>
      <c r="W1399">
        <v>0</v>
      </c>
      <c r="X1399">
        <v>0</v>
      </c>
      <c r="Y1399">
        <v>0.45250000000000001</v>
      </c>
      <c r="Z1399">
        <v>1</v>
      </c>
    </row>
    <row r="1400" spans="1:26" x14ac:dyDescent="0.2">
      <c r="A1400" t="s">
        <v>121</v>
      </c>
      <c r="B1400">
        <v>2021</v>
      </c>
      <c r="C1400" t="str">
        <f t="shared" si="21"/>
        <v>PMP2021</v>
      </c>
      <c r="D1400">
        <v>1.033007444488482E-13</v>
      </c>
      <c r="E1400">
        <v>0.1017604685571161</v>
      </c>
      <c r="F1400">
        <v>1.009520723364725</v>
      </c>
      <c r="G1400">
        <v>26.264700264056621</v>
      </c>
      <c r="H1400">
        <v>1.014867136024032</v>
      </c>
      <c r="I1400">
        <v>0.74109600798801289</v>
      </c>
      <c r="J1400">
        <v>5.0560415808879267E-2</v>
      </c>
      <c r="K1400">
        <v>6.5021289630832341E-2</v>
      </c>
      <c r="L1400">
        <v>0.2513070843169331</v>
      </c>
      <c r="M1400">
        <v>13</v>
      </c>
      <c r="N1400">
        <v>0</v>
      </c>
      <c r="O1400">
        <v>0</v>
      </c>
      <c r="P1400">
        <v>0.83340000000000003</v>
      </c>
      <c r="Q1400">
        <v>5.8999999999999999E-3</v>
      </c>
      <c r="R1400">
        <v>0</v>
      </c>
      <c r="S1400">
        <v>0.43340000000000001</v>
      </c>
      <c r="T1400">
        <v>0.83340000000000003</v>
      </c>
      <c r="U1400">
        <v>4</v>
      </c>
      <c r="V1400">
        <v>0</v>
      </c>
      <c r="W1400">
        <v>0</v>
      </c>
      <c r="X1400">
        <v>1</v>
      </c>
      <c r="Y1400">
        <v>0.45379999999999998</v>
      </c>
      <c r="Z1400">
        <v>1</v>
      </c>
    </row>
    <row r="1401" spans="1:26" x14ac:dyDescent="0.2">
      <c r="A1401" t="s">
        <v>121</v>
      </c>
      <c r="B1401">
        <v>2022</v>
      </c>
      <c r="C1401" t="str">
        <f t="shared" si="21"/>
        <v>PMP2022</v>
      </c>
      <c r="D1401">
        <v>1.2446737187067691E-13</v>
      </c>
      <c r="E1401">
        <v>0.10573409427404599</v>
      </c>
      <c r="F1401">
        <v>0.92842220204631354</v>
      </c>
      <c r="G1401">
        <v>26.20198815366243</v>
      </c>
      <c r="H1401">
        <v>1.0284514139254859</v>
      </c>
      <c r="I1401">
        <v>0.71801932870332608</v>
      </c>
      <c r="J1401">
        <v>-6.0786175330600933E-2</v>
      </c>
      <c r="K1401">
        <v>-6.2957570102950666E-2</v>
      </c>
      <c r="L1401">
        <v>0.26176701845739009</v>
      </c>
      <c r="M1401">
        <v>14</v>
      </c>
      <c r="N1401">
        <v>0</v>
      </c>
      <c r="O1401">
        <v>0</v>
      </c>
      <c r="P1401">
        <v>0.83340000000000003</v>
      </c>
      <c r="Q1401">
        <v>0</v>
      </c>
      <c r="R1401">
        <v>0</v>
      </c>
      <c r="S1401">
        <v>0.43340000000000001</v>
      </c>
      <c r="T1401">
        <v>0.83340000000000003</v>
      </c>
      <c r="U1401">
        <v>5</v>
      </c>
      <c r="V1401">
        <v>0</v>
      </c>
      <c r="W1401">
        <v>0</v>
      </c>
      <c r="X1401">
        <v>1</v>
      </c>
      <c r="Y1401">
        <v>0.47220000000000001</v>
      </c>
      <c r="Z1401">
        <v>1</v>
      </c>
    </row>
    <row r="1402" spans="1:26" x14ac:dyDescent="0.2">
      <c r="A1402" t="s">
        <v>121</v>
      </c>
      <c r="B1402">
        <v>2023</v>
      </c>
      <c r="C1402" t="str">
        <f t="shared" si="21"/>
        <v>PMP2023</v>
      </c>
      <c r="D1402">
        <v>-1401093109057.019</v>
      </c>
      <c r="E1402">
        <v>5.8064129388700973E-2</v>
      </c>
      <c r="F1402">
        <v>0.69102876027050164</v>
      </c>
      <c r="G1402">
        <v>26.196765044920991</v>
      </c>
      <c r="H1402">
        <v>1.0354602270504989</v>
      </c>
      <c r="I1402">
        <v>0.47247389800375239</v>
      </c>
      <c r="J1402">
        <v>-5.2094920264881273E-3</v>
      </c>
      <c r="K1402">
        <v>0.13418081577932281</v>
      </c>
      <c r="L1402">
        <v>0.24758503076297439</v>
      </c>
      <c r="M1402">
        <v>15</v>
      </c>
      <c r="N1402">
        <v>0</v>
      </c>
      <c r="O1402">
        <v>0</v>
      </c>
      <c r="P1402">
        <v>0.83340000000000003</v>
      </c>
      <c r="Q1402">
        <v>0</v>
      </c>
      <c r="R1402">
        <v>0</v>
      </c>
      <c r="S1402">
        <v>0.43340000000000001</v>
      </c>
      <c r="T1402">
        <v>0.83340000000000003</v>
      </c>
      <c r="U1402">
        <v>5</v>
      </c>
      <c r="V1402">
        <v>0</v>
      </c>
      <c r="W1402">
        <v>0</v>
      </c>
      <c r="X1402">
        <v>1</v>
      </c>
      <c r="Y1402">
        <v>0.47220000000000001</v>
      </c>
      <c r="Z1402">
        <v>1</v>
      </c>
    </row>
    <row r="1403" spans="1:26" x14ac:dyDescent="0.2">
      <c r="A1403" t="s">
        <v>122</v>
      </c>
      <c r="B1403">
        <v>2012</v>
      </c>
      <c r="C1403" t="str">
        <f t="shared" si="21"/>
        <v>PMS2012</v>
      </c>
      <c r="D1403">
        <v>1.7793386473855631E-13</v>
      </c>
      <c r="E1403">
        <v>5.114718602894721E-2</v>
      </c>
      <c r="F1403">
        <v>0.58542188412567353</v>
      </c>
      <c r="G1403">
        <v>25.935380395092391</v>
      </c>
      <c r="H1403">
        <v>1.6102855221195349</v>
      </c>
      <c r="I1403">
        <v>0.36169321870594889</v>
      </c>
      <c r="J1403">
        <v>-0.18921430269715911</v>
      </c>
      <c r="K1403">
        <v>0.14822406604637561</v>
      </c>
      <c r="L1403">
        <v>7.7583901580465298E-2</v>
      </c>
      <c r="M1403">
        <v>15</v>
      </c>
      <c r="N1403">
        <v>0</v>
      </c>
      <c r="O1403">
        <v>0</v>
      </c>
      <c r="P1403">
        <v>0.69</v>
      </c>
      <c r="Q1403">
        <v>1.38E-2</v>
      </c>
      <c r="R1403">
        <v>0</v>
      </c>
      <c r="S1403">
        <v>0.46</v>
      </c>
      <c r="T1403">
        <v>0.69</v>
      </c>
      <c r="U1403">
        <v>5</v>
      </c>
      <c r="V1403">
        <v>0</v>
      </c>
      <c r="W1403">
        <v>0</v>
      </c>
      <c r="X1403">
        <v>1</v>
      </c>
      <c r="Y1403">
        <v>0.46360000000000001</v>
      </c>
      <c r="Z1403">
        <v>1</v>
      </c>
    </row>
    <row r="1404" spans="1:26" x14ac:dyDescent="0.2">
      <c r="A1404" t="s">
        <v>122</v>
      </c>
      <c r="B1404">
        <v>2013</v>
      </c>
      <c r="C1404" t="str">
        <f t="shared" si="21"/>
        <v>PMS2013</v>
      </c>
      <c r="D1404">
        <v>2.2465569662544411E-13</v>
      </c>
      <c r="E1404">
        <v>5.5236670158770207E-2</v>
      </c>
      <c r="F1404">
        <v>1.1913500139646129</v>
      </c>
      <c r="G1404">
        <v>25.8580423566817</v>
      </c>
      <c r="H1404">
        <v>2.0798318682173682</v>
      </c>
      <c r="I1404">
        <v>0.30929109721924192</v>
      </c>
      <c r="J1404">
        <v>-7.4423079833347283E-2</v>
      </c>
      <c r="K1404">
        <v>0.1086613303112008</v>
      </c>
      <c r="L1404">
        <v>7.3526408730898662E-2</v>
      </c>
      <c r="M1404">
        <v>16</v>
      </c>
      <c r="N1404">
        <v>0</v>
      </c>
      <c r="O1404">
        <v>0</v>
      </c>
      <c r="P1404">
        <v>0.69</v>
      </c>
      <c r="Q1404">
        <v>1.38E-2</v>
      </c>
      <c r="R1404">
        <v>0</v>
      </c>
      <c r="S1404">
        <v>0.46</v>
      </c>
      <c r="T1404">
        <v>0.69</v>
      </c>
      <c r="U1404">
        <v>5</v>
      </c>
      <c r="V1404">
        <v>0</v>
      </c>
      <c r="W1404">
        <v>0</v>
      </c>
      <c r="X1404">
        <v>1</v>
      </c>
      <c r="Y1404">
        <v>0.44</v>
      </c>
      <c r="Z1404">
        <v>1</v>
      </c>
    </row>
    <row r="1405" spans="1:26" x14ac:dyDescent="0.2">
      <c r="A1405" t="s">
        <v>122</v>
      </c>
      <c r="B1405">
        <v>2014</v>
      </c>
      <c r="C1405" t="str">
        <f t="shared" si="21"/>
        <v>PMS2014</v>
      </c>
      <c r="D1405">
        <v>2.5569892835231402E-13</v>
      </c>
      <c r="E1405">
        <v>7.7855702964372886E-2</v>
      </c>
      <c r="F1405">
        <v>0.78062478116904965</v>
      </c>
      <c r="G1405">
        <v>25.978496463336249</v>
      </c>
      <c r="H1405">
        <v>2.398001783251134</v>
      </c>
      <c r="I1405">
        <v>0.37084719133995081</v>
      </c>
      <c r="J1405">
        <v>0.1208353347590263</v>
      </c>
      <c r="K1405">
        <v>-8.5157576323819817E-2</v>
      </c>
      <c r="L1405">
        <v>6.0843231215329828E-2</v>
      </c>
      <c r="M1405">
        <v>17</v>
      </c>
      <c r="N1405">
        <v>0</v>
      </c>
      <c r="O1405">
        <v>0</v>
      </c>
      <c r="P1405">
        <v>0.69</v>
      </c>
      <c r="Q1405">
        <v>1.38E-2</v>
      </c>
      <c r="R1405">
        <v>0</v>
      </c>
      <c r="S1405">
        <v>0.46</v>
      </c>
      <c r="T1405">
        <v>0.69</v>
      </c>
      <c r="U1405">
        <v>5</v>
      </c>
      <c r="V1405">
        <v>0</v>
      </c>
      <c r="W1405">
        <v>0</v>
      </c>
      <c r="X1405">
        <v>1</v>
      </c>
      <c r="Y1405">
        <v>0.45</v>
      </c>
      <c r="Z1405">
        <v>1</v>
      </c>
    </row>
    <row r="1406" spans="1:26" x14ac:dyDescent="0.2">
      <c r="A1406" t="s">
        <v>122</v>
      </c>
      <c r="B1406">
        <v>2015</v>
      </c>
      <c r="C1406" t="str">
        <f t="shared" si="21"/>
        <v>PMS2015</v>
      </c>
      <c r="D1406">
        <v>6.393874631826607E-13</v>
      </c>
      <c r="E1406">
        <v>0.2278665790002157</v>
      </c>
      <c r="F1406">
        <v>0.74797274700817229</v>
      </c>
      <c r="G1406">
        <v>26.147191457052909</v>
      </c>
      <c r="H1406">
        <v>2.1402215683305812</v>
      </c>
      <c r="I1406">
        <v>0.36369629589845909</v>
      </c>
      <c r="J1406">
        <v>0.19133539480070841</v>
      </c>
      <c r="K1406">
        <v>0.14716142107833061</v>
      </c>
      <c r="L1406">
        <v>5.2495532252896757E-2</v>
      </c>
      <c r="M1406">
        <v>18</v>
      </c>
      <c r="N1406">
        <v>0</v>
      </c>
      <c r="O1406">
        <v>0</v>
      </c>
      <c r="P1406">
        <v>0.69</v>
      </c>
      <c r="Q1406">
        <v>1.3299999999999999E-2</v>
      </c>
      <c r="R1406">
        <v>0</v>
      </c>
      <c r="S1406">
        <v>0.46</v>
      </c>
      <c r="T1406">
        <v>0.69</v>
      </c>
      <c r="U1406">
        <v>5</v>
      </c>
      <c r="V1406">
        <v>0</v>
      </c>
      <c r="W1406">
        <v>0</v>
      </c>
      <c r="X1406">
        <v>1</v>
      </c>
      <c r="Y1406">
        <v>0.46</v>
      </c>
      <c r="Z1406">
        <v>1</v>
      </c>
    </row>
    <row r="1407" spans="1:26" x14ac:dyDescent="0.2">
      <c r="A1407" t="s">
        <v>122</v>
      </c>
      <c r="B1407">
        <v>2016</v>
      </c>
      <c r="C1407" t="str">
        <f t="shared" si="21"/>
        <v>PMS2016</v>
      </c>
      <c r="D1407">
        <v>3.5484866947577918E-13</v>
      </c>
      <c r="E1407">
        <v>0.2008760759085417</v>
      </c>
      <c r="F1407">
        <v>1.020185345673587</v>
      </c>
      <c r="G1407">
        <v>26.450568185909869</v>
      </c>
      <c r="H1407">
        <v>2.488009760165566</v>
      </c>
      <c r="I1407">
        <v>0.45743625314519792</v>
      </c>
      <c r="J1407">
        <v>0.35442461917986862</v>
      </c>
      <c r="K1407">
        <v>-8.7889050420633275E-2</v>
      </c>
      <c r="L1407">
        <v>0.25115191614499832</v>
      </c>
      <c r="M1407">
        <v>19</v>
      </c>
      <c r="N1407">
        <v>0</v>
      </c>
      <c r="O1407">
        <v>0</v>
      </c>
      <c r="P1407">
        <v>0.69</v>
      </c>
      <c r="Q1407">
        <v>1.34E-2</v>
      </c>
      <c r="R1407">
        <v>0</v>
      </c>
      <c r="S1407">
        <v>0.46</v>
      </c>
      <c r="T1407">
        <v>0.69</v>
      </c>
      <c r="U1407">
        <v>5</v>
      </c>
      <c r="V1407">
        <v>0</v>
      </c>
      <c r="W1407">
        <v>0</v>
      </c>
      <c r="X1407">
        <v>1</v>
      </c>
      <c r="Y1407">
        <v>0.47499999999999998</v>
      </c>
      <c r="Z1407">
        <v>1</v>
      </c>
    </row>
    <row r="1408" spans="1:26" x14ac:dyDescent="0.2">
      <c r="A1408" t="s">
        <v>122</v>
      </c>
      <c r="B1408">
        <v>2017</v>
      </c>
      <c r="C1408" t="str">
        <f t="shared" si="21"/>
        <v>PMS2017</v>
      </c>
      <c r="D1408">
        <v>2.5459087092466639E-13</v>
      </c>
      <c r="E1408">
        <v>0.14858332978116889</v>
      </c>
      <c r="F1408">
        <v>0.83547940455449088</v>
      </c>
      <c r="G1408">
        <v>26.444513149528131</v>
      </c>
      <c r="H1408">
        <v>1.0971724766105251</v>
      </c>
      <c r="I1408">
        <v>0.47690703722932709</v>
      </c>
      <c r="J1408">
        <v>-6.0367415927727866E-3</v>
      </c>
      <c r="K1408">
        <v>3.5699340633870029E-2</v>
      </c>
      <c r="L1408">
        <v>0.24120444289395099</v>
      </c>
      <c r="M1408">
        <v>20</v>
      </c>
      <c r="N1408">
        <v>0</v>
      </c>
      <c r="O1408">
        <v>0</v>
      </c>
      <c r="P1408">
        <v>0.57279999999999998</v>
      </c>
      <c r="Q1408">
        <v>1.3299999999999999E-2</v>
      </c>
      <c r="R1408">
        <v>0</v>
      </c>
      <c r="S1408">
        <v>0.46</v>
      </c>
      <c r="T1408">
        <v>0.46</v>
      </c>
      <c r="U1408">
        <v>5</v>
      </c>
      <c r="V1408">
        <v>1</v>
      </c>
      <c r="W1408">
        <v>0</v>
      </c>
      <c r="X1408">
        <v>0</v>
      </c>
      <c r="Y1408">
        <v>0.46880000000000011</v>
      </c>
      <c r="Z1408">
        <v>1</v>
      </c>
    </row>
    <row r="1409" spans="1:26" x14ac:dyDescent="0.2">
      <c r="A1409" t="s">
        <v>122</v>
      </c>
      <c r="B1409">
        <v>2018</v>
      </c>
      <c r="C1409" t="str">
        <f t="shared" si="21"/>
        <v>PMS2018</v>
      </c>
      <c r="D1409">
        <v>1.062255743569866E-13</v>
      </c>
      <c r="E1409">
        <v>8.9906013878669283E-2</v>
      </c>
      <c r="F1409">
        <v>0.84964483074884833</v>
      </c>
      <c r="G1409">
        <v>26.60228239286246</v>
      </c>
      <c r="H1409">
        <v>1.044524018567311</v>
      </c>
      <c r="I1409">
        <v>0.57765749230785612</v>
      </c>
      <c r="J1409">
        <v>0.17089597148072791</v>
      </c>
      <c r="K1409">
        <v>-4.7206110015487093E-2</v>
      </c>
      <c r="L1409">
        <v>0.25534238286640559</v>
      </c>
      <c r="M1409">
        <v>21</v>
      </c>
      <c r="N1409">
        <v>0</v>
      </c>
      <c r="O1409">
        <v>0</v>
      </c>
      <c r="P1409">
        <v>0.5746</v>
      </c>
      <c r="Q1409">
        <v>1.3299999999999999E-2</v>
      </c>
      <c r="R1409">
        <v>0</v>
      </c>
      <c r="S1409">
        <v>0.46</v>
      </c>
      <c r="T1409">
        <v>0.4617</v>
      </c>
      <c r="U1409">
        <v>5</v>
      </c>
      <c r="V1409">
        <v>1</v>
      </c>
      <c r="W1409">
        <v>0</v>
      </c>
      <c r="X1409">
        <v>0</v>
      </c>
      <c r="Y1409">
        <v>0.47249999999999998</v>
      </c>
      <c r="Z1409">
        <v>1</v>
      </c>
    </row>
    <row r="1410" spans="1:26" x14ac:dyDescent="0.2">
      <c r="A1410" t="s">
        <v>122</v>
      </c>
      <c r="B1410">
        <v>2019</v>
      </c>
      <c r="C1410" t="str">
        <f t="shared" si="21"/>
        <v>PMS2019</v>
      </c>
      <c r="D1410">
        <v>1.7328470772927731E-13</v>
      </c>
      <c r="E1410">
        <v>0.1112305831247125</v>
      </c>
      <c r="F1410">
        <v>0.80206776794492884</v>
      </c>
      <c r="G1410">
        <v>26.475635733980049</v>
      </c>
      <c r="H1410">
        <v>0.95513988390946403</v>
      </c>
      <c r="I1410">
        <v>0.50936499722513184</v>
      </c>
      <c r="J1410">
        <v>-0.1189550729964159</v>
      </c>
      <c r="K1410">
        <v>0.25325406896969438</v>
      </c>
      <c r="L1410">
        <v>0.26531829399039719</v>
      </c>
      <c r="M1410">
        <v>22</v>
      </c>
      <c r="N1410">
        <v>0</v>
      </c>
      <c r="O1410">
        <v>1</v>
      </c>
      <c r="P1410">
        <v>0.5746</v>
      </c>
      <c r="Q1410">
        <v>1.3299999999999999E-2</v>
      </c>
      <c r="R1410">
        <v>0</v>
      </c>
      <c r="S1410">
        <v>0.46</v>
      </c>
      <c r="T1410">
        <v>0.4617</v>
      </c>
      <c r="U1410">
        <v>5</v>
      </c>
      <c r="V1410">
        <v>0</v>
      </c>
      <c r="W1410">
        <v>0</v>
      </c>
      <c r="X1410">
        <v>0</v>
      </c>
      <c r="Y1410">
        <v>0.51749999999999996</v>
      </c>
      <c r="Z1410">
        <v>1</v>
      </c>
    </row>
    <row r="1411" spans="1:26" x14ac:dyDescent="0.2">
      <c r="A1411" t="s">
        <v>122</v>
      </c>
      <c r="B1411">
        <v>2020</v>
      </c>
      <c r="C1411" t="str">
        <f t="shared" ref="C1411:C1474" si="22">A1411&amp;B1411</f>
        <v>PMS2020</v>
      </c>
      <c r="D1411">
        <v>2.0635563654023411E-13</v>
      </c>
      <c r="E1411">
        <v>0.13378545276210521</v>
      </c>
      <c r="F1411">
        <v>0.84297043711698361</v>
      </c>
      <c r="G1411">
        <v>26.49282925441776</v>
      </c>
      <c r="H1411">
        <v>1.0599351639948991</v>
      </c>
      <c r="I1411">
        <v>0.50580653469111692</v>
      </c>
      <c r="J1411">
        <v>1.7342179780592382E-2</v>
      </c>
      <c r="K1411">
        <v>5.1651090047428377E-2</v>
      </c>
      <c r="L1411">
        <v>0.23612743465835989</v>
      </c>
      <c r="M1411">
        <v>23</v>
      </c>
      <c r="N1411">
        <v>0</v>
      </c>
      <c r="O1411">
        <v>1</v>
      </c>
      <c r="P1411">
        <v>0.57289999999999996</v>
      </c>
      <c r="Q1411">
        <v>1.3299999999999999E-2</v>
      </c>
      <c r="R1411">
        <v>0</v>
      </c>
      <c r="S1411">
        <v>0.46</v>
      </c>
      <c r="T1411">
        <v>0.46</v>
      </c>
      <c r="U1411">
        <v>5</v>
      </c>
      <c r="V1411">
        <v>0</v>
      </c>
      <c r="W1411">
        <v>0</v>
      </c>
      <c r="X1411">
        <v>0</v>
      </c>
      <c r="Y1411">
        <v>0.51249999999999996</v>
      </c>
      <c r="Z1411">
        <v>1</v>
      </c>
    </row>
    <row r="1412" spans="1:26" x14ac:dyDescent="0.2">
      <c r="A1412" t="s">
        <v>122</v>
      </c>
      <c r="B1412">
        <v>2021</v>
      </c>
      <c r="C1412" t="str">
        <f t="shared" si="22"/>
        <v>PMS2021</v>
      </c>
      <c r="D1412">
        <v>2.2969585716629448E-13</v>
      </c>
      <c r="E1412">
        <v>0.14816810257447069</v>
      </c>
      <c r="F1412">
        <v>1.004441802002314</v>
      </c>
      <c r="G1412">
        <v>26.506278885483219</v>
      </c>
      <c r="H1412">
        <v>1.1070038036218479</v>
      </c>
      <c r="I1412">
        <v>0.49658158422528409</v>
      </c>
      <c r="J1412">
        <v>1.35404842101885E-2</v>
      </c>
      <c r="K1412">
        <v>0.1213155888279757</v>
      </c>
      <c r="L1412">
        <v>0.20931300046305051</v>
      </c>
      <c r="M1412">
        <v>24</v>
      </c>
      <c r="N1412">
        <v>0</v>
      </c>
      <c r="O1412">
        <v>0</v>
      </c>
      <c r="P1412">
        <v>0.57289999999999996</v>
      </c>
      <c r="Q1412">
        <v>4.1500000000000002E-2</v>
      </c>
      <c r="R1412">
        <v>0</v>
      </c>
      <c r="S1412">
        <v>0.46</v>
      </c>
      <c r="T1412">
        <v>0.46</v>
      </c>
      <c r="U1412">
        <v>5</v>
      </c>
      <c r="V1412">
        <v>0</v>
      </c>
      <c r="W1412">
        <v>0</v>
      </c>
      <c r="X1412">
        <v>0</v>
      </c>
      <c r="Y1412">
        <v>0.51</v>
      </c>
      <c r="Z1412">
        <v>1</v>
      </c>
    </row>
    <row r="1413" spans="1:26" x14ac:dyDescent="0.2">
      <c r="A1413" t="s">
        <v>122</v>
      </c>
      <c r="B1413">
        <v>2022</v>
      </c>
      <c r="C1413" t="str">
        <f t="shared" si="22"/>
        <v>PMS2022</v>
      </c>
      <c r="D1413">
        <v>2.164982225839293E-13</v>
      </c>
      <c r="E1413">
        <v>0.1448443790074618</v>
      </c>
      <c r="F1413">
        <v>0.97704238407956745</v>
      </c>
      <c r="G1413">
        <v>26.532452767642049</v>
      </c>
      <c r="H1413">
        <v>1.1723897393689551</v>
      </c>
      <c r="I1413">
        <v>0.50174631722896867</v>
      </c>
      <c r="J1413">
        <v>2.6519426369866709E-2</v>
      </c>
      <c r="K1413">
        <v>5.1192795660601982E-2</v>
      </c>
      <c r="L1413">
        <v>0.18904782705483181</v>
      </c>
      <c r="M1413">
        <v>25</v>
      </c>
      <c r="N1413">
        <v>0</v>
      </c>
      <c r="O1413">
        <v>0</v>
      </c>
      <c r="P1413">
        <v>0.57289999999999996</v>
      </c>
      <c r="Q1413">
        <v>4.5199999999999997E-2</v>
      </c>
      <c r="R1413">
        <v>0</v>
      </c>
      <c r="S1413">
        <v>0.46</v>
      </c>
      <c r="T1413">
        <v>0.46</v>
      </c>
      <c r="U1413">
        <v>5</v>
      </c>
      <c r="V1413">
        <v>0</v>
      </c>
      <c r="W1413">
        <v>0</v>
      </c>
      <c r="X1413">
        <v>0</v>
      </c>
      <c r="Y1413">
        <v>0.52800000000000002</v>
      </c>
      <c r="Z1413">
        <v>1</v>
      </c>
    </row>
    <row r="1414" spans="1:26" x14ac:dyDescent="0.2">
      <c r="A1414" t="s">
        <v>122</v>
      </c>
      <c r="B1414">
        <v>2023</v>
      </c>
      <c r="C1414" t="str">
        <f t="shared" si="22"/>
        <v>PMS2023</v>
      </c>
      <c r="D1414">
        <v>1221495193222.844</v>
      </c>
      <c r="E1414">
        <v>8.7981811124587139E-2</v>
      </c>
      <c r="F1414">
        <v>0.64548518607046745</v>
      </c>
      <c r="G1414">
        <v>26.766926355693091</v>
      </c>
      <c r="H1414">
        <v>1.251343699178268</v>
      </c>
      <c r="I1414">
        <v>0.20257637186651201</v>
      </c>
      <c r="J1414">
        <v>0.26424308087109122</v>
      </c>
      <c r="K1414">
        <v>3.5354601984551731E-2</v>
      </c>
      <c r="L1414">
        <v>0.13201452021202489</v>
      </c>
      <c r="M1414">
        <v>26</v>
      </c>
      <c r="N1414">
        <v>0</v>
      </c>
      <c r="O1414">
        <v>0</v>
      </c>
      <c r="P1414">
        <v>0.57289999999999996</v>
      </c>
      <c r="Q1414">
        <v>4.5199999999999997E-2</v>
      </c>
      <c r="R1414">
        <v>0</v>
      </c>
      <c r="S1414">
        <v>0.46</v>
      </c>
      <c r="T1414">
        <v>0.46</v>
      </c>
      <c r="U1414">
        <v>5</v>
      </c>
      <c r="V1414">
        <v>0</v>
      </c>
      <c r="W1414">
        <v>0</v>
      </c>
      <c r="X1414">
        <v>0</v>
      </c>
      <c r="Y1414">
        <v>0.52800000000000002</v>
      </c>
      <c r="Z1414">
        <v>1</v>
      </c>
    </row>
    <row r="1415" spans="1:26" x14ac:dyDescent="0.2">
      <c r="A1415" t="s">
        <v>123</v>
      </c>
      <c r="B1415">
        <v>2012</v>
      </c>
      <c r="C1415" t="str">
        <f t="shared" si="22"/>
        <v>POT2012</v>
      </c>
      <c r="D1415">
        <v>1.912870315057226E-14</v>
      </c>
      <c r="E1415">
        <v>2.617587454344952E-2</v>
      </c>
      <c r="F1415">
        <v>0.81294705735961392</v>
      </c>
      <c r="G1415">
        <v>27.171951272003891</v>
      </c>
      <c r="H1415">
        <v>1.612222347141788</v>
      </c>
      <c r="I1415">
        <v>0.5382437025483825</v>
      </c>
      <c r="J1415">
        <v>-1.581491870037233E-2</v>
      </c>
      <c r="K1415">
        <v>0.30932898529608149</v>
      </c>
      <c r="L1415">
        <v>0.15483135787265989</v>
      </c>
      <c r="M1415">
        <v>7</v>
      </c>
      <c r="N1415">
        <v>0</v>
      </c>
      <c r="O1415">
        <v>0</v>
      </c>
      <c r="P1415">
        <v>0.58790000000000009</v>
      </c>
      <c r="Q1415">
        <v>8.6999999999999994E-3</v>
      </c>
      <c r="R1415">
        <v>0</v>
      </c>
      <c r="S1415">
        <v>0.49990000000000001</v>
      </c>
      <c r="T1415">
        <v>0.58790000000000009</v>
      </c>
      <c r="U1415">
        <v>7</v>
      </c>
      <c r="V1415">
        <v>0</v>
      </c>
      <c r="W1415">
        <v>0.14285714285714279</v>
      </c>
      <c r="X1415">
        <v>0</v>
      </c>
      <c r="Y1415">
        <v>0.47</v>
      </c>
      <c r="Z1415">
        <v>1</v>
      </c>
    </row>
    <row r="1416" spans="1:26" x14ac:dyDescent="0.2">
      <c r="A1416" t="s">
        <v>123</v>
      </c>
      <c r="B1416">
        <v>2013</v>
      </c>
      <c r="C1416" t="str">
        <f t="shared" si="22"/>
        <v>POT2013</v>
      </c>
      <c r="D1416">
        <v>2.0848384319646831E-14</v>
      </c>
      <c r="E1416">
        <v>2.888553217888638E-2</v>
      </c>
      <c r="F1416">
        <v>0.76023690838700542</v>
      </c>
      <c r="G1416">
        <v>27.18595417433049</v>
      </c>
      <c r="H1416">
        <v>2.2921641224709579</v>
      </c>
      <c r="I1416">
        <v>0.53751046075806852</v>
      </c>
      <c r="J1416">
        <v>1.004217141011465E-2</v>
      </c>
      <c r="K1416">
        <v>9.7504384478945012E-3</v>
      </c>
      <c r="L1416">
        <v>0.16311098402596519</v>
      </c>
      <c r="M1416">
        <v>8</v>
      </c>
      <c r="N1416">
        <v>0</v>
      </c>
      <c r="O1416">
        <v>0</v>
      </c>
      <c r="P1416">
        <v>0.58790000000000009</v>
      </c>
      <c r="Q1416">
        <v>9.7999999999999997E-3</v>
      </c>
      <c r="R1416">
        <v>0</v>
      </c>
      <c r="S1416">
        <v>0.49990000000000001</v>
      </c>
      <c r="T1416">
        <v>0.58790000000000009</v>
      </c>
      <c r="U1416">
        <v>7</v>
      </c>
      <c r="V1416">
        <v>0</v>
      </c>
      <c r="W1416">
        <v>0.14285714285714279</v>
      </c>
      <c r="X1416">
        <v>0</v>
      </c>
      <c r="Y1416">
        <v>0.48</v>
      </c>
      <c r="Z1416">
        <v>1</v>
      </c>
    </row>
    <row r="1417" spans="1:26" x14ac:dyDescent="0.2">
      <c r="A1417" t="s">
        <v>123</v>
      </c>
      <c r="B1417">
        <v>2014</v>
      </c>
      <c r="C1417" t="str">
        <f t="shared" si="22"/>
        <v>POT2014</v>
      </c>
      <c r="D1417">
        <v>1.9127879950158449E-14</v>
      </c>
      <c r="E1417">
        <v>3.9489665177376843E-2</v>
      </c>
      <c r="F1417">
        <v>0.97254044575569498</v>
      </c>
      <c r="G1417">
        <v>27.38697373220381</v>
      </c>
      <c r="H1417">
        <v>2.290366090101188</v>
      </c>
      <c r="I1417">
        <v>0.62051470312668688</v>
      </c>
      <c r="J1417">
        <v>0.22264868399756249</v>
      </c>
      <c r="K1417">
        <v>-8.113854304075907E-2</v>
      </c>
      <c r="L1417">
        <v>0.14751383209571459</v>
      </c>
      <c r="M1417">
        <v>9</v>
      </c>
      <c r="N1417">
        <v>0</v>
      </c>
      <c r="O1417">
        <v>0</v>
      </c>
      <c r="P1417">
        <v>0.73939999999999995</v>
      </c>
      <c r="Q1417">
        <v>0.16600000000000001</v>
      </c>
      <c r="R1417">
        <v>0</v>
      </c>
      <c r="S1417">
        <v>0.49990000000000001</v>
      </c>
      <c r="T1417">
        <v>0.58790000000000009</v>
      </c>
      <c r="U1417">
        <v>6</v>
      </c>
      <c r="V1417">
        <v>1</v>
      </c>
      <c r="W1417">
        <v>0.33333333333333331</v>
      </c>
      <c r="X1417">
        <v>0</v>
      </c>
      <c r="Y1417">
        <v>0.4582</v>
      </c>
      <c r="Z1417">
        <v>1</v>
      </c>
    </row>
    <row r="1418" spans="1:26" x14ac:dyDescent="0.2">
      <c r="A1418" t="s">
        <v>123</v>
      </c>
      <c r="B1418">
        <v>2015</v>
      </c>
      <c r="C1418" t="str">
        <f t="shared" si="22"/>
        <v>POT2015</v>
      </c>
      <c r="D1418">
        <v>1.381860816077122E-14</v>
      </c>
      <c r="E1418">
        <v>8.8913557064832921E-2</v>
      </c>
      <c r="F1418">
        <v>0.98599552794214462</v>
      </c>
      <c r="G1418">
        <v>27.98151020265394</v>
      </c>
      <c r="H1418">
        <v>1.7979965710558381</v>
      </c>
      <c r="I1418">
        <v>0.77934600564863898</v>
      </c>
      <c r="J1418">
        <v>0.81219074628584953</v>
      </c>
      <c r="K1418">
        <v>-0.14488689835958529</v>
      </c>
      <c r="L1418">
        <v>0.10188601439027969</v>
      </c>
      <c r="M1418">
        <v>10</v>
      </c>
      <c r="N1418">
        <v>0</v>
      </c>
      <c r="O1418">
        <v>0</v>
      </c>
      <c r="P1418">
        <v>0.76050000000000006</v>
      </c>
      <c r="Q1418">
        <v>0.18729999999999999</v>
      </c>
      <c r="R1418">
        <v>0</v>
      </c>
      <c r="S1418">
        <v>0.49990000000000001</v>
      </c>
      <c r="T1418">
        <v>0.58790000000000009</v>
      </c>
      <c r="U1418">
        <v>6</v>
      </c>
      <c r="V1418">
        <v>1</v>
      </c>
      <c r="W1418">
        <v>0.33333333333333331</v>
      </c>
      <c r="X1418">
        <v>0</v>
      </c>
      <c r="Y1418">
        <v>0.46820000000000001</v>
      </c>
      <c r="Z1418">
        <v>1</v>
      </c>
    </row>
    <row r="1419" spans="1:26" x14ac:dyDescent="0.2">
      <c r="A1419" t="s">
        <v>123</v>
      </c>
      <c r="B1419">
        <v>2016</v>
      </c>
      <c r="C1419" t="str">
        <f t="shared" si="22"/>
        <v>POT2016</v>
      </c>
      <c r="D1419">
        <v>2.248736506679435E-14</v>
      </c>
      <c r="E1419">
        <v>7.9935030739812424E-2</v>
      </c>
      <c r="F1419">
        <v>1.0473869287553741</v>
      </c>
      <c r="G1419">
        <v>27.690614834671202</v>
      </c>
      <c r="H1419">
        <v>1.366583330677396</v>
      </c>
      <c r="I1419">
        <v>0.70140492013004851</v>
      </c>
      <c r="J1419">
        <v>-0.25240610381659828</v>
      </c>
      <c r="K1419">
        <v>0.32168957155502181</v>
      </c>
      <c r="L1419">
        <v>0.15311748284024179</v>
      </c>
      <c r="M1419">
        <v>11</v>
      </c>
      <c r="N1419">
        <v>0</v>
      </c>
      <c r="O1419">
        <v>0</v>
      </c>
      <c r="P1419">
        <v>0.86129999999999995</v>
      </c>
      <c r="Q1419">
        <v>8.1600000000000006E-2</v>
      </c>
      <c r="R1419">
        <v>0</v>
      </c>
      <c r="S1419">
        <v>0.49990000000000001</v>
      </c>
      <c r="T1419">
        <v>0.70109999999999995</v>
      </c>
      <c r="U1419">
        <v>6</v>
      </c>
      <c r="V1419">
        <v>1</v>
      </c>
      <c r="W1419">
        <v>0.1666666666666666</v>
      </c>
      <c r="X1419">
        <v>0</v>
      </c>
      <c r="Y1419">
        <v>0.4758</v>
      </c>
      <c r="Z1419">
        <v>1</v>
      </c>
    </row>
    <row r="1420" spans="1:26" x14ac:dyDescent="0.2">
      <c r="A1420" t="s">
        <v>123</v>
      </c>
      <c r="B1420">
        <v>2017</v>
      </c>
      <c r="C1420" t="str">
        <f t="shared" si="22"/>
        <v>POT2017</v>
      </c>
      <c r="D1420">
        <v>8.3932344906598199E-15</v>
      </c>
      <c r="E1420">
        <v>8.734236380980287E-2</v>
      </c>
      <c r="F1420">
        <v>1.0541196704043121</v>
      </c>
      <c r="G1420">
        <v>28.244158845251501</v>
      </c>
      <c r="H1420">
        <v>1.6580980496911819</v>
      </c>
      <c r="I1420">
        <v>0.82258646566834748</v>
      </c>
      <c r="J1420">
        <v>0.73756595408243153</v>
      </c>
      <c r="K1420">
        <v>-0.1043544571598214</v>
      </c>
      <c r="L1420">
        <v>0.100661524915555</v>
      </c>
      <c r="M1420">
        <v>12</v>
      </c>
      <c r="N1420">
        <v>0</v>
      </c>
      <c r="O1420">
        <v>0</v>
      </c>
      <c r="P1420">
        <v>0.78520000000000001</v>
      </c>
      <c r="Q1420">
        <v>8.1900000000000001E-2</v>
      </c>
      <c r="R1420">
        <v>0</v>
      </c>
      <c r="S1420">
        <v>0.49990000000000001</v>
      </c>
      <c r="T1420">
        <v>0.61309999999999998</v>
      </c>
      <c r="U1420">
        <v>6</v>
      </c>
      <c r="V1420">
        <v>1</v>
      </c>
      <c r="W1420">
        <v>0.1666666666666666</v>
      </c>
      <c r="X1420">
        <v>0</v>
      </c>
      <c r="Y1420">
        <v>0.4783</v>
      </c>
      <c r="Z1420">
        <v>1</v>
      </c>
    </row>
    <row r="1421" spans="1:26" x14ac:dyDescent="0.2">
      <c r="A1421" t="s">
        <v>123</v>
      </c>
      <c r="B1421">
        <v>2018</v>
      </c>
      <c r="C1421" t="str">
        <f t="shared" si="22"/>
        <v>POT2018</v>
      </c>
      <c r="D1421">
        <v>5.9627942232704627E-15</v>
      </c>
      <c r="E1421">
        <v>0.1003154000816045</v>
      </c>
      <c r="F1421">
        <v>1.003351241383267</v>
      </c>
      <c r="G1421">
        <v>28.482509058197511</v>
      </c>
      <c r="H1421">
        <v>1.4710879863128059</v>
      </c>
      <c r="I1421">
        <v>0.86072321690844233</v>
      </c>
      <c r="J1421">
        <v>0.27049802161415609</v>
      </c>
      <c r="K1421">
        <v>0.28226676703840592</v>
      </c>
      <c r="L1421">
        <v>0.45879579670018689</v>
      </c>
      <c r="M1421">
        <v>13</v>
      </c>
      <c r="N1421">
        <v>0</v>
      </c>
      <c r="O1421">
        <v>0</v>
      </c>
      <c r="P1421">
        <v>0.79000000000000015</v>
      </c>
      <c r="Q1421">
        <v>8.14E-2</v>
      </c>
      <c r="R1421">
        <v>0</v>
      </c>
      <c r="S1421">
        <v>0.49990000000000001</v>
      </c>
      <c r="T1421">
        <v>0.61309999999999998</v>
      </c>
      <c r="U1421">
        <v>7</v>
      </c>
      <c r="V1421">
        <v>1</v>
      </c>
      <c r="W1421">
        <v>0.14285714285714279</v>
      </c>
      <c r="X1421">
        <v>0</v>
      </c>
      <c r="Y1421">
        <v>0.495</v>
      </c>
      <c r="Z1421">
        <v>1</v>
      </c>
    </row>
    <row r="1422" spans="1:26" x14ac:dyDescent="0.2">
      <c r="A1422" t="s">
        <v>123</v>
      </c>
      <c r="B1422">
        <v>2019</v>
      </c>
      <c r="C1422" t="str">
        <f t="shared" si="22"/>
        <v>POT2019</v>
      </c>
      <c r="D1422">
        <v>3.4125869324899529E-15</v>
      </c>
      <c r="E1422">
        <v>5.5487712035572782E-2</v>
      </c>
      <c r="F1422">
        <v>0.98831950735515028</v>
      </c>
      <c r="G1422">
        <v>28.462003456843401</v>
      </c>
      <c r="H1422">
        <v>1.1947357337581961</v>
      </c>
      <c r="I1422">
        <v>0.85881844823065756</v>
      </c>
      <c r="J1422">
        <v>-2.0296791205443369E-2</v>
      </c>
      <c r="K1422">
        <v>5.4657382604960697E-2</v>
      </c>
      <c r="L1422">
        <v>0.4822312227782875</v>
      </c>
      <c r="M1422">
        <v>14</v>
      </c>
      <c r="N1422">
        <v>0</v>
      </c>
      <c r="O1422">
        <v>1</v>
      </c>
      <c r="P1422">
        <v>0.79400000000000004</v>
      </c>
      <c r="Q1422">
        <v>8.14E-2</v>
      </c>
      <c r="R1422">
        <v>0</v>
      </c>
      <c r="S1422">
        <v>0.49990000000000001</v>
      </c>
      <c r="T1422">
        <v>0.61309999999999998</v>
      </c>
      <c r="U1422">
        <v>7</v>
      </c>
      <c r="V1422">
        <v>1</v>
      </c>
      <c r="W1422">
        <v>0.14285714285714279</v>
      </c>
      <c r="X1422">
        <v>0</v>
      </c>
      <c r="Y1422">
        <v>0.503</v>
      </c>
      <c r="Z1422">
        <v>1</v>
      </c>
    </row>
    <row r="1423" spans="1:26" x14ac:dyDescent="0.2">
      <c r="A1423" t="s">
        <v>123</v>
      </c>
      <c r="B1423">
        <v>2020</v>
      </c>
      <c r="C1423" t="str">
        <f t="shared" si="22"/>
        <v>POT2020</v>
      </c>
      <c r="D1423">
        <v>4.1095552466480532E-15</v>
      </c>
      <c r="E1423">
        <v>5.5037391445511459E-2</v>
      </c>
      <c r="F1423">
        <v>1.022320908679508</v>
      </c>
      <c r="G1423">
        <v>28.371307887808381</v>
      </c>
      <c r="H1423">
        <v>1.1241575892197559</v>
      </c>
      <c r="I1423">
        <v>0.84345491331647715</v>
      </c>
      <c r="J1423">
        <v>-8.6704295925241315E-2</v>
      </c>
      <c r="K1423">
        <v>5.6240320154945699E-2</v>
      </c>
      <c r="L1423">
        <v>0.51274483038460383</v>
      </c>
      <c r="M1423">
        <v>15</v>
      </c>
      <c r="N1423">
        <v>0</v>
      </c>
      <c r="O1423">
        <v>1</v>
      </c>
      <c r="P1423">
        <v>0.74870000000000003</v>
      </c>
      <c r="Q1423">
        <v>9.1999999999999998E-2</v>
      </c>
      <c r="R1423">
        <v>0</v>
      </c>
      <c r="S1423">
        <v>0.49990000000000001</v>
      </c>
      <c r="T1423">
        <v>0.61309999999999998</v>
      </c>
      <c r="U1423">
        <v>6</v>
      </c>
      <c r="V1423">
        <v>0</v>
      </c>
      <c r="W1423">
        <v>0.1666666666666666</v>
      </c>
      <c r="X1423">
        <v>0</v>
      </c>
      <c r="Y1423">
        <v>0.50219999999999998</v>
      </c>
      <c r="Z1423">
        <v>1</v>
      </c>
    </row>
    <row r="1424" spans="1:26" x14ac:dyDescent="0.2">
      <c r="A1424" t="s">
        <v>123</v>
      </c>
      <c r="B1424">
        <v>2021</v>
      </c>
      <c r="C1424" t="str">
        <f t="shared" si="22"/>
        <v>POT2021</v>
      </c>
      <c r="D1424">
        <v>2.4770648502312861E-15</v>
      </c>
      <c r="E1424">
        <v>4.0391692679245333E-2</v>
      </c>
      <c r="F1424">
        <v>1.016884833111199</v>
      </c>
      <c r="G1424">
        <v>28.469681235663241</v>
      </c>
      <c r="H1424">
        <v>0.98741028658896368</v>
      </c>
      <c r="I1424">
        <v>0.8581364623940575</v>
      </c>
      <c r="J1424">
        <v>0.103374650778117</v>
      </c>
      <c r="K1424">
        <v>-3.6341229421396992E-3</v>
      </c>
      <c r="L1424">
        <v>0.50806291752093247</v>
      </c>
      <c r="M1424">
        <v>16</v>
      </c>
      <c r="N1424">
        <v>0</v>
      </c>
      <c r="O1424">
        <v>0</v>
      </c>
      <c r="P1424">
        <v>0.74870000000000003</v>
      </c>
      <c r="Q1424">
        <v>9.1499999999999998E-2</v>
      </c>
      <c r="R1424">
        <v>0</v>
      </c>
      <c r="S1424">
        <v>0.49990000000000001</v>
      </c>
      <c r="T1424">
        <v>0.61309999999999998</v>
      </c>
      <c r="U1424">
        <v>7</v>
      </c>
      <c r="V1424">
        <v>0</v>
      </c>
      <c r="W1424">
        <v>0.14285714285714279</v>
      </c>
      <c r="X1424">
        <v>0</v>
      </c>
      <c r="Y1424">
        <v>0.503</v>
      </c>
      <c r="Z1424">
        <v>1</v>
      </c>
    </row>
    <row r="1425" spans="1:26" x14ac:dyDescent="0.2">
      <c r="A1425" t="s">
        <v>123</v>
      </c>
      <c r="B1425">
        <v>2022</v>
      </c>
      <c r="C1425" t="str">
        <f t="shared" si="22"/>
        <v>POT2022</v>
      </c>
      <c r="D1425">
        <v>2.4923381235307759E-15</v>
      </c>
      <c r="E1425">
        <v>4.6227220468206799E-2</v>
      </c>
      <c r="F1425">
        <v>1.0101914397153231</v>
      </c>
      <c r="G1425">
        <v>28.537381879429191</v>
      </c>
      <c r="H1425">
        <v>1.05544312055737</v>
      </c>
      <c r="I1425">
        <v>0.86654444439492351</v>
      </c>
      <c r="J1425">
        <v>6.8801238530926234E-2</v>
      </c>
      <c r="K1425">
        <v>-4.1492505071748058E-2</v>
      </c>
      <c r="L1425">
        <v>0.46499941822194379</v>
      </c>
      <c r="M1425">
        <v>17</v>
      </c>
      <c r="N1425">
        <v>0</v>
      </c>
      <c r="O1425">
        <v>0</v>
      </c>
      <c r="P1425">
        <v>0.73570000000000002</v>
      </c>
      <c r="Q1425">
        <v>1.43E-2</v>
      </c>
      <c r="R1425">
        <v>0</v>
      </c>
      <c r="S1425">
        <v>0.49990000000000001</v>
      </c>
      <c r="T1425">
        <v>0.61309999999999998</v>
      </c>
      <c r="U1425">
        <v>7</v>
      </c>
      <c r="V1425">
        <v>0</v>
      </c>
      <c r="W1425">
        <v>0.14285714285714279</v>
      </c>
      <c r="X1425">
        <v>0</v>
      </c>
      <c r="Y1425">
        <v>0.51300000000000001</v>
      </c>
      <c r="Z1425">
        <v>1</v>
      </c>
    </row>
    <row r="1426" spans="1:26" x14ac:dyDescent="0.2">
      <c r="A1426" t="s">
        <v>123</v>
      </c>
      <c r="B1426">
        <v>2023</v>
      </c>
      <c r="C1426" t="str">
        <f t="shared" si="22"/>
        <v>POT2023</v>
      </c>
      <c r="D1426">
        <v>-208333508325.52451</v>
      </c>
      <c r="E1426">
        <v>1.626977146054154E-3</v>
      </c>
      <c r="F1426">
        <v>0.43993481849107402</v>
      </c>
      <c r="G1426">
        <v>28.455882737407411</v>
      </c>
      <c r="H1426">
        <v>1.0416534887323941</v>
      </c>
      <c r="I1426">
        <v>0.29594818512503379</v>
      </c>
      <c r="J1426">
        <v>-7.7193935502735123E-2</v>
      </c>
      <c r="K1426">
        <v>-3.695822767576989E-3</v>
      </c>
      <c r="L1426">
        <v>0.49190695732067358</v>
      </c>
      <c r="M1426">
        <v>18</v>
      </c>
      <c r="N1426">
        <v>0</v>
      </c>
      <c r="O1426">
        <v>0</v>
      </c>
      <c r="P1426">
        <v>0.73570000000000002</v>
      </c>
      <c r="Q1426">
        <v>1.43E-2</v>
      </c>
      <c r="R1426">
        <v>0</v>
      </c>
      <c r="S1426">
        <v>0.49990000000000001</v>
      </c>
      <c r="T1426">
        <v>0.61309999999999998</v>
      </c>
      <c r="U1426">
        <v>7</v>
      </c>
      <c r="V1426">
        <v>0</v>
      </c>
      <c r="W1426">
        <v>0.14285714285714279</v>
      </c>
      <c r="X1426">
        <v>0</v>
      </c>
      <c r="Y1426">
        <v>0.51300000000000001</v>
      </c>
      <c r="Z1426">
        <v>1</v>
      </c>
    </row>
    <row r="1427" spans="1:26" x14ac:dyDescent="0.2">
      <c r="A1427" t="s">
        <v>124</v>
      </c>
      <c r="B1427">
        <v>2012</v>
      </c>
      <c r="C1427" t="str">
        <f t="shared" si="22"/>
        <v>PPP2012</v>
      </c>
      <c r="D1427">
        <v>1.4998891005698179E-13</v>
      </c>
      <c r="E1427">
        <v>6.5681874054252368E-2</v>
      </c>
      <c r="F1427">
        <v>0.87635940232207588</v>
      </c>
      <c r="G1427">
        <v>25.481010974897281</v>
      </c>
      <c r="H1427">
        <v>5.0787603130829551</v>
      </c>
      <c r="I1427">
        <v>0.73400340750787707</v>
      </c>
      <c r="J1427">
        <v>0.58657156350818407</v>
      </c>
      <c r="K1427">
        <v>-0.1018189845791055</v>
      </c>
      <c r="L1427">
        <v>0.42369102028194727</v>
      </c>
      <c r="M1427">
        <v>12</v>
      </c>
      <c r="N1427">
        <v>0</v>
      </c>
      <c r="O1427">
        <v>0</v>
      </c>
      <c r="P1427">
        <v>0.25919999999999999</v>
      </c>
      <c r="Q1427">
        <v>0.29649999999999999</v>
      </c>
      <c r="R1427">
        <v>0</v>
      </c>
      <c r="S1427">
        <v>0.13089999999999999</v>
      </c>
      <c r="T1427">
        <v>0.13089999999999999</v>
      </c>
      <c r="U1427">
        <v>6</v>
      </c>
      <c r="V1427">
        <v>0</v>
      </c>
      <c r="W1427">
        <v>0.33333333333333331</v>
      </c>
      <c r="X1427">
        <v>1</v>
      </c>
      <c r="Y1427">
        <v>0.45600000000000002</v>
      </c>
      <c r="Z1427">
        <v>1</v>
      </c>
    </row>
    <row r="1428" spans="1:26" x14ac:dyDescent="0.2">
      <c r="A1428" t="s">
        <v>124</v>
      </c>
      <c r="B1428">
        <v>2013</v>
      </c>
      <c r="C1428" t="str">
        <f t="shared" si="22"/>
        <v>PPP2013</v>
      </c>
      <c r="D1428">
        <v>-4.2414552763772611E-13</v>
      </c>
      <c r="E1428">
        <v>-0.17397056096815561</v>
      </c>
      <c r="F1428">
        <v>1.074050428904272</v>
      </c>
      <c r="G1428">
        <v>25.41781977626853</v>
      </c>
      <c r="H1428">
        <v>2.5326740012008191</v>
      </c>
      <c r="I1428">
        <v>0.73340131742208059</v>
      </c>
      <c r="J1428">
        <v>-6.1236033854162757E-2</v>
      </c>
      <c r="K1428">
        <v>-9.8366799274119607E-2</v>
      </c>
      <c r="L1428">
        <v>0.51097274259612135</v>
      </c>
      <c r="M1428">
        <v>13</v>
      </c>
      <c r="N1428">
        <v>0</v>
      </c>
      <c r="O1428">
        <v>0</v>
      </c>
      <c r="P1428">
        <v>0.37280000000000002</v>
      </c>
      <c r="Q1428">
        <v>0.34589999999999999</v>
      </c>
      <c r="R1428">
        <v>0</v>
      </c>
      <c r="S1428">
        <v>0.13089999999999999</v>
      </c>
      <c r="T1428">
        <v>0.13089999999999999</v>
      </c>
      <c r="U1428">
        <v>6</v>
      </c>
      <c r="V1428">
        <v>0</v>
      </c>
      <c r="W1428">
        <v>0.33333333333333331</v>
      </c>
      <c r="X1428">
        <v>1</v>
      </c>
      <c r="Y1428">
        <v>0.46600000000000003</v>
      </c>
      <c r="Z1428">
        <v>1</v>
      </c>
    </row>
    <row r="1429" spans="1:26" x14ac:dyDescent="0.2">
      <c r="A1429" t="s">
        <v>124</v>
      </c>
      <c r="B1429">
        <v>2014</v>
      </c>
      <c r="C1429" t="str">
        <f t="shared" si="22"/>
        <v>PPP2014</v>
      </c>
      <c r="D1429">
        <v>4.2062702705950372E-13</v>
      </c>
      <c r="E1429">
        <v>0.11841979560535459</v>
      </c>
      <c r="F1429">
        <v>0.9525011839649552</v>
      </c>
      <c r="G1429">
        <v>25.501361331537549</v>
      </c>
      <c r="H1429">
        <v>1.4930089425658211</v>
      </c>
      <c r="I1429">
        <v>0.57774638663766531</v>
      </c>
      <c r="J1429">
        <v>8.7130390350073986E-2</v>
      </c>
      <c r="K1429">
        <v>7.2946564631123076E-2</v>
      </c>
      <c r="L1429">
        <v>0.45155210733370049</v>
      </c>
      <c r="M1429">
        <v>14</v>
      </c>
      <c r="N1429">
        <v>0</v>
      </c>
      <c r="O1429">
        <v>0</v>
      </c>
      <c r="P1429">
        <v>0.52749999999999997</v>
      </c>
      <c r="Q1429">
        <v>0.50970000000000004</v>
      </c>
      <c r="R1429">
        <v>0</v>
      </c>
      <c r="S1429">
        <v>8.6599999999999996E-2</v>
      </c>
      <c r="T1429">
        <v>8.6599999999999996E-2</v>
      </c>
      <c r="U1429">
        <v>6</v>
      </c>
      <c r="V1429">
        <v>0</v>
      </c>
      <c r="W1429">
        <v>0.33333333333333331</v>
      </c>
      <c r="X1429">
        <v>0</v>
      </c>
      <c r="Y1429">
        <v>0.47599999999999998</v>
      </c>
      <c r="Z1429">
        <v>1</v>
      </c>
    </row>
    <row r="1430" spans="1:26" x14ac:dyDescent="0.2">
      <c r="A1430" t="s">
        <v>124</v>
      </c>
      <c r="B1430">
        <v>2015</v>
      </c>
      <c r="C1430" t="str">
        <f t="shared" si="22"/>
        <v>PPP2015</v>
      </c>
      <c r="D1430">
        <v>3.4904522255325148E-13</v>
      </c>
      <c r="E1430">
        <v>8.8662591709204236E-2</v>
      </c>
      <c r="F1430">
        <v>0.90182962003009326</v>
      </c>
      <c r="G1430">
        <v>25.489012442405709</v>
      </c>
      <c r="H1430">
        <v>2.2958862354992879</v>
      </c>
      <c r="I1430">
        <v>0.53774807443540829</v>
      </c>
      <c r="J1430">
        <v>-1.227295449132515E-2</v>
      </c>
      <c r="K1430">
        <v>4.5767533675087013E-2</v>
      </c>
      <c r="L1430">
        <v>0.43553080985126702</v>
      </c>
      <c r="M1430">
        <v>15</v>
      </c>
      <c r="N1430">
        <v>0</v>
      </c>
      <c r="O1430">
        <v>0</v>
      </c>
      <c r="P1430">
        <v>0.52759999999999996</v>
      </c>
      <c r="Q1430">
        <v>0.50549999999999995</v>
      </c>
      <c r="R1430">
        <v>0</v>
      </c>
      <c r="S1430">
        <v>8.6699999999999999E-2</v>
      </c>
      <c r="T1430">
        <v>8.6699999999999999E-2</v>
      </c>
      <c r="U1430">
        <v>5</v>
      </c>
      <c r="V1430">
        <v>1</v>
      </c>
      <c r="W1430">
        <v>0.4</v>
      </c>
      <c r="X1430">
        <v>0</v>
      </c>
      <c r="Y1430">
        <v>0.45290000000000002</v>
      </c>
      <c r="Z1430">
        <v>1</v>
      </c>
    </row>
    <row r="1431" spans="1:26" x14ac:dyDescent="0.2">
      <c r="A1431" t="s">
        <v>124</v>
      </c>
      <c r="B1431">
        <v>2016</v>
      </c>
      <c r="C1431" t="str">
        <f t="shared" si="22"/>
        <v>PPP2016</v>
      </c>
      <c r="D1431">
        <v>4.6586836441304386E-13</v>
      </c>
      <c r="E1431">
        <v>0.1093392552451857</v>
      </c>
      <c r="F1431">
        <v>0.89432798972404859</v>
      </c>
      <c r="G1431">
        <v>25.603901360310928</v>
      </c>
      <c r="H1431">
        <v>1.116239917945123</v>
      </c>
      <c r="I1431">
        <v>0.43879674083307069</v>
      </c>
      <c r="J1431">
        <v>0.1217488244416889</v>
      </c>
      <c r="K1431">
        <v>6.4373466599687748E-2</v>
      </c>
      <c r="L1431">
        <v>0.41466805014294811</v>
      </c>
      <c r="M1431">
        <v>16</v>
      </c>
      <c r="N1431">
        <v>0</v>
      </c>
      <c r="O1431">
        <v>0</v>
      </c>
      <c r="P1431">
        <v>0.59329999999999994</v>
      </c>
      <c r="Q1431">
        <v>0.61640000000000006</v>
      </c>
      <c r="R1431">
        <v>0</v>
      </c>
      <c r="S1431">
        <v>0</v>
      </c>
      <c r="T1431">
        <v>0</v>
      </c>
      <c r="U1431">
        <v>5</v>
      </c>
      <c r="V1431">
        <v>1</v>
      </c>
      <c r="W1431">
        <v>0.4</v>
      </c>
      <c r="X1431">
        <v>0</v>
      </c>
      <c r="Y1431">
        <v>0.47</v>
      </c>
      <c r="Z1431">
        <v>1</v>
      </c>
    </row>
    <row r="1432" spans="1:26" x14ac:dyDescent="0.2">
      <c r="A1432" t="s">
        <v>124</v>
      </c>
      <c r="B1432">
        <v>2017</v>
      </c>
      <c r="C1432" t="str">
        <f t="shared" si="22"/>
        <v>PPP2017</v>
      </c>
      <c r="D1432">
        <v>2.6866637601317471E-13</v>
      </c>
      <c r="E1432">
        <v>8.4943855530475884E-2</v>
      </c>
      <c r="F1432">
        <v>1.0020715964245359</v>
      </c>
      <c r="G1432">
        <v>25.758020917999762</v>
      </c>
      <c r="H1432">
        <v>1.0860011553595961</v>
      </c>
      <c r="I1432">
        <v>0.51398721119077262</v>
      </c>
      <c r="J1432">
        <v>0.16663035807016599</v>
      </c>
      <c r="K1432">
        <v>5.6735479062737161E-2</v>
      </c>
      <c r="L1432">
        <v>0.52596846096479588</v>
      </c>
      <c r="M1432">
        <v>17</v>
      </c>
      <c r="N1432">
        <v>0</v>
      </c>
      <c r="O1432">
        <v>0</v>
      </c>
      <c r="P1432">
        <v>0.59329999999999994</v>
      </c>
      <c r="Q1432">
        <v>0.61640000000000006</v>
      </c>
      <c r="R1432">
        <v>0</v>
      </c>
      <c r="S1432">
        <v>0</v>
      </c>
      <c r="T1432">
        <v>0</v>
      </c>
      <c r="U1432">
        <v>5</v>
      </c>
      <c r="V1432">
        <v>1</v>
      </c>
      <c r="W1432">
        <v>0.4</v>
      </c>
      <c r="X1432">
        <v>0</v>
      </c>
      <c r="Y1432">
        <v>0.48</v>
      </c>
      <c r="Z1432">
        <v>1</v>
      </c>
    </row>
    <row r="1433" spans="1:26" x14ac:dyDescent="0.2">
      <c r="A1433" t="s">
        <v>124</v>
      </c>
      <c r="B1433">
        <v>2018</v>
      </c>
      <c r="C1433" t="str">
        <f t="shared" si="22"/>
        <v>PPP2018</v>
      </c>
      <c r="D1433">
        <v>2.6692350014254208E-13</v>
      </c>
      <c r="E1433">
        <v>6.9066819906404786E-2</v>
      </c>
      <c r="F1433">
        <v>0.79799697917923107</v>
      </c>
      <c r="G1433">
        <v>25.782356110713891</v>
      </c>
      <c r="H1433">
        <v>0.88663519473776053</v>
      </c>
      <c r="I1433">
        <v>0.39151154804625521</v>
      </c>
      <c r="J1433">
        <v>2.463371009040349E-2</v>
      </c>
      <c r="K1433">
        <v>3.4224872073434207E-2</v>
      </c>
      <c r="L1433">
        <v>0.49018603043854642</v>
      </c>
      <c r="M1433">
        <v>18</v>
      </c>
      <c r="N1433">
        <v>0</v>
      </c>
      <c r="O1433">
        <v>0</v>
      </c>
      <c r="P1433">
        <v>0.65110000000000001</v>
      </c>
      <c r="Q1433">
        <v>0.66859999999999997</v>
      </c>
      <c r="R1433">
        <v>0</v>
      </c>
      <c r="S1433">
        <v>0</v>
      </c>
      <c r="T1433">
        <v>0</v>
      </c>
      <c r="U1433">
        <v>5</v>
      </c>
      <c r="V1433">
        <v>1</v>
      </c>
      <c r="W1433">
        <v>0.4</v>
      </c>
      <c r="X1433">
        <v>0</v>
      </c>
      <c r="Y1433">
        <v>0.4829</v>
      </c>
      <c r="Z1433">
        <v>1</v>
      </c>
    </row>
    <row r="1434" spans="1:26" x14ac:dyDescent="0.2">
      <c r="A1434" t="s">
        <v>124</v>
      </c>
      <c r="B1434">
        <v>2019</v>
      </c>
      <c r="C1434" t="str">
        <f t="shared" si="22"/>
        <v>PPP2019</v>
      </c>
      <c r="D1434">
        <v>4.868293406089881E-13</v>
      </c>
      <c r="E1434">
        <v>0.1145081947807761</v>
      </c>
      <c r="F1434">
        <v>1.3592396738496111</v>
      </c>
      <c r="G1434">
        <v>25.78551138956411</v>
      </c>
      <c r="H1434">
        <v>1.307518064011653</v>
      </c>
      <c r="I1434">
        <v>0.3285008207135105</v>
      </c>
      <c r="J1434">
        <v>3.1602619822097559E-3</v>
      </c>
      <c r="K1434">
        <v>0.13867037310504221</v>
      </c>
      <c r="L1434">
        <v>0.4629927099399968</v>
      </c>
      <c r="M1434">
        <v>19</v>
      </c>
      <c r="N1434">
        <v>0</v>
      </c>
      <c r="O1434">
        <v>1</v>
      </c>
      <c r="P1434">
        <v>0.6512</v>
      </c>
      <c r="Q1434">
        <v>0.66859999999999997</v>
      </c>
      <c r="R1434">
        <v>0</v>
      </c>
      <c r="S1434">
        <v>0</v>
      </c>
      <c r="T1434">
        <v>0</v>
      </c>
      <c r="U1434">
        <v>5</v>
      </c>
      <c r="V1434">
        <v>1</v>
      </c>
      <c r="W1434">
        <v>0.4</v>
      </c>
      <c r="X1434">
        <v>0</v>
      </c>
      <c r="Y1434">
        <v>0.49569999999999997</v>
      </c>
      <c r="Z1434">
        <v>1</v>
      </c>
    </row>
    <row r="1435" spans="1:26" x14ac:dyDescent="0.2">
      <c r="A1435" t="s">
        <v>124</v>
      </c>
      <c r="B1435">
        <v>2020</v>
      </c>
      <c r="C1435" t="str">
        <f t="shared" si="22"/>
        <v>PPP2020</v>
      </c>
      <c r="D1435">
        <v>4.6635812611297775E-13</v>
      </c>
      <c r="E1435">
        <v>9.0701600751455738E-2</v>
      </c>
      <c r="F1435">
        <v>0.94361873671680452</v>
      </c>
      <c r="G1435">
        <v>25.697645603199859</v>
      </c>
      <c r="H1435">
        <v>1.6547269833221669</v>
      </c>
      <c r="I1435">
        <v>0.25621009412826418</v>
      </c>
      <c r="J1435">
        <v>-8.4116207431631285E-2</v>
      </c>
      <c r="K1435">
        <v>6.7130489540251234E-2</v>
      </c>
      <c r="L1435">
        <v>0.47544417308077069</v>
      </c>
      <c r="M1435">
        <v>20</v>
      </c>
      <c r="N1435">
        <v>0</v>
      </c>
      <c r="O1435">
        <v>1</v>
      </c>
      <c r="P1435">
        <v>0.59530000000000005</v>
      </c>
      <c r="Q1435">
        <v>0.64610000000000001</v>
      </c>
      <c r="R1435">
        <v>0</v>
      </c>
      <c r="S1435">
        <v>0</v>
      </c>
      <c r="T1435">
        <v>0</v>
      </c>
      <c r="U1435">
        <v>4</v>
      </c>
      <c r="V1435">
        <v>0</v>
      </c>
      <c r="W1435">
        <v>0.5</v>
      </c>
      <c r="X1435">
        <v>0</v>
      </c>
      <c r="Y1435">
        <v>0.41670000000000001</v>
      </c>
      <c r="Z1435">
        <v>1</v>
      </c>
    </row>
    <row r="1436" spans="1:26" x14ac:dyDescent="0.2">
      <c r="A1436" t="s">
        <v>124</v>
      </c>
      <c r="B1436">
        <v>2021</v>
      </c>
      <c r="C1436" t="str">
        <f t="shared" si="22"/>
        <v>PPP2021</v>
      </c>
      <c r="D1436">
        <v>6.9223684493388406E-13</v>
      </c>
      <c r="E1436">
        <v>0.14455561025664529</v>
      </c>
      <c r="F1436">
        <v>1.245443666002152</v>
      </c>
      <c r="G1436">
        <v>25.773314372968791</v>
      </c>
      <c r="H1436">
        <v>1.761310026517463</v>
      </c>
      <c r="I1436">
        <v>0.25281529648634382</v>
      </c>
      <c r="J1436">
        <v>7.8605248316359289E-2</v>
      </c>
      <c r="K1436">
        <v>0.16234008850687359</v>
      </c>
      <c r="L1436">
        <v>0.41257172522635982</v>
      </c>
      <c r="M1436">
        <v>21</v>
      </c>
      <c r="N1436">
        <v>0</v>
      </c>
      <c r="O1436">
        <v>0</v>
      </c>
      <c r="P1436">
        <v>0.59530000000000005</v>
      </c>
      <c r="Q1436">
        <v>0.6048</v>
      </c>
      <c r="R1436">
        <v>0</v>
      </c>
      <c r="S1436">
        <v>0</v>
      </c>
      <c r="T1436">
        <v>0</v>
      </c>
      <c r="U1436">
        <v>4</v>
      </c>
      <c r="V1436">
        <v>0</v>
      </c>
      <c r="W1436">
        <v>0.5</v>
      </c>
      <c r="X1436">
        <v>0</v>
      </c>
      <c r="Y1436">
        <v>0.41499999999999998</v>
      </c>
      <c r="Z1436">
        <v>1</v>
      </c>
    </row>
    <row r="1437" spans="1:26" x14ac:dyDescent="0.2">
      <c r="A1437" t="s">
        <v>124</v>
      </c>
      <c r="B1437">
        <v>2022</v>
      </c>
      <c r="C1437" t="str">
        <f t="shared" si="22"/>
        <v>PPP2022</v>
      </c>
      <c r="D1437">
        <v>8.2082198082523252E-13</v>
      </c>
      <c r="E1437">
        <v>0.16492153890427491</v>
      </c>
      <c r="F1437">
        <v>0.93025817577673098</v>
      </c>
      <c r="G1437">
        <v>25.787089483077331</v>
      </c>
      <c r="H1437">
        <v>1.8044947701373151</v>
      </c>
      <c r="I1437">
        <v>0.21266009016548551</v>
      </c>
      <c r="J1437">
        <v>1.387042408846728E-2</v>
      </c>
      <c r="K1437">
        <v>0.1347967042050289</v>
      </c>
      <c r="L1437">
        <v>0.38079168207797082</v>
      </c>
      <c r="M1437">
        <v>22</v>
      </c>
      <c r="N1437">
        <v>0</v>
      </c>
      <c r="O1437">
        <v>0</v>
      </c>
      <c r="P1437">
        <v>0.59530000000000005</v>
      </c>
      <c r="Q1437">
        <v>0.6048</v>
      </c>
      <c r="R1437">
        <v>0</v>
      </c>
      <c r="S1437">
        <v>0</v>
      </c>
      <c r="T1437">
        <v>0</v>
      </c>
      <c r="U1437">
        <v>4</v>
      </c>
      <c r="V1437">
        <v>0</v>
      </c>
      <c r="W1437">
        <v>0.5</v>
      </c>
      <c r="X1437">
        <v>0</v>
      </c>
      <c r="Y1437">
        <v>0.42499999999999999</v>
      </c>
      <c r="Z1437">
        <v>1</v>
      </c>
    </row>
    <row r="1438" spans="1:26" x14ac:dyDescent="0.2">
      <c r="A1438" t="s">
        <v>124</v>
      </c>
      <c r="B1438">
        <v>2023</v>
      </c>
      <c r="C1438" t="str">
        <f t="shared" si="22"/>
        <v>PPP2023</v>
      </c>
      <c r="D1438">
        <v>-116019564789.9617</v>
      </c>
      <c r="E1438">
        <v>0.1256199955020712</v>
      </c>
      <c r="F1438">
        <v>0.76275299781561567</v>
      </c>
      <c r="G1438">
        <v>25.79857735961064</v>
      </c>
      <c r="H1438">
        <v>2.3482988832210379</v>
      </c>
      <c r="I1438">
        <v>0</v>
      </c>
      <c r="J1438">
        <v>1.1554115592624431E-2</v>
      </c>
      <c r="K1438">
        <v>0.1426830819702351</v>
      </c>
      <c r="L1438">
        <v>0.37784910702508961</v>
      </c>
      <c r="M1438">
        <v>23</v>
      </c>
      <c r="N1438">
        <v>0</v>
      </c>
      <c r="O1438">
        <v>0</v>
      </c>
      <c r="P1438">
        <v>0.59530000000000005</v>
      </c>
      <c r="Q1438">
        <v>0.6048</v>
      </c>
      <c r="R1438">
        <v>0</v>
      </c>
      <c r="S1438">
        <v>0</v>
      </c>
      <c r="T1438">
        <v>0</v>
      </c>
      <c r="U1438">
        <v>4</v>
      </c>
      <c r="V1438">
        <v>0</v>
      </c>
      <c r="W1438">
        <v>0.5</v>
      </c>
      <c r="X1438">
        <v>0</v>
      </c>
      <c r="Y1438">
        <v>0.42499999999999999</v>
      </c>
      <c r="Z1438">
        <v>1</v>
      </c>
    </row>
    <row r="1439" spans="1:26" x14ac:dyDescent="0.2">
      <c r="A1439" t="s">
        <v>125</v>
      </c>
      <c r="B1439">
        <v>2014</v>
      </c>
      <c r="C1439" t="str">
        <f t="shared" si="22"/>
        <v>PSW2014</v>
      </c>
      <c r="D1439">
        <v>4.4153567981912571E-13</v>
      </c>
      <c r="E1439">
        <v>0.14880043094654921</v>
      </c>
      <c r="F1439">
        <v>0.8341223753404442</v>
      </c>
      <c r="G1439">
        <v>26.31699057427792</v>
      </c>
      <c r="H1439" t="e">
        <v>#N/A</v>
      </c>
      <c r="I1439">
        <v>0.2025831622313824</v>
      </c>
      <c r="J1439">
        <v>0</v>
      </c>
      <c r="K1439">
        <v>-7.0056729035892521E-3</v>
      </c>
      <c r="L1439">
        <v>8.2939660389016415E-2</v>
      </c>
      <c r="M1439">
        <v>6</v>
      </c>
      <c r="N1439">
        <v>1</v>
      </c>
      <c r="O1439">
        <v>0</v>
      </c>
      <c r="P1439">
        <v>0.75</v>
      </c>
      <c r="Q1439">
        <v>1.4E-3</v>
      </c>
      <c r="R1439">
        <v>0</v>
      </c>
      <c r="S1439">
        <v>0.75</v>
      </c>
      <c r="T1439">
        <v>0.75</v>
      </c>
      <c r="U1439">
        <v>5</v>
      </c>
      <c r="V1439">
        <v>0</v>
      </c>
      <c r="W1439">
        <v>0</v>
      </c>
      <c r="X1439">
        <v>0</v>
      </c>
      <c r="Y1439">
        <v>0.43</v>
      </c>
      <c r="Z1439">
        <v>1</v>
      </c>
    </row>
    <row r="1440" spans="1:26" x14ac:dyDescent="0.2">
      <c r="A1440" t="s">
        <v>125</v>
      </c>
      <c r="B1440">
        <v>2015</v>
      </c>
      <c r="C1440" t="str">
        <f t="shared" si="22"/>
        <v>PSW2015</v>
      </c>
      <c r="D1440">
        <v>2.7894119824463152E-13</v>
      </c>
      <c r="E1440">
        <v>0.1490282618685391</v>
      </c>
      <c r="F1440">
        <v>0.88224779091469974</v>
      </c>
      <c r="G1440">
        <v>26.549051968202569</v>
      </c>
      <c r="H1440">
        <v>4.0349753869831551</v>
      </c>
      <c r="I1440">
        <v>0.36561808227695508</v>
      </c>
      <c r="J1440">
        <v>0.26119715629469581</v>
      </c>
      <c r="K1440">
        <v>0.37021825124429092</v>
      </c>
      <c r="L1440">
        <v>5.5688480423644972E-2</v>
      </c>
      <c r="M1440">
        <v>7</v>
      </c>
      <c r="N1440">
        <v>1</v>
      </c>
      <c r="O1440">
        <v>0</v>
      </c>
      <c r="P1440">
        <v>0.75</v>
      </c>
      <c r="Q1440">
        <v>1.4E-3</v>
      </c>
      <c r="R1440">
        <v>0</v>
      </c>
      <c r="S1440">
        <v>0.75</v>
      </c>
      <c r="T1440">
        <v>0.75</v>
      </c>
      <c r="U1440">
        <v>5</v>
      </c>
      <c r="V1440">
        <v>0</v>
      </c>
      <c r="W1440">
        <v>0</v>
      </c>
      <c r="X1440">
        <v>0</v>
      </c>
      <c r="Y1440">
        <v>0.43</v>
      </c>
      <c r="Z1440">
        <v>1</v>
      </c>
    </row>
    <row r="1441" spans="1:26" x14ac:dyDescent="0.2">
      <c r="A1441" t="s">
        <v>125</v>
      </c>
      <c r="B1441">
        <v>2016</v>
      </c>
      <c r="C1441" t="str">
        <f t="shared" si="22"/>
        <v>PSW2016</v>
      </c>
      <c r="D1441">
        <v>4.1753550840559142E-13</v>
      </c>
      <c r="E1441">
        <v>0.131541581117049</v>
      </c>
      <c r="F1441">
        <v>1.0803500938112161</v>
      </c>
      <c r="G1441">
        <v>26.282021788742821</v>
      </c>
      <c r="H1441">
        <v>2.369380964148271</v>
      </c>
      <c r="I1441">
        <v>0.17630317226985959</v>
      </c>
      <c r="J1441">
        <v>-0.23435003578557709</v>
      </c>
      <c r="K1441">
        <v>0.17395683302073051</v>
      </c>
      <c r="L1441">
        <v>6.0439792943302727E-2</v>
      </c>
      <c r="M1441">
        <v>8</v>
      </c>
      <c r="N1441">
        <v>1</v>
      </c>
      <c r="O1441">
        <v>0</v>
      </c>
      <c r="P1441">
        <v>0.75</v>
      </c>
      <c r="Q1441">
        <v>7.000000000000001E-4</v>
      </c>
      <c r="R1441">
        <v>0</v>
      </c>
      <c r="S1441">
        <v>0.75</v>
      </c>
      <c r="T1441">
        <v>0.75</v>
      </c>
      <c r="U1441">
        <v>5</v>
      </c>
      <c r="V1441">
        <v>0</v>
      </c>
      <c r="W1441">
        <v>0</v>
      </c>
      <c r="X1441">
        <v>0</v>
      </c>
      <c r="Y1441">
        <v>0.38500000000000001</v>
      </c>
      <c r="Z1441">
        <v>1</v>
      </c>
    </row>
    <row r="1442" spans="1:26" x14ac:dyDescent="0.2">
      <c r="A1442" t="s">
        <v>125</v>
      </c>
      <c r="B1442">
        <v>2017</v>
      </c>
      <c r="C1442" t="str">
        <f t="shared" si="22"/>
        <v>PSW2017</v>
      </c>
      <c r="D1442">
        <v>8.3715270080044089E-14</v>
      </c>
      <c r="E1442">
        <v>4.7058645559177277E-2</v>
      </c>
      <c r="F1442">
        <v>0.85991997457777758</v>
      </c>
      <c r="G1442">
        <v>26.566243062955351</v>
      </c>
      <c r="H1442">
        <v>4.7361456537356181</v>
      </c>
      <c r="I1442">
        <v>0.38660811419805452</v>
      </c>
      <c r="J1442">
        <v>0.32872691122739012</v>
      </c>
      <c r="K1442">
        <v>-0.17693478244333671</v>
      </c>
      <c r="L1442">
        <v>3.1578102456592157E-2</v>
      </c>
      <c r="M1442">
        <v>9</v>
      </c>
      <c r="N1442">
        <v>1</v>
      </c>
      <c r="O1442">
        <v>0</v>
      </c>
      <c r="P1442">
        <v>0.75</v>
      </c>
      <c r="Q1442">
        <v>7.000000000000001E-4</v>
      </c>
      <c r="R1442">
        <v>0</v>
      </c>
      <c r="S1442">
        <v>0.75</v>
      </c>
      <c r="T1442">
        <v>0.75</v>
      </c>
      <c r="U1442">
        <v>5</v>
      </c>
      <c r="V1442">
        <v>0</v>
      </c>
      <c r="W1442">
        <v>0</v>
      </c>
      <c r="X1442">
        <v>0</v>
      </c>
      <c r="Y1442">
        <v>0.3967</v>
      </c>
      <c r="Z1442">
        <v>1</v>
      </c>
    </row>
    <row r="1443" spans="1:26" x14ac:dyDescent="0.2">
      <c r="A1443" t="s">
        <v>125</v>
      </c>
      <c r="B1443">
        <v>2018</v>
      </c>
      <c r="C1443" t="str">
        <f t="shared" si="22"/>
        <v>PSW2018</v>
      </c>
      <c r="D1443">
        <v>1.3917574726969979E-13</v>
      </c>
      <c r="E1443">
        <v>5.4073626770539937E-2</v>
      </c>
      <c r="F1443">
        <v>0.70624261919949805</v>
      </c>
      <c r="G1443">
        <v>26.36166518765204</v>
      </c>
      <c r="H1443">
        <v>2.3802740137847711</v>
      </c>
      <c r="I1443">
        <v>0.27672444454150302</v>
      </c>
      <c r="J1443">
        <v>-0.18500872824632419</v>
      </c>
      <c r="K1443">
        <v>-0.19786505118389699</v>
      </c>
      <c r="L1443">
        <v>2.900765663071633E-2</v>
      </c>
      <c r="M1443">
        <v>10</v>
      </c>
      <c r="N1443">
        <v>1</v>
      </c>
      <c r="O1443">
        <v>0</v>
      </c>
      <c r="P1443">
        <v>0.75</v>
      </c>
      <c r="Q1443">
        <v>7.000000000000001E-4</v>
      </c>
      <c r="R1443">
        <v>0</v>
      </c>
      <c r="S1443">
        <v>0.75</v>
      </c>
      <c r="T1443">
        <v>0.75</v>
      </c>
      <c r="U1443">
        <v>5</v>
      </c>
      <c r="V1443">
        <v>0</v>
      </c>
      <c r="W1443">
        <v>0</v>
      </c>
      <c r="X1443">
        <v>0</v>
      </c>
      <c r="Y1443">
        <v>0.40670000000000001</v>
      </c>
      <c r="Z1443">
        <v>1</v>
      </c>
    </row>
    <row r="1444" spans="1:26" x14ac:dyDescent="0.2">
      <c r="A1444" t="s">
        <v>125</v>
      </c>
      <c r="B1444">
        <v>2019</v>
      </c>
      <c r="C1444" t="str">
        <f t="shared" si="22"/>
        <v>PSW2019</v>
      </c>
      <c r="D1444">
        <v>1.026457012845955E-13</v>
      </c>
      <c r="E1444">
        <v>3.0276672840780981E-2</v>
      </c>
      <c r="F1444">
        <v>0.65256103091394879</v>
      </c>
      <c r="G1444">
        <v>26.210389117814699</v>
      </c>
      <c r="H1444">
        <v>3.3054613665957802</v>
      </c>
      <c r="I1444">
        <v>0.18104510974347579</v>
      </c>
      <c r="J1444">
        <v>-0.14038964659165959</v>
      </c>
      <c r="K1444">
        <v>6.9730969077596891E-2</v>
      </c>
      <c r="L1444">
        <v>2.8828061510897059E-2</v>
      </c>
      <c r="M1444">
        <v>11</v>
      </c>
      <c r="N1444">
        <v>1</v>
      </c>
      <c r="O1444">
        <v>1</v>
      </c>
      <c r="P1444">
        <v>0.75</v>
      </c>
      <c r="Q1444">
        <v>7.000000000000001E-4</v>
      </c>
      <c r="R1444">
        <v>0</v>
      </c>
      <c r="S1444">
        <v>0.75</v>
      </c>
      <c r="T1444">
        <v>0.75</v>
      </c>
      <c r="U1444">
        <v>5</v>
      </c>
      <c r="V1444">
        <v>0</v>
      </c>
      <c r="W1444">
        <v>0</v>
      </c>
      <c r="X1444">
        <v>0</v>
      </c>
      <c r="Y1444">
        <v>0.41670000000000001</v>
      </c>
      <c r="Z1444">
        <v>1</v>
      </c>
    </row>
    <row r="1445" spans="1:26" x14ac:dyDescent="0.2">
      <c r="A1445" t="s">
        <v>125</v>
      </c>
      <c r="B1445">
        <v>2020</v>
      </c>
      <c r="C1445" t="str">
        <f t="shared" si="22"/>
        <v>PSW2020</v>
      </c>
      <c r="D1445">
        <v>1.462156451530555E-13</v>
      </c>
      <c r="E1445">
        <v>4.2687590314263488E-2</v>
      </c>
      <c r="F1445">
        <v>0.88411749310307119</v>
      </c>
      <c r="G1445">
        <v>26.20066970991364</v>
      </c>
      <c r="H1445">
        <v>4.9843886225167573</v>
      </c>
      <c r="I1445">
        <v>0.18059524058378609</v>
      </c>
      <c r="J1445">
        <v>-9.6723271120097154E-3</v>
      </c>
      <c r="K1445">
        <v>0.31021504693805602</v>
      </c>
      <c r="L1445">
        <v>2.483553475393065E-2</v>
      </c>
      <c r="M1445">
        <v>12</v>
      </c>
      <c r="N1445">
        <v>1</v>
      </c>
      <c r="O1445">
        <v>1</v>
      </c>
      <c r="P1445">
        <v>0.75</v>
      </c>
      <c r="Q1445">
        <v>7.000000000000001E-4</v>
      </c>
      <c r="R1445">
        <v>0</v>
      </c>
      <c r="S1445">
        <v>0.75</v>
      </c>
      <c r="T1445">
        <v>0.75</v>
      </c>
      <c r="U1445">
        <v>5</v>
      </c>
      <c r="V1445">
        <v>0</v>
      </c>
      <c r="W1445">
        <v>0</v>
      </c>
      <c r="X1445">
        <v>0</v>
      </c>
      <c r="Y1445">
        <v>0.42670000000000002</v>
      </c>
      <c r="Z1445">
        <v>1</v>
      </c>
    </row>
    <row r="1446" spans="1:26" x14ac:dyDescent="0.2">
      <c r="A1446" t="s">
        <v>125</v>
      </c>
      <c r="B1446">
        <v>2021</v>
      </c>
      <c r="C1446" t="str">
        <f t="shared" si="22"/>
        <v>PSW2021</v>
      </c>
      <c r="D1446">
        <v>4.5023635309152299E-13</v>
      </c>
      <c r="E1446">
        <v>0.24348338865772109</v>
      </c>
      <c r="F1446">
        <v>1.349799870740418</v>
      </c>
      <c r="G1446">
        <v>26.60074935327674</v>
      </c>
      <c r="H1446">
        <v>5.0248656143550727</v>
      </c>
      <c r="I1446">
        <v>0.34002136111454617</v>
      </c>
      <c r="J1446">
        <v>0.49194351630884497</v>
      </c>
      <c r="K1446">
        <v>9.2208220143215641E-2</v>
      </c>
      <c r="L1446">
        <v>1.493391393901E-2</v>
      </c>
      <c r="M1446">
        <v>13</v>
      </c>
      <c r="N1446">
        <v>1</v>
      </c>
      <c r="O1446">
        <v>0</v>
      </c>
      <c r="P1446">
        <v>0.75</v>
      </c>
      <c r="Q1446">
        <v>7.000000000000001E-4</v>
      </c>
      <c r="R1446">
        <v>0</v>
      </c>
      <c r="S1446">
        <v>0.75</v>
      </c>
      <c r="T1446">
        <v>0.75</v>
      </c>
      <c r="U1446">
        <v>3</v>
      </c>
      <c r="V1446">
        <v>0</v>
      </c>
      <c r="W1446">
        <v>0</v>
      </c>
      <c r="X1446">
        <v>0</v>
      </c>
      <c r="Y1446">
        <v>0.45629999999999998</v>
      </c>
      <c r="Z1446">
        <v>1</v>
      </c>
    </row>
    <row r="1447" spans="1:26" x14ac:dyDescent="0.2">
      <c r="A1447" t="s">
        <v>125</v>
      </c>
      <c r="B1447">
        <v>2022</v>
      </c>
      <c r="C1447" t="str">
        <f t="shared" si="22"/>
        <v>PSW2022</v>
      </c>
      <c r="D1447">
        <v>1.371799593561176E-13</v>
      </c>
      <c r="E1447">
        <v>5.1933956142973421E-2</v>
      </c>
      <c r="F1447">
        <v>0.72135123869854589</v>
      </c>
      <c r="G1447">
        <v>26.378220934806301</v>
      </c>
      <c r="H1447">
        <v>2.762923934237095</v>
      </c>
      <c r="I1447">
        <v>0.24533352515856879</v>
      </c>
      <c r="J1447">
        <v>-0.19950774233858271</v>
      </c>
      <c r="K1447">
        <v>-0.12407843816771399</v>
      </c>
      <c r="L1447">
        <v>1.6895969911225651E-2</v>
      </c>
      <c r="M1447">
        <v>14</v>
      </c>
      <c r="N1447">
        <v>1</v>
      </c>
      <c r="O1447">
        <v>0</v>
      </c>
      <c r="P1447">
        <v>0.75</v>
      </c>
      <c r="Q1447">
        <v>7.000000000000001E-4</v>
      </c>
      <c r="R1447">
        <v>0</v>
      </c>
      <c r="S1447">
        <v>0.75</v>
      </c>
      <c r="T1447">
        <v>0.75</v>
      </c>
      <c r="U1447">
        <v>3</v>
      </c>
      <c r="V1447">
        <v>0</v>
      </c>
      <c r="W1447">
        <v>0</v>
      </c>
      <c r="X1447">
        <v>0</v>
      </c>
      <c r="Y1447">
        <v>0.46629999999999999</v>
      </c>
      <c r="Z1447">
        <v>1</v>
      </c>
    </row>
    <row r="1448" spans="1:26" x14ac:dyDescent="0.2">
      <c r="A1448" t="s">
        <v>125</v>
      </c>
      <c r="B1448">
        <v>2023</v>
      </c>
      <c r="C1448" t="str">
        <f t="shared" si="22"/>
        <v>PSW2023</v>
      </c>
      <c r="D1448">
        <v>-621023781043.75635</v>
      </c>
      <c r="E1448">
        <v>5.1933956142973421E-2</v>
      </c>
      <c r="F1448">
        <v>0.72135123869854589</v>
      </c>
      <c r="G1448">
        <v>26.37489560286291</v>
      </c>
      <c r="H1448">
        <v>3.7781987357704621</v>
      </c>
      <c r="I1448">
        <v>0.24533352515856879</v>
      </c>
      <c r="J1448">
        <v>-3.319809150520658E-3</v>
      </c>
      <c r="K1448">
        <v>-1.9271925275211231E-2</v>
      </c>
      <c r="L1448">
        <v>1.171717416422724E-2</v>
      </c>
      <c r="M1448">
        <v>15</v>
      </c>
      <c r="N1448">
        <v>0</v>
      </c>
      <c r="O1448">
        <v>0</v>
      </c>
      <c r="P1448">
        <v>0.75</v>
      </c>
      <c r="Q1448">
        <v>7.000000000000001E-4</v>
      </c>
      <c r="R1448">
        <v>0</v>
      </c>
      <c r="S1448">
        <v>0.75</v>
      </c>
      <c r="T1448">
        <v>0.75</v>
      </c>
      <c r="U1448">
        <v>3</v>
      </c>
      <c r="V1448">
        <v>0</v>
      </c>
      <c r="W1448">
        <v>0</v>
      </c>
      <c r="X1448">
        <v>0</v>
      </c>
      <c r="Y1448">
        <v>0.46629999999999999</v>
      </c>
      <c r="Z1448">
        <v>1</v>
      </c>
    </row>
    <row r="1449" spans="1:26" x14ac:dyDescent="0.2">
      <c r="A1449" t="s">
        <v>126</v>
      </c>
      <c r="B1449">
        <v>2012</v>
      </c>
      <c r="C1449" t="str">
        <f t="shared" si="22"/>
        <v>PTB2012</v>
      </c>
      <c r="D1449">
        <v>1.278277572168373E-13</v>
      </c>
      <c r="E1449">
        <v>0.34869767652771672</v>
      </c>
      <c r="F1449">
        <v>0.92180602702516312</v>
      </c>
      <c r="G1449">
        <v>27.333827866936279</v>
      </c>
      <c r="H1449">
        <v>1.043729818103847</v>
      </c>
      <c r="I1449">
        <v>0.716653092283983</v>
      </c>
      <c r="J1449">
        <v>0.186320632514035</v>
      </c>
      <c r="K1449">
        <v>9.6961058193804267E-2</v>
      </c>
      <c r="L1449">
        <v>0.25323976750244842</v>
      </c>
      <c r="M1449">
        <v>8</v>
      </c>
      <c r="N1449">
        <v>0</v>
      </c>
      <c r="O1449">
        <v>0</v>
      </c>
      <c r="P1449">
        <v>0.35830000000000001</v>
      </c>
      <c r="Q1449">
        <v>0.34399999999999997</v>
      </c>
      <c r="R1449">
        <v>0</v>
      </c>
      <c r="S1449">
        <v>0.13420000000000001</v>
      </c>
      <c r="T1449">
        <v>0.13420000000000001</v>
      </c>
      <c r="U1449">
        <v>7</v>
      </c>
      <c r="V1449">
        <v>1</v>
      </c>
      <c r="W1449">
        <v>0</v>
      </c>
      <c r="X1449">
        <v>0</v>
      </c>
      <c r="Y1449">
        <v>0.45179999999999998</v>
      </c>
      <c r="Z1449">
        <v>1</v>
      </c>
    </row>
    <row r="1450" spans="1:26" x14ac:dyDescent="0.2">
      <c r="A1450" t="s">
        <v>126</v>
      </c>
      <c r="B1450">
        <v>2013</v>
      </c>
      <c r="C1450" t="str">
        <f t="shared" si="22"/>
        <v>PTB2013</v>
      </c>
      <c r="D1450">
        <v>1.1991449313083301E-13</v>
      </c>
      <c r="E1450">
        <v>0.3667947570720112</v>
      </c>
      <c r="F1450">
        <v>1.1863693951988601</v>
      </c>
      <c r="G1450">
        <v>27.548086647086809</v>
      </c>
      <c r="H1450">
        <v>1.0517548129272001</v>
      </c>
      <c r="I1450">
        <v>0.68700062227631153</v>
      </c>
      <c r="J1450">
        <v>0.23894322722761199</v>
      </c>
      <c r="K1450">
        <v>5.2454696303115403E-2</v>
      </c>
      <c r="L1450">
        <v>0.27923745526074362</v>
      </c>
      <c r="M1450">
        <v>9</v>
      </c>
      <c r="N1450">
        <v>0</v>
      </c>
      <c r="O1450">
        <v>0</v>
      </c>
      <c r="P1450">
        <v>0.41299999999999998</v>
      </c>
      <c r="Q1450">
        <v>0.3569</v>
      </c>
      <c r="R1450">
        <v>0</v>
      </c>
      <c r="S1450">
        <v>0.13420000000000001</v>
      </c>
      <c r="T1450">
        <v>0.13420000000000001</v>
      </c>
      <c r="U1450">
        <v>7</v>
      </c>
      <c r="V1450">
        <v>1</v>
      </c>
      <c r="W1450">
        <v>0</v>
      </c>
      <c r="X1450">
        <v>0</v>
      </c>
      <c r="Y1450">
        <v>0.43819999999999998</v>
      </c>
      <c r="Z1450">
        <v>1</v>
      </c>
    </row>
    <row r="1451" spans="1:26" x14ac:dyDescent="0.2">
      <c r="A1451" t="s">
        <v>126</v>
      </c>
      <c r="B1451">
        <v>2014</v>
      </c>
      <c r="C1451" t="str">
        <f t="shared" si="22"/>
        <v>PTB2014</v>
      </c>
      <c r="D1451">
        <v>1.017666861322702E-13</v>
      </c>
      <c r="E1451">
        <v>0.35520450867935749</v>
      </c>
      <c r="F1451">
        <v>1.2637029785109211</v>
      </c>
      <c r="G1451">
        <v>27.71806625072038</v>
      </c>
      <c r="H1451">
        <v>1.074884718516671</v>
      </c>
      <c r="I1451">
        <v>0.67519116479498775</v>
      </c>
      <c r="J1451">
        <v>0.1852806756548315</v>
      </c>
      <c r="K1451">
        <v>9.5973624368519708E-2</v>
      </c>
      <c r="L1451">
        <v>0.28645699048102002</v>
      </c>
      <c r="M1451">
        <v>10</v>
      </c>
      <c r="N1451">
        <v>0</v>
      </c>
      <c r="O1451">
        <v>0</v>
      </c>
      <c r="P1451">
        <v>0.27879999999999999</v>
      </c>
      <c r="Q1451">
        <v>0.3569</v>
      </c>
      <c r="R1451">
        <v>0</v>
      </c>
      <c r="S1451">
        <v>0</v>
      </c>
      <c r="T1451">
        <v>0</v>
      </c>
      <c r="U1451">
        <v>7</v>
      </c>
      <c r="V1451">
        <v>1</v>
      </c>
      <c r="W1451">
        <v>0</v>
      </c>
      <c r="X1451">
        <v>0</v>
      </c>
      <c r="Y1451">
        <v>0.44819999999999999</v>
      </c>
      <c r="Z1451">
        <v>1</v>
      </c>
    </row>
    <row r="1452" spans="1:26" x14ac:dyDescent="0.2">
      <c r="A1452" t="s">
        <v>126</v>
      </c>
      <c r="B1452">
        <v>2015</v>
      </c>
      <c r="C1452" t="str">
        <f t="shared" si="22"/>
        <v>PTB2015</v>
      </c>
      <c r="D1452">
        <v>1.1903487421674749E-13</v>
      </c>
      <c r="E1452">
        <v>0.35450890415567898</v>
      </c>
      <c r="F1452">
        <v>1.493744145673306</v>
      </c>
      <c r="G1452">
        <v>27.847299250564799</v>
      </c>
      <c r="H1452">
        <v>1.081175247879292</v>
      </c>
      <c r="I1452">
        <v>0.58315416163364608</v>
      </c>
      <c r="J1452">
        <v>0.13795523667205109</v>
      </c>
      <c r="K1452">
        <v>0.24605149464541781</v>
      </c>
      <c r="L1452">
        <v>0.32281009368347008</v>
      </c>
      <c r="M1452">
        <v>11</v>
      </c>
      <c r="N1452">
        <v>0</v>
      </c>
      <c r="O1452">
        <v>0</v>
      </c>
      <c r="P1452">
        <v>0.27879999999999999</v>
      </c>
      <c r="Q1452">
        <v>0.3569</v>
      </c>
      <c r="R1452">
        <v>0</v>
      </c>
      <c r="S1452">
        <v>0</v>
      </c>
      <c r="T1452">
        <v>0</v>
      </c>
      <c r="U1452">
        <v>7</v>
      </c>
      <c r="V1452">
        <v>1</v>
      </c>
      <c r="W1452">
        <v>0</v>
      </c>
      <c r="X1452">
        <v>0</v>
      </c>
      <c r="Y1452">
        <v>0.4582</v>
      </c>
      <c r="Z1452">
        <v>1</v>
      </c>
    </row>
    <row r="1453" spans="1:26" x14ac:dyDescent="0.2">
      <c r="A1453" t="s">
        <v>126</v>
      </c>
      <c r="B1453">
        <v>2016</v>
      </c>
      <c r="C1453" t="str">
        <f t="shared" si="22"/>
        <v>PTB2016</v>
      </c>
      <c r="D1453">
        <v>8.4876415777768595E-14</v>
      </c>
      <c r="E1453">
        <v>0.34941200685026591</v>
      </c>
      <c r="F1453">
        <v>2.033627715476114</v>
      </c>
      <c r="G1453">
        <v>28.224635260578829</v>
      </c>
      <c r="H1453">
        <v>1.141784357255051</v>
      </c>
      <c r="I1453">
        <v>0.56020270446042664</v>
      </c>
      <c r="J1453">
        <v>0.45839426212857348</v>
      </c>
      <c r="K1453">
        <v>3.6855841903073651E-2</v>
      </c>
      <c r="L1453">
        <v>0.33431706947994883</v>
      </c>
      <c r="M1453">
        <v>12</v>
      </c>
      <c r="N1453">
        <v>0</v>
      </c>
      <c r="O1453">
        <v>0</v>
      </c>
      <c r="P1453">
        <v>0.28000000000000003</v>
      </c>
      <c r="Q1453">
        <v>0.3639</v>
      </c>
      <c r="R1453">
        <v>0</v>
      </c>
      <c r="S1453">
        <v>0</v>
      </c>
      <c r="T1453">
        <v>0</v>
      </c>
      <c r="U1453">
        <v>7</v>
      </c>
      <c r="V1453">
        <v>1</v>
      </c>
      <c r="W1453">
        <v>0</v>
      </c>
      <c r="X1453">
        <v>0</v>
      </c>
      <c r="Y1453">
        <v>0.46250000000000002</v>
      </c>
      <c r="Z1453">
        <v>1</v>
      </c>
    </row>
    <row r="1454" spans="1:26" x14ac:dyDescent="0.2">
      <c r="A1454" t="s">
        <v>126</v>
      </c>
      <c r="B1454">
        <v>2017</v>
      </c>
      <c r="C1454" t="str">
        <f t="shared" si="22"/>
        <v>PTB2017</v>
      </c>
      <c r="D1454">
        <v>5.419737301338994E-14</v>
      </c>
      <c r="E1454">
        <v>0.32937912836812328</v>
      </c>
      <c r="F1454">
        <v>1.8956361833000019</v>
      </c>
      <c r="G1454">
        <v>28.57936417327582</v>
      </c>
      <c r="H1454">
        <v>1.1158143310329609</v>
      </c>
      <c r="I1454">
        <v>0.57524126641366025</v>
      </c>
      <c r="J1454">
        <v>0.4257940872133863</v>
      </c>
      <c r="K1454">
        <v>8.5963875038053333E-2</v>
      </c>
      <c r="L1454">
        <v>0.39909482767968252</v>
      </c>
      <c r="M1454">
        <v>13</v>
      </c>
      <c r="N1454">
        <v>0</v>
      </c>
      <c r="O1454">
        <v>0</v>
      </c>
      <c r="P1454">
        <v>0.29420000000000002</v>
      </c>
      <c r="Q1454">
        <v>0.36230000000000001</v>
      </c>
      <c r="R1454">
        <v>0</v>
      </c>
      <c r="S1454">
        <v>0</v>
      </c>
      <c r="T1454">
        <v>0</v>
      </c>
      <c r="U1454">
        <v>7</v>
      </c>
      <c r="V1454">
        <v>0</v>
      </c>
      <c r="W1454">
        <v>0</v>
      </c>
      <c r="X1454">
        <v>0</v>
      </c>
      <c r="Y1454">
        <v>0.47360000000000002</v>
      </c>
      <c r="Z1454">
        <v>1</v>
      </c>
    </row>
    <row r="1455" spans="1:26" x14ac:dyDescent="0.2">
      <c r="A1455" t="s">
        <v>126</v>
      </c>
      <c r="B1455">
        <v>2018</v>
      </c>
      <c r="C1455" t="str">
        <f t="shared" si="22"/>
        <v>PTB2018</v>
      </c>
      <c r="D1455">
        <v>3.4600961620221448E-14</v>
      </c>
      <c r="E1455">
        <v>0.24071891352450239</v>
      </c>
      <c r="F1455">
        <v>1.3835182095083109</v>
      </c>
      <c r="G1455">
        <v>28.854573561364919</v>
      </c>
      <c r="H1455">
        <v>1.0257658600610631</v>
      </c>
      <c r="I1455">
        <v>0.51139261187552887</v>
      </c>
      <c r="J1455">
        <v>0.31680636957245811</v>
      </c>
      <c r="K1455">
        <v>3.5852443717221391E-2</v>
      </c>
      <c r="L1455">
        <v>0.33679811987104841</v>
      </c>
      <c r="M1455">
        <v>14</v>
      </c>
      <c r="N1455">
        <v>0</v>
      </c>
      <c r="O1455">
        <v>0</v>
      </c>
      <c r="P1455">
        <v>0.29980000000000001</v>
      </c>
      <c r="Q1455">
        <v>0.3654</v>
      </c>
      <c r="R1455">
        <v>0</v>
      </c>
      <c r="S1455">
        <v>0</v>
      </c>
      <c r="T1455">
        <v>0</v>
      </c>
      <c r="U1455">
        <v>8</v>
      </c>
      <c r="V1455">
        <v>0</v>
      </c>
      <c r="W1455">
        <v>0.125</v>
      </c>
      <c r="X1455">
        <v>0</v>
      </c>
      <c r="Y1455">
        <v>0.51670000000000005</v>
      </c>
      <c r="Z1455">
        <v>1</v>
      </c>
    </row>
    <row r="1456" spans="1:26" x14ac:dyDescent="0.2">
      <c r="A1456" t="s">
        <v>126</v>
      </c>
      <c r="B1456">
        <v>2019</v>
      </c>
      <c r="C1456" t="str">
        <f t="shared" si="22"/>
        <v>PTB2019</v>
      </c>
      <c r="D1456">
        <v>2.4378954233832501E-14</v>
      </c>
      <c r="E1456">
        <v>0.24752032122674339</v>
      </c>
      <c r="F1456">
        <v>1.3385417655505909</v>
      </c>
      <c r="G1456">
        <v>29.096287081086839</v>
      </c>
      <c r="H1456">
        <v>1.2648086341934051</v>
      </c>
      <c r="I1456">
        <v>0.57365503812596741</v>
      </c>
      <c r="J1456">
        <v>0.27342932816738852</v>
      </c>
      <c r="K1456">
        <v>5.3743188389281007E-2</v>
      </c>
      <c r="L1456">
        <v>0.37149010949425282</v>
      </c>
      <c r="M1456">
        <v>15</v>
      </c>
      <c r="N1456">
        <v>0</v>
      </c>
      <c r="O1456">
        <v>1</v>
      </c>
      <c r="P1456">
        <v>0.30080000000000001</v>
      </c>
      <c r="Q1456">
        <v>0.37540000000000001</v>
      </c>
      <c r="R1456">
        <v>0</v>
      </c>
      <c r="S1456">
        <v>0</v>
      </c>
      <c r="T1456">
        <v>0</v>
      </c>
      <c r="U1456">
        <v>8</v>
      </c>
      <c r="V1456">
        <v>0</v>
      </c>
      <c r="W1456">
        <v>0.125</v>
      </c>
      <c r="X1456">
        <v>0</v>
      </c>
      <c r="Y1456">
        <v>0.52670000000000006</v>
      </c>
      <c r="Z1456">
        <v>1</v>
      </c>
    </row>
    <row r="1457" spans="1:26" x14ac:dyDescent="0.2">
      <c r="A1457" t="s">
        <v>126</v>
      </c>
      <c r="B1457">
        <v>2020</v>
      </c>
      <c r="C1457" t="str">
        <f t="shared" si="22"/>
        <v>PTB2020</v>
      </c>
      <c r="D1457">
        <v>1.6644409809605641E-14</v>
      </c>
      <c r="E1457">
        <v>0.19054587549499319</v>
      </c>
      <c r="F1457">
        <v>1.177348813823099</v>
      </c>
      <c r="G1457">
        <v>29.1941548168585</v>
      </c>
      <c r="H1457">
        <v>1.0834190691746519</v>
      </c>
      <c r="I1457">
        <v>0.58300659306342628</v>
      </c>
      <c r="J1457">
        <v>0.10281691223394079</v>
      </c>
      <c r="K1457">
        <v>0.1747585769471218</v>
      </c>
      <c r="L1457">
        <v>0.35305826952577102</v>
      </c>
      <c r="M1457">
        <v>16</v>
      </c>
      <c r="N1457">
        <v>0</v>
      </c>
      <c r="O1457">
        <v>1</v>
      </c>
      <c r="P1457">
        <v>0.314</v>
      </c>
      <c r="Q1457">
        <v>0.39950000000000002</v>
      </c>
      <c r="R1457">
        <v>0</v>
      </c>
      <c r="S1457">
        <v>0</v>
      </c>
      <c r="T1457">
        <v>0</v>
      </c>
      <c r="U1457">
        <v>8</v>
      </c>
      <c r="V1457">
        <v>0</v>
      </c>
      <c r="W1457">
        <v>0.125</v>
      </c>
      <c r="X1457">
        <v>0</v>
      </c>
      <c r="Y1457">
        <v>0.53670000000000007</v>
      </c>
      <c r="Z1457">
        <v>1</v>
      </c>
    </row>
    <row r="1458" spans="1:26" x14ac:dyDescent="0.2">
      <c r="A1458" t="s">
        <v>126</v>
      </c>
      <c r="B1458">
        <v>2021</v>
      </c>
      <c r="C1458" t="str">
        <f t="shared" si="22"/>
        <v>PTB2021</v>
      </c>
      <c r="D1458">
        <v>1.783029724125105E-14</v>
      </c>
      <c r="E1458">
        <v>0.21997203560040129</v>
      </c>
      <c r="F1458">
        <v>1.445668690596948</v>
      </c>
      <c r="G1458">
        <v>29.323121983954401</v>
      </c>
      <c r="H1458">
        <v>1.112070253558697</v>
      </c>
      <c r="I1458">
        <v>0.55978870734484132</v>
      </c>
      <c r="J1458">
        <v>0.13765277110819379</v>
      </c>
      <c r="K1458">
        <v>3.1041371012520691E-2</v>
      </c>
      <c r="L1458">
        <v>0.34389785315907218</v>
      </c>
      <c r="M1458">
        <v>17</v>
      </c>
      <c r="N1458">
        <v>0</v>
      </c>
      <c r="O1458">
        <v>0</v>
      </c>
      <c r="P1458">
        <v>0.33200000000000002</v>
      </c>
      <c r="Q1458">
        <v>0.39900000000000002</v>
      </c>
      <c r="R1458">
        <v>0</v>
      </c>
      <c r="S1458">
        <v>0</v>
      </c>
      <c r="T1458">
        <v>0</v>
      </c>
      <c r="U1458">
        <v>8</v>
      </c>
      <c r="V1458">
        <v>0</v>
      </c>
      <c r="W1458">
        <v>0.125</v>
      </c>
      <c r="X1458">
        <v>0</v>
      </c>
      <c r="Y1458">
        <v>0.54669999999999996</v>
      </c>
      <c r="Z1458">
        <v>1</v>
      </c>
    </row>
    <row r="1459" spans="1:26" x14ac:dyDescent="0.2">
      <c r="A1459" t="s">
        <v>126</v>
      </c>
      <c r="B1459">
        <v>2022</v>
      </c>
      <c r="C1459" t="str">
        <f t="shared" si="22"/>
        <v>PTB2022</v>
      </c>
      <c r="D1459">
        <v>1.8310600322759551E-14</v>
      </c>
      <c r="E1459">
        <v>0.1819598520558651</v>
      </c>
      <c r="F1459">
        <v>1.0170949660936599</v>
      </c>
      <c r="G1459">
        <v>29.28701772862604</v>
      </c>
      <c r="H1459">
        <v>1.193382622557543</v>
      </c>
      <c r="I1459">
        <v>0.47287064871005302</v>
      </c>
      <c r="J1459">
        <v>-3.5460270165187269E-2</v>
      </c>
      <c r="K1459">
        <v>0.1405838595652453</v>
      </c>
      <c r="L1459">
        <v>0.34569729694425189</v>
      </c>
      <c r="M1459">
        <v>18</v>
      </c>
      <c r="N1459">
        <v>0</v>
      </c>
      <c r="O1459">
        <v>0</v>
      </c>
      <c r="P1459">
        <v>0.33939999999999998</v>
      </c>
      <c r="Q1459">
        <v>0.40710000000000002</v>
      </c>
      <c r="R1459">
        <v>0</v>
      </c>
      <c r="S1459">
        <v>0</v>
      </c>
      <c r="T1459">
        <v>0</v>
      </c>
      <c r="U1459">
        <v>8</v>
      </c>
      <c r="V1459">
        <v>0</v>
      </c>
      <c r="W1459">
        <v>0</v>
      </c>
      <c r="X1459">
        <v>0</v>
      </c>
      <c r="Y1459">
        <v>0.56820000000000004</v>
      </c>
      <c r="Z1459">
        <v>1</v>
      </c>
    </row>
    <row r="1460" spans="1:26" x14ac:dyDescent="0.2">
      <c r="A1460" t="s">
        <v>126</v>
      </c>
      <c r="B1460">
        <v>2023</v>
      </c>
      <c r="C1460" t="str">
        <f t="shared" si="22"/>
        <v>PTB2023</v>
      </c>
      <c r="D1460">
        <v>22571639037804.059</v>
      </c>
      <c r="E1460">
        <v>8.0713411432977222E-2</v>
      </c>
      <c r="F1460">
        <v>1.0397575452684811</v>
      </c>
      <c r="G1460">
        <v>29.29994101884574</v>
      </c>
      <c r="H1460">
        <v>1.322565731515833</v>
      </c>
      <c r="I1460">
        <v>0.31451640653796981</v>
      </c>
      <c r="J1460">
        <v>1.300715682282871E-2</v>
      </c>
      <c r="K1460">
        <v>0.14761276818190969</v>
      </c>
      <c r="L1460">
        <v>0.32666032673331169</v>
      </c>
      <c r="M1460">
        <v>19</v>
      </c>
      <c r="N1460">
        <v>0</v>
      </c>
      <c r="O1460">
        <v>0</v>
      </c>
      <c r="P1460">
        <v>0.33939999999999998</v>
      </c>
      <c r="Q1460">
        <v>0.40710000000000002</v>
      </c>
      <c r="R1460">
        <v>0</v>
      </c>
      <c r="S1460">
        <v>0</v>
      </c>
      <c r="T1460">
        <v>0</v>
      </c>
      <c r="U1460">
        <v>8</v>
      </c>
      <c r="V1460">
        <v>0</v>
      </c>
      <c r="W1460">
        <v>0</v>
      </c>
      <c r="X1460">
        <v>0</v>
      </c>
      <c r="Y1460">
        <v>0.56820000000000004</v>
      </c>
      <c r="Z1460">
        <v>1</v>
      </c>
    </row>
    <row r="1461" spans="1:26" x14ac:dyDescent="0.2">
      <c r="A1461" t="s">
        <v>127</v>
      </c>
      <c r="B1461">
        <v>2012</v>
      </c>
      <c r="C1461" t="str">
        <f t="shared" si="22"/>
        <v>QHD2012</v>
      </c>
      <c r="D1461">
        <v>4.0356556644191132E-13</v>
      </c>
      <c r="E1461">
        <v>0.1020624725731186</v>
      </c>
      <c r="F1461">
        <v>0.80669700167951719</v>
      </c>
      <c r="G1461">
        <v>25.459133852394299</v>
      </c>
      <c r="H1461">
        <v>1.1200234338955839</v>
      </c>
      <c r="I1461">
        <v>0.54938114008725258</v>
      </c>
      <c r="J1461">
        <v>-0.1225086637919723</v>
      </c>
      <c r="K1461">
        <v>0.16087867383236329</v>
      </c>
      <c r="L1461">
        <v>0.39801825245946321</v>
      </c>
      <c r="M1461">
        <v>4</v>
      </c>
      <c r="N1461">
        <v>0</v>
      </c>
      <c r="O1461">
        <v>0</v>
      </c>
      <c r="P1461">
        <v>0.44590000000000002</v>
      </c>
      <c r="Q1461">
        <v>0.26350000000000001</v>
      </c>
      <c r="R1461">
        <v>0</v>
      </c>
      <c r="S1461">
        <v>0.19359999999999999</v>
      </c>
      <c r="T1461">
        <v>0.19359999999999999</v>
      </c>
      <c r="U1461">
        <v>5</v>
      </c>
      <c r="V1461">
        <v>1</v>
      </c>
      <c r="W1461">
        <v>0</v>
      </c>
      <c r="X1461">
        <v>0</v>
      </c>
      <c r="Y1461">
        <v>0.49559999999999998</v>
      </c>
      <c r="Z1461">
        <v>1</v>
      </c>
    </row>
    <row r="1462" spans="1:26" x14ac:dyDescent="0.2">
      <c r="A1462" t="s">
        <v>127</v>
      </c>
      <c r="B1462">
        <v>2013</v>
      </c>
      <c r="C1462" t="str">
        <f t="shared" si="22"/>
        <v>QHD2013</v>
      </c>
      <c r="D1462">
        <v>8.2623529694643403E-13</v>
      </c>
      <c r="E1462">
        <v>0.1589785593010144</v>
      </c>
      <c r="F1462">
        <v>0.81907623993358547</v>
      </c>
      <c r="G1462">
        <v>25.367687007735359</v>
      </c>
      <c r="H1462">
        <v>1.1573004579004</v>
      </c>
      <c r="I1462">
        <v>0.459480117973116</v>
      </c>
      <c r="J1462">
        <v>-8.7390175050752847E-2</v>
      </c>
      <c r="K1462">
        <v>8.4641599460933262E-2</v>
      </c>
      <c r="L1462">
        <v>0.39688092200182828</v>
      </c>
      <c r="M1462">
        <v>5</v>
      </c>
      <c r="N1462">
        <v>0</v>
      </c>
      <c r="O1462">
        <v>0</v>
      </c>
      <c r="P1462">
        <v>0.44590000000000002</v>
      </c>
      <c r="Q1462">
        <v>0.26350000000000001</v>
      </c>
      <c r="R1462">
        <v>0</v>
      </c>
      <c r="S1462">
        <v>0.19359999999999999</v>
      </c>
      <c r="T1462">
        <v>0.19359999999999999</v>
      </c>
      <c r="U1462">
        <v>5</v>
      </c>
      <c r="V1462">
        <v>1</v>
      </c>
      <c r="W1462">
        <v>0</v>
      </c>
      <c r="X1462">
        <v>0</v>
      </c>
      <c r="Y1462">
        <v>0.50560000000000005</v>
      </c>
      <c r="Z1462">
        <v>1</v>
      </c>
    </row>
    <row r="1463" spans="1:26" x14ac:dyDescent="0.2">
      <c r="A1463" t="s">
        <v>127</v>
      </c>
      <c r="B1463">
        <v>2014</v>
      </c>
      <c r="C1463" t="str">
        <f t="shared" si="22"/>
        <v>QHD2014</v>
      </c>
      <c r="D1463">
        <v>1.3514683747418861E-12</v>
      </c>
      <c r="E1463">
        <v>0.26230755717064019</v>
      </c>
      <c r="F1463">
        <v>1.214996362321122</v>
      </c>
      <c r="G1463">
        <v>25.45074674488334</v>
      </c>
      <c r="H1463">
        <v>1.2346139232535041</v>
      </c>
      <c r="I1463">
        <v>0.41774402208568229</v>
      </c>
      <c r="J1463">
        <v>8.6606717395752111E-2</v>
      </c>
      <c r="K1463">
        <v>0.21027409553550691</v>
      </c>
      <c r="L1463">
        <v>0.32749806570369883</v>
      </c>
      <c r="M1463">
        <v>6</v>
      </c>
      <c r="N1463">
        <v>0</v>
      </c>
      <c r="O1463">
        <v>0</v>
      </c>
      <c r="P1463">
        <v>0.44590000000000002</v>
      </c>
      <c r="Q1463">
        <v>0.26350000000000001</v>
      </c>
      <c r="R1463">
        <v>0</v>
      </c>
      <c r="S1463">
        <v>0.19359999999999999</v>
      </c>
      <c r="T1463">
        <v>0.19359999999999999</v>
      </c>
      <c r="U1463">
        <v>5</v>
      </c>
      <c r="V1463">
        <v>1</v>
      </c>
      <c r="W1463">
        <v>0</v>
      </c>
      <c r="X1463">
        <v>0</v>
      </c>
      <c r="Y1463">
        <v>0.51560000000000006</v>
      </c>
      <c r="Z1463">
        <v>1</v>
      </c>
    </row>
    <row r="1464" spans="1:26" x14ac:dyDescent="0.2">
      <c r="A1464" t="s">
        <v>127</v>
      </c>
      <c r="B1464">
        <v>2015</v>
      </c>
      <c r="C1464" t="str">
        <f t="shared" si="22"/>
        <v>QHD2015</v>
      </c>
      <c r="D1464">
        <v>1.755622549533579E-12</v>
      </c>
      <c r="E1464">
        <v>0.36281776348096201</v>
      </c>
      <c r="F1464">
        <v>1.813362242135566</v>
      </c>
      <c r="G1464">
        <v>25.63463707264145</v>
      </c>
      <c r="H1464">
        <v>1.5165909030509419</v>
      </c>
      <c r="I1464">
        <v>0.34275992772935232</v>
      </c>
      <c r="J1464">
        <v>0.20188400255486269</v>
      </c>
      <c r="K1464">
        <v>0.3293020105195581</v>
      </c>
      <c r="L1464">
        <v>0.35444091977596182</v>
      </c>
      <c r="M1464">
        <v>7</v>
      </c>
      <c r="N1464">
        <v>0</v>
      </c>
      <c r="O1464">
        <v>0</v>
      </c>
      <c r="P1464">
        <v>0.44579999999999997</v>
      </c>
      <c r="Q1464">
        <v>0.26350000000000001</v>
      </c>
      <c r="R1464">
        <v>0</v>
      </c>
      <c r="S1464">
        <v>0</v>
      </c>
      <c r="T1464">
        <v>0</v>
      </c>
      <c r="U1464">
        <v>5</v>
      </c>
      <c r="V1464">
        <v>1</v>
      </c>
      <c r="W1464">
        <v>0</v>
      </c>
      <c r="X1464">
        <v>0</v>
      </c>
      <c r="Y1464">
        <v>0.52500000000000002</v>
      </c>
      <c r="Z1464">
        <v>1</v>
      </c>
    </row>
    <row r="1465" spans="1:26" x14ac:dyDescent="0.2">
      <c r="A1465" t="s">
        <v>127</v>
      </c>
      <c r="B1465">
        <v>2016</v>
      </c>
      <c r="C1465" t="str">
        <f t="shared" si="22"/>
        <v>QHD2016</v>
      </c>
      <c r="D1465">
        <v>1.180490544411504E-12</v>
      </c>
      <c r="E1465">
        <v>0.29706747381094828</v>
      </c>
      <c r="F1465">
        <v>1.7339307761453731</v>
      </c>
      <c r="G1465">
        <v>25.840535575093039</v>
      </c>
      <c r="H1465">
        <v>1.7961336233328551</v>
      </c>
      <c r="I1465">
        <v>0.33685359536785969</v>
      </c>
      <c r="J1465">
        <v>0.22862849488643411</v>
      </c>
      <c r="K1465">
        <v>0.26384751174632848</v>
      </c>
      <c r="L1465">
        <v>0.37964120436928828</v>
      </c>
      <c r="M1465">
        <v>8</v>
      </c>
      <c r="N1465">
        <v>0</v>
      </c>
      <c r="O1465">
        <v>0</v>
      </c>
      <c r="P1465">
        <v>0.32340000000000002</v>
      </c>
      <c r="Q1465">
        <v>0.18340000000000001</v>
      </c>
      <c r="R1465">
        <v>0</v>
      </c>
      <c r="S1465">
        <v>0</v>
      </c>
      <c r="T1465">
        <v>0</v>
      </c>
      <c r="U1465">
        <v>4</v>
      </c>
      <c r="V1465">
        <v>1</v>
      </c>
      <c r="W1465">
        <v>0</v>
      </c>
      <c r="X1465">
        <v>0</v>
      </c>
      <c r="Y1465">
        <v>0.52570000000000006</v>
      </c>
      <c r="Z1465">
        <v>1</v>
      </c>
    </row>
    <row r="1466" spans="1:26" x14ac:dyDescent="0.2">
      <c r="A1466" t="s">
        <v>127</v>
      </c>
      <c r="B1466">
        <v>2017</v>
      </c>
      <c r="C1466" t="str">
        <f t="shared" si="22"/>
        <v>QHD2017</v>
      </c>
      <c r="D1466">
        <v>8.9195849062140931E-14</v>
      </c>
      <c r="E1466">
        <v>1.9803364520625599E-2</v>
      </c>
      <c r="F1466">
        <v>1.0996898584431209</v>
      </c>
      <c r="G1466">
        <v>25.703853872564729</v>
      </c>
      <c r="H1466">
        <v>1.775371532393772</v>
      </c>
      <c r="I1466">
        <v>0.34438699045588339</v>
      </c>
      <c r="J1466">
        <v>-0.12775218377374989</v>
      </c>
      <c r="K1466">
        <v>-5.9623417860953293E-2</v>
      </c>
      <c r="L1466">
        <v>0.39491551523285362</v>
      </c>
      <c r="M1466">
        <v>9</v>
      </c>
      <c r="N1466">
        <v>0</v>
      </c>
      <c r="O1466">
        <v>0</v>
      </c>
      <c r="P1466">
        <v>0.32340000000000002</v>
      </c>
      <c r="Q1466">
        <v>0.26869999999999999</v>
      </c>
      <c r="R1466">
        <v>0</v>
      </c>
      <c r="S1466">
        <v>0</v>
      </c>
      <c r="T1466">
        <v>0</v>
      </c>
      <c r="U1466">
        <v>5</v>
      </c>
      <c r="V1466">
        <v>1</v>
      </c>
      <c r="W1466">
        <v>0</v>
      </c>
      <c r="X1466">
        <v>0</v>
      </c>
      <c r="Y1466">
        <v>0.51880000000000004</v>
      </c>
      <c r="Z1466">
        <v>1</v>
      </c>
    </row>
    <row r="1467" spans="1:26" x14ac:dyDescent="0.2">
      <c r="A1467" t="s">
        <v>127</v>
      </c>
      <c r="B1467">
        <v>2018</v>
      </c>
      <c r="C1467" t="str">
        <f t="shared" si="22"/>
        <v>QHD2018</v>
      </c>
      <c r="D1467">
        <v>3.6058913971877512E-14</v>
      </c>
      <c r="E1467">
        <v>8.5584483742216968E-3</v>
      </c>
      <c r="F1467">
        <v>1.1038997811603151</v>
      </c>
      <c r="G1467">
        <v>25.66243608538549</v>
      </c>
      <c r="H1467">
        <v>1.6753986775048579</v>
      </c>
      <c r="I1467">
        <v>0.41160091157710549</v>
      </c>
      <c r="J1467">
        <v>-4.0571790601393938E-2</v>
      </c>
      <c r="K1467">
        <v>1.9953496580436499E-2</v>
      </c>
      <c r="L1467">
        <v>0.35859068314463372</v>
      </c>
      <c r="M1467">
        <v>10</v>
      </c>
      <c r="N1467">
        <v>0</v>
      </c>
      <c r="O1467">
        <v>0</v>
      </c>
      <c r="P1467">
        <v>0.32340000000000002</v>
      </c>
      <c r="Q1467">
        <v>0.26869999999999999</v>
      </c>
      <c r="R1467">
        <v>0</v>
      </c>
      <c r="S1467">
        <v>0</v>
      </c>
      <c r="T1467">
        <v>0</v>
      </c>
      <c r="U1467">
        <v>6</v>
      </c>
      <c r="V1467">
        <v>1</v>
      </c>
      <c r="W1467">
        <v>0</v>
      </c>
      <c r="X1467">
        <v>0</v>
      </c>
      <c r="Y1467">
        <v>0.51219999999999999</v>
      </c>
      <c r="Z1467">
        <v>1</v>
      </c>
    </row>
    <row r="1468" spans="1:26" x14ac:dyDescent="0.2">
      <c r="A1468" t="s">
        <v>127</v>
      </c>
      <c r="B1468">
        <v>2019</v>
      </c>
      <c r="C1468" t="str">
        <f t="shared" si="22"/>
        <v>QHD2019</v>
      </c>
      <c r="D1468">
        <v>8.0144884321783097E-13</v>
      </c>
      <c r="E1468">
        <v>0.15841309026214659</v>
      </c>
      <c r="F1468">
        <v>1.165929270613282</v>
      </c>
      <c r="G1468">
        <v>25.543399434322431</v>
      </c>
      <c r="H1468">
        <v>1.4949902706835769</v>
      </c>
      <c r="I1468">
        <v>0.37274784267712491</v>
      </c>
      <c r="J1468">
        <v>-0.1122247377414464</v>
      </c>
      <c r="K1468">
        <v>0.1656847258907867</v>
      </c>
      <c r="L1468">
        <v>0.34246482959287489</v>
      </c>
      <c r="M1468">
        <v>11</v>
      </c>
      <c r="N1468">
        <v>0</v>
      </c>
      <c r="O1468">
        <v>1</v>
      </c>
      <c r="P1468">
        <v>0.32340000000000002</v>
      </c>
      <c r="Q1468">
        <v>0.31869999999999998</v>
      </c>
      <c r="R1468">
        <v>0</v>
      </c>
      <c r="S1468">
        <v>0</v>
      </c>
      <c r="T1468">
        <v>0</v>
      </c>
      <c r="U1468">
        <v>5</v>
      </c>
      <c r="V1468">
        <v>1</v>
      </c>
      <c r="W1468">
        <v>0</v>
      </c>
      <c r="X1468">
        <v>0</v>
      </c>
      <c r="Y1468">
        <v>0.5222</v>
      </c>
      <c r="Z1468">
        <v>1</v>
      </c>
    </row>
    <row r="1469" spans="1:26" x14ac:dyDescent="0.2">
      <c r="A1469" t="s">
        <v>127</v>
      </c>
      <c r="B1469">
        <v>2020</v>
      </c>
      <c r="C1469" t="str">
        <f t="shared" si="22"/>
        <v>QHD2020</v>
      </c>
      <c r="D1469">
        <v>1.755185892563656E-12</v>
      </c>
      <c r="E1469">
        <v>0.31722371620222162</v>
      </c>
      <c r="F1469">
        <v>1.5321665932728381</v>
      </c>
      <c r="G1469">
        <v>25.602595014885281</v>
      </c>
      <c r="H1469">
        <v>1.685225197457187</v>
      </c>
      <c r="I1469">
        <v>0.27218130226618731</v>
      </c>
      <c r="J1469">
        <v>6.0982728048384123E-2</v>
      </c>
      <c r="K1469">
        <v>0.13437419748426019</v>
      </c>
      <c r="L1469">
        <v>0.27434708485580922</v>
      </c>
      <c r="M1469">
        <v>12</v>
      </c>
      <c r="N1469">
        <v>0</v>
      </c>
      <c r="O1469">
        <v>1</v>
      </c>
      <c r="P1469">
        <v>0.32340000000000002</v>
      </c>
      <c r="Q1469">
        <v>0.1641</v>
      </c>
      <c r="R1469">
        <v>0</v>
      </c>
      <c r="S1469">
        <v>0</v>
      </c>
      <c r="T1469">
        <v>0</v>
      </c>
      <c r="U1469">
        <v>5</v>
      </c>
      <c r="V1469">
        <v>0</v>
      </c>
      <c r="W1469">
        <v>0</v>
      </c>
      <c r="X1469">
        <v>0</v>
      </c>
      <c r="Y1469">
        <v>0.51</v>
      </c>
      <c r="Z1469">
        <v>1</v>
      </c>
    </row>
    <row r="1470" spans="1:26" x14ac:dyDescent="0.2">
      <c r="A1470" t="s">
        <v>127</v>
      </c>
      <c r="B1470">
        <v>2021</v>
      </c>
      <c r="C1470" t="str">
        <f t="shared" si="22"/>
        <v>QHD2021</v>
      </c>
      <c r="D1470">
        <v>6.1943076384448854E-13</v>
      </c>
      <c r="E1470">
        <v>0.1235148616209351</v>
      </c>
      <c r="F1470">
        <v>2.087616966315105</v>
      </c>
      <c r="G1470">
        <v>25.649639459737671</v>
      </c>
      <c r="H1470">
        <v>2.569364829483908</v>
      </c>
      <c r="I1470">
        <v>0.3085346299220591</v>
      </c>
      <c r="J1470">
        <v>4.8168593742850208E-2</v>
      </c>
      <c r="K1470">
        <v>7.6890464310377771E-2</v>
      </c>
      <c r="L1470">
        <v>0.25640265940759183</v>
      </c>
      <c r="M1470">
        <v>13</v>
      </c>
      <c r="N1470">
        <v>0</v>
      </c>
      <c r="O1470">
        <v>0</v>
      </c>
      <c r="P1470">
        <v>5.1499999999999997E-2</v>
      </c>
      <c r="Q1470">
        <v>0.1641</v>
      </c>
      <c r="R1470">
        <v>0</v>
      </c>
      <c r="S1470">
        <v>0</v>
      </c>
      <c r="T1470">
        <v>0</v>
      </c>
      <c r="U1470">
        <v>5</v>
      </c>
      <c r="V1470">
        <v>0</v>
      </c>
      <c r="W1470">
        <v>0</v>
      </c>
      <c r="X1470">
        <v>0</v>
      </c>
      <c r="Y1470">
        <v>0.52</v>
      </c>
      <c r="Z1470">
        <v>1</v>
      </c>
    </row>
    <row r="1471" spans="1:26" x14ac:dyDescent="0.2">
      <c r="A1471" t="s">
        <v>127</v>
      </c>
      <c r="B1471">
        <v>2022</v>
      </c>
      <c r="C1471" t="str">
        <f t="shared" si="22"/>
        <v>QHD2022</v>
      </c>
      <c r="D1471">
        <v>7.1294042025302426E-13</v>
      </c>
      <c r="E1471">
        <v>0.1789564914818344</v>
      </c>
      <c r="F1471">
        <v>1.6861363557646409</v>
      </c>
      <c r="G1471">
        <v>25.799649763056891</v>
      </c>
      <c r="H1471">
        <v>2.3308806767848131</v>
      </c>
      <c r="I1471">
        <v>0.36180806987110892</v>
      </c>
      <c r="J1471">
        <v>0.16191676233094279</v>
      </c>
      <c r="K1471">
        <v>0.18937617891132791</v>
      </c>
      <c r="L1471">
        <v>0.23140088249448379</v>
      </c>
      <c r="M1471">
        <v>14</v>
      </c>
      <c r="N1471">
        <v>0</v>
      </c>
      <c r="O1471">
        <v>0</v>
      </c>
      <c r="P1471">
        <v>5.1499999999999997E-2</v>
      </c>
      <c r="Q1471">
        <v>6.25E-2</v>
      </c>
      <c r="R1471">
        <v>0</v>
      </c>
      <c r="S1471">
        <v>0</v>
      </c>
      <c r="T1471">
        <v>0</v>
      </c>
      <c r="U1471">
        <v>5</v>
      </c>
      <c r="V1471">
        <v>0</v>
      </c>
      <c r="W1471">
        <v>0</v>
      </c>
      <c r="X1471">
        <v>0</v>
      </c>
      <c r="Y1471">
        <v>0.44</v>
      </c>
      <c r="Z1471">
        <v>1</v>
      </c>
    </row>
    <row r="1472" spans="1:26" x14ac:dyDescent="0.2">
      <c r="A1472" t="s">
        <v>127</v>
      </c>
      <c r="B1472">
        <v>2023</v>
      </c>
      <c r="C1472" t="str">
        <f t="shared" si="22"/>
        <v>QHD2023</v>
      </c>
      <c r="D1472">
        <v>498021102957.27808</v>
      </c>
      <c r="E1472">
        <v>0.1555332457016467</v>
      </c>
      <c r="F1472">
        <v>1.3002367798508241</v>
      </c>
      <c r="G1472">
        <v>25.82451208363257</v>
      </c>
      <c r="H1472">
        <v>2.071996485641185</v>
      </c>
      <c r="I1472">
        <v>7.2346033165158877E-2</v>
      </c>
      <c r="J1472">
        <v>2.5111719348100969E-2</v>
      </c>
      <c r="K1472">
        <v>8.5293536515018017E-2</v>
      </c>
      <c r="L1472">
        <v>0.19514747668809371</v>
      </c>
      <c r="M1472">
        <v>15</v>
      </c>
      <c r="N1472">
        <v>0</v>
      </c>
      <c r="O1472">
        <v>0</v>
      </c>
      <c r="P1472">
        <v>5.1499999999999997E-2</v>
      </c>
      <c r="Q1472">
        <v>6.25E-2</v>
      </c>
      <c r="R1472">
        <v>0</v>
      </c>
      <c r="S1472">
        <v>0</v>
      </c>
      <c r="T1472">
        <v>0</v>
      </c>
      <c r="U1472">
        <v>5</v>
      </c>
      <c r="V1472">
        <v>0</v>
      </c>
      <c r="W1472">
        <v>0</v>
      </c>
      <c r="X1472">
        <v>0</v>
      </c>
      <c r="Y1472">
        <v>0.44</v>
      </c>
      <c r="Z1472">
        <v>1</v>
      </c>
    </row>
    <row r="1473" spans="1:26" x14ac:dyDescent="0.2">
      <c r="A1473" t="s">
        <v>128</v>
      </c>
      <c r="B1473">
        <v>2012</v>
      </c>
      <c r="C1473" t="str">
        <f t="shared" si="22"/>
        <v>RAL2012</v>
      </c>
      <c r="D1473">
        <v>2.9239451481950198E-14</v>
      </c>
      <c r="E1473">
        <v>0.14064896502057639</v>
      </c>
      <c r="F1473">
        <v>0.87168024182884596</v>
      </c>
      <c r="G1473">
        <v>28.057099673333759</v>
      </c>
      <c r="H1473">
        <v>1.224513575347367</v>
      </c>
      <c r="I1473">
        <v>0.68167096931056381</v>
      </c>
      <c r="J1473">
        <v>9.3781901450179964E-2</v>
      </c>
      <c r="K1473">
        <v>6.3699244228931834E-2</v>
      </c>
      <c r="L1473">
        <v>0.14951757189714049</v>
      </c>
      <c r="M1473">
        <v>8</v>
      </c>
      <c r="N1473">
        <v>0</v>
      </c>
      <c r="O1473">
        <v>0</v>
      </c>
      <c r="P1473">
        <v>0.2056</v>
      </c>
      <c r="Q1473">
        <v>2.3900000000000001E-2</v>
      </c>
      <c r="R1473">
        <v>0</v>
      </c>
      <c r="S1473">
        <v>0.2056</v>
      </c>
      <c r="T1473">
        <v>0.2056</v>
      </c>
      <c r="U1473">
        <v>5</v>
      </c>
      <c r="V1473">
        <v>0</v>
      </c>
      <c r="W1473">
        <v>0.2</v>
      </c>
      <c r="X1473">
        <v>1</v>
      </c>
      <c r="Y1473">
        <v>0.50549999999999995</v>
      </c>
      <c r="Z1473">
        <v>1</v>
      </c>
    </row>
    <row r="1474" spans="1:26" x14ac:dyDescent="0.2">
      <c r="A1474" t="s">
        <v>128</v>
      </c>
      <c r="B1474">
        <v>2013</v>
      </c>
      <c r="C1474" t="str">
        <f t="shared" si="22"/>
        <v>RAL2013</v>
      </c>
      <c r="D1474">
        <v>2.7276593444282501E-14</v>
      </c>
      <c r="E1474">
        <v>0.17066650116109031</v>
      </c>
      <c r="F1474">
        <v>1.0930402425179671</v>
      </c>
      <c r="G1474">
        <v>28.203376421813161</v>
      </c>
      <c r="H1474">
        <v>1.245351926751729</v>
      </c>
      <c r="I1474">
        <v>0.71672216371667552</v>
      </c>
      <c r="J1474">
        <v>0.15751648465496371</v>
      </c>
      <c r="K1474">
        <v>0.1060222158353389</v>
      </c>
      <c r="L1474">
        <v>9.5187879495434141E-2</v>
      </c>
      <c r="M1474">
        <v>9</v>
      </c>
      <c r="N1474">
        <v>0</v>
      </c>
      <c r="O1474">
        <v>0</v>
      </c>
      <c r="P1474">
        <v>0.2056</v>
      </c>
      <c r="Q1474">
        <v>2.3900000000000001E-2</v>
      </c>
      <c r="R1474">
        <v>0</v>
      </c>
      <c r="S1474">
        <v>0.2056</v>
      </c>
      <c r="T1474">
        <v>0.2056</v>
      </c>
      <c r="U1474">
        <v>5</v>
      </c>
      <c r="V1474">
        <v>0</v>
      </c>
      <c r="W1474">
        <v>0.2</v>
      </c>
      <c r="X1474">
        <v>1</v>
      </c>
      <c r="Y1474">
        <v>0.51549999999999996</v>
      </c>
      <c r="Z1474">
        <v>1</v>
      </c>
    </row>
    <row r="1475" spans="1:26" x14ac:dyDescent="0.2">
      <c r="A1475" t="s">
        <v>128</v>
      </c>
      <c r="B1475">
        <v>2014</v>
      </c>
      <c r="C1475" t="str">
        <f t="shared" ref="C1475:C1538" si="23">A1475&amp;B1475</f>
        <v>RAL2014</v>
      </c>
      <c r="D1475">
        <v>1.257910050740897E-14</v>
      </c>
      <c r="E1475">
        <v>0.1301517936260376</v>
      </c>
      <c r="F1475">
        <v>1.0057576694030359</v>
      </c>
      <c r="G1475">
        <v>28.457108458817761</v>
      </c>
      <c r="H1475">
        <v>1.2552126494418481</v>
      </c>
      <c r="I1475">
        <v>0.77921752159067981</v>
      </c>
      <c r="J1475">
        <v>0.26906262388895419</v>
      </c>
      <c r="K1475">
        <v>-0.1052688694025022</v>
      </c>
      <c r="L1475">
        <v>7.2951368743989831E-2</v>
      </c>
      <c r="M1475">
        <v>10</v>
      </c>
      <c r="N1475">
        <v>0</v>
      </c>
      <c r="O1475">
        <v>0</v>
      </c>
      <c r="P1475">
        <v>0.2056</v>
      </c>
      <c r="Q1475">
        <v>2.3900000000000001E-2</v>
      </c>
      <c r="R1475">
        <v>0</v>
      </c>
      <c r="S1475">
        <v>0.2056</v>
      </c>
      <c r="T1475">
        <v>0.2056</v>
      </c>
      <c r="U1475">
        <v>5</v>
      </c>
      <c r="V1475">
        <v>0</v>
      </c>
      <c r="W1475">
        <v>0.2</v>
      </c>
      <c r="X1475">
        <v>1</v>
      </c>
      <c r="Y1475">
        <v>0.52549999999999997</v>
      </c>
      <c r="Z1475">
        <v>1</v>
      </c>
    </row>
    <row r="1476" spans="1:26" x14ac:dyDescent="0.2">
      <c r="A1476" t="s">
        <v>128</v>
      </c>
      <c r="B1476">
        <v>2015</v>
      </c>
      <c r="C1476" t="str">
        <f t="shared" si="23"/>
        <v>RAL2015</v>
      </c>
      <c r="D1476">
        <v>2.3786225855144671E-14</v>
      </c>
      <c r="E1476">
        <v>0.1737406370936937</v>
      </c>
      <c r="F1476">
        <v>1.0435524679432659</v>
      </c>
      <c r="G1476">
        <v>28.31737394428475</v>
      </c>
      <c r="H1476">
        <v>1.176803933186422</v>
      </c>
      <c r="I1476">
        <v>0.72804103821209232</v>
      </c>
      <c r="J1476">
        <v>-0.1168683663869091</v>
      </c>
      <c r="K1476">
        <v>0.20942184380084891</v>
      </c>
      <c r="L1476">
        <v>8.054111694733157E-2</v>
      </c>
      <c r="M1476">
        <v>11</v>
      </c>
      <c r="N1476">
        <v>0</v>
      </c>
      <c r="O1476">
        <v>0</v>
      </c>
      <c r="P1476">
        <v>0.63800000000000001</v>
      </c>
      <c r="Q1476">
        <v>2.8199999999999999E-2</v>
      </c>
      <c r="R1476">
        <v>0</v>
      </c>
      <c r="S1476">
        <v>0</v>
      </c>
      <c r="T1476">
        <v>0.39389999999999997</v>
      </c>
      <c r="U1476">
        <v>5</v>
      </c>
      <c r="V1476">
        <v>0</v>
      </c>
      <c r="W1476">
        <v>0.4</v>
      </c>
      <c r="X1476">
        <v>1</v>
      </c>
      <c r="Y1476">
        <v>0.55640000000000001</v>
      </c>
      <c r="Z1476">
        <v>1</v>
      </c>
    </row>
    <row r="1477" spans="1:26" x14ac:dyDescent="0.2">
      <c r="A1477" t="s">
        <v>128</v>
      </c>
      <c r="B1477">
        <v>2016</v>
      </c>
      <c r="C1477" t="str">
        <f t="shared" si="23"/>
        <v>RAL2016</v>
      </c>
      <c r="D1477">
        <v>3.3446156564044133E-14</v>
      </c>
      <c r="E1477">
        <v>0.23874661304840411</v>
      </c>
      <c r="F1477">
        <v>1.232206340108458</v>
      </c>
      <c r="G1477">
        <v>28.371457679491421</v>
      </c>
      <c r="H1477">
        <v>1.241765566190856</v>
      </c>
      <c r="I1477">
        <v>0.7062509214751781</v>
      </c>
      <c r="J1477">
        <v>5.5572987076790037E-2</v>
      </c>
      <c r="K1477">
        <v>0.15428114245366881</v>
      </c>
      <c r="L1477">
        <v>9.1733751840769262E-2</v>
      </c>
      <c r="M1477">
        <v>12</v>
      </c>
      <c r="N1477">
        <v>0</v>
      </c>
      <c r="O1477">
        <v>0</v>
      </c>
      <c r="P1477">
        <v>0.63800000000000001</v>
      </c>
      <c r="Q1477">
        <v>0.17949999999999999</v>
      </c>
      <c r="R1477">
        <v>0</v>
      </c>
      <c r="S1477">
        <v>0</v>
      </c>
      <c r="T1477">
        <v>0.39389999999999997</v>
      </c>
      <c r="U1477">
        <v>5</v>
      </c>
      <c r="V1477">
        <v>0</v>
      </c>
      <c r="W1477">
        <v>0.4</v>
      </c>
      <c r="X1477">
        <v>1</v>
      </c>
      <c r="Y1477">
        <v>0.56640000000000001</v>
      </c>
      <c r="Z1477">
        <v>1</v>
      </c>
    </row>
    <row r="1478" spans="1:26" x14ac:dyDescent="0.2">
      <c r="A1478" t="s">
        <v>128</v>
      </c>
      <c r="B1478">
        <v>2017</v>
      </c>
      <c r="C1478" t="str">
        <f t="shared" si="23"/>
        <v>RAL2017</v>
      </c>
      <c r="D1478">
        <v>3.7808255819760938E-14</v>
      </c>
      <c r="E1478">
        <v>0.29008125989177558</v>
      </c>
      <c r="F1478">
        <v>1.3321053088747079</v>
      </c>
      <c r="G1478">
        <v>28.49847868795813</v>
      </c>
      <c r="H1478">
        <v>1.264270947576412</v>
      </c>
      <c r="I1478">
        <v>0.68968768828917537</v>
      </c>
      <c r="J1478">
        <v>0.13544087140267069</v>
      </c>
      <c r="K1478">
        <v>2.1663189007393769E-2</v>
      </c>
      <c r="L1478">
        <v>6.9368690100186953E-2</v>
      </c>
      <c r="M1478">
        <v>13</v>
      </c>
      <c r="N1478">
        <v>0</v>
      </c>
      <c r="O1478">
        <v>0</v>
      </c>
      <c r="P1478">
        <v>0.63790000000000002</v>
      </c>
      <c r="Q1478">
        <v>0.17949999999999999</v>
      </c>
      <c r="R1478">
        <v>0</v>
      </c>
      <c r="S1478">
        <v>0</v>
      </c>
      <c r="T1478">
        <v>0.39379999999999998</v>
      </c>
      <c r="U1478">
        <v>5</v>
      </c>
      <c r="V1478">
        <v>0</v>
      </c>
      <c r="W1478">
        <v>0.4</v>
      </c>
      <c r="X1478">
        <v>1</v>
      </c>
      <c r="Y1478">
        <v>0.57640000000000002</v>
      </c>
      <c r="Z1478">
        <v>1</v>
      </c>
    </row>
    <row r="1479" spans="1:26" x14ac:dyDescent="0.2">
      <c r="A1479" t="s">
        <v>128</v>
      </c>
      <c r="B1479">
        <v>2018</v>
      </c>
      <c r="C1479" t="str">
        <f t="shared" si="23"/>
        <v>RAL2018</v>
      </c>
      <c r="D1479">
        <v>2.7220152668978879E-14</v>
      </c>
      <c r="E1479">
        <v>0.2485673996361607</v>
      </c>
      <c r="F1479">
        <v>1.058847669099986</v>
      </c>
      <c r="G1479">
        <v>28.638903763722261</v>
      </c>
      <c r="H1479">
        <v>1.327445764286926</v>
      </c>
      <c r="I1479">
        <v>0.69997029151760837</v>
      </c>
      <c r="J1479">
        <v>0.15076285630710279</v>
      </c>
      <c r="K1479">
        <v>-1.331207967240234E-2</v>
      </c>
      <c r="L1479">
        <v>9.7651021575371616E-2</v>
      </c>
      <c r="M1479">
        <v>14</v>
      </c>
      <c r="N1479">
        <v>0</v>
      </c>
      <c r="O1479">
        <v>0</v>
      </c>
      <c r="P1479">
        <v>0.67459999999999998</v>
      </c>
      <c r="Q1479">
        <v>0.17949999999999999</v>
      </c>
      <c r="R1479">
        <v>0</v>
      </c>
      <c r="S1479">
        <v>0</v>
      </c>
      <c r="T1479">
        <v>0.42959999999999998</v>
      </c>
      <c r="U1479">
        <v>5</v>
      </c>
      <c r="V1479">
        <v>0</v>
      </c>
      <c r="W1479">
        <v>0.4</v>
      </c>
      <c r="X1479">
        <v>1</v>
      </c>
      <c r="Y1479">
        <v>0.58640000000000003</v>
      </c>
      <c r="Z1479">
        <v>1</v>
      </c>
    </row>
    <row r="1480" spans="1:26" x14ac:dyDescent="0.2">
      <c r="A1480" t="s">
        <v>128</v>
      </c>
      <c r="B1480">
        <v>2019</v>
      </c>
      <c r="C1480" t="str">
        <f t="shared" si="23"/>
        <v>RAL2019</v>
      </c>
      <c r="D1480">
        <v>1.377236921021936E-14</v>
      </c>
      <c r="E1480">
        <v>0.14999061457431609</v>
      </c>
      <c r="F1480">
        <v>0.9902075150732732</v>
      </c>
      <c r="G1480">
        <v>28.734526954394429</v>
      </c>
      <c r="H1480">
        <v>1.2668107118070431</v>
      </c>
      <c r="I1480">
        <v>0.72318407663706907</v>
      </c>
      <c r="J1480">
        <v>0.1175409285045963</v>
      </c>
      <c r="K1480">
        <v>2.4010035572586019E-2</v>
      </c>
      <c r="L1480">
        <v>7.7340781291570251E-2</v>
      </c>
      <c r="M1480">
        <v>15</v>
      </c>
      <c r="N1480">
        <v>0</v>
      </c>
      <c r="O1480">
        <v>1</v>
      </c>
      <c r="P1480">
        <v>0.67459999999999998</v>
      </c>
      <c r="Q1480">
        <v>0.17050000000000001</v>
      </c>
      <c r="R1480">
        <v>0</v>
      </c>
      <c r="S1480">
        <v>0</v>
      </c>
      <c r="T1480">
        <v>0.42959999999999998</v>
      </c>
      <c r="U1480">
        <v>4</v>
      </c>
      <c r="V1480">
        <v>1</v>
      </c>
      <c r="W1480">
        <v>0.25</v>
      </c>
      <c r="X1480">
        <v>0</v>
      </c>
      <c r="Y1480">
        <v>0.58889999999999998</v>
      </c>
      <c r="Z1480">
        <v>1</v>
      </c>
    </row>
    <row r="1481" spans="1:26" x14ac:dyDescent="0.2">
      <c r="A1481" t="s">
        <v>128</v>
      </c>
      <c r="B1481">
        <v>2020</v>
      </c>
      <c r="C1481" t="str">
        <f t="shared" si="23"/>
        <v>RAL2020</v>
      </c>
      <c r="D1481">
        <v>2.073459486927352E-14</v>
      </c>
      <c r="E1481">
        <v>0.31138686042474722</v>
      </c>
      <c r="F1481">
        <v>1.12581736070746</v>
      </c>
      <c r="G1481">
        <v>29.023797342231369</v>
      </c>
      <c r="H1481">
        <v>1.241455168814166</v>
      </c>
      <c r="I1481">
        <v>0.73191636654641312</v>
      </c>
      <c r="J1481">
        <v>0.3149030104714976</v>
      </c>
      <c r="K1481">
        <v>3.279164947207897E-3</v>
      </c>
      <c r="L1481">
        <v>5.6353525799959489E-2</v>
      </c>
      <c r="M1481">
        <v>16</v>
      </c>
      <c r="N1481">
        <v>0</v>
      </c>
      <c r="O1481">
        <v>1</v>
      </c>
      <c r="P1481">
        <v>0.67459999999999998</v>
      </c>
      <c r="Q1481">
        <v>0.17050000000000001</v>
      </c>
      <c r="R1481">
        <v>0</v>
      </c>
      <c r="S1481">
        <v>0</v>
      </c>
      <c r="T1481">
        <v>0.42959999999999998</v>
      </c>
      <c r="U1481">
        <v>3</v>
      </c>
      <c r="V1481">
        <v>0</v>
      </c>
      <c r="W1481">
        <v>0.33333333333333331</v>
      </c>
      <c r="X1481">
        <v>0</v>
      </c>
      <c r="Y1481">
        <v>0.58289999999999997</v>
      </c>
      <c r="Z1481">
        <v>1</v>
      </c>
    </row>
    <row r="1482" spans="1:26" x14ac:dyDescent="0.2">
      <c r="A1482" t="s">
        <v>128</v>
      </c>
      <c r="B1482">
        <v>2021</v>
      </c>
      <c r="C1482" t="str">
        <f t="shared" si="23"/>
        <v>RAL2021</v>
      </c>
      <c r="D1482">
        <v>1.369616841790153E-14</v>
      </c>
      <c r="E1482">
        <v>0.29088024942573582</v>
      </c>
      <c r="F1482">
        <v>1.048408606242119</v>
      </c>
      <c r="G1482">
        <v>29.315992554114271</v>
      </c>
      <c r="H1482">
        <v>1.2665415097498991</v>
      </c>
      <c r="I1482">
        <v>0.74610236730854762</v>
      </c>
      <c r="J1482">
        <v>0.33936445197749321</v>
      </c>
      <c r="K1482">
        <v>-4.3845899509423178E-2</v>
      </c>
      <c r="L1482">
        <v>6.3033359419310347E-2</v>
      </c>
      <c r="M1482">
        <v>17</v>
      </c>
      <c r="N1482">
        <v>0</v>
      </c>
      <c r="O1482">
        <v>0</v>
      </c>
      <c r="P1482">
        <v>0.67459999999999998</v>
      </c>
      <c r="Q1482">
        <v>8.6199999999999999E-2</v>
      </c>
      <c r="R1482">
        <v>0</v>
      </c>
      <c r="S1482">
        <v>0</v>
      </c>
      <c r="T1482">
        <v>0.42959999999999998</v>
      </c>
      <c r="U1482">
        <v>4</v>
      </c>
      <c r="V1482">
        <v>0</v>
      </c>
      <c r="W1482">
        <v>0.25</v>
      </c>
      <c r="X1482">
        <v>0</v>
      </c>
      <c r="Y1482">
        <v>0.59289999999999998</v>
      </c>
      <c r="Z1482">
        <v>1</v>
      </c>
    </row>
    <row r="1483" spans="1:26" x14ac:dyDescent="0.2">
      <c r="A1483" t="s">
        <v>128</v>
      </c>
      <c r="B1483">
        <v>2022</v>
      </c>
      <c r="C1483" t="str">
        <f t="shared" si="23"/>
        <v>RAL2022</v>
      </c>
      <c r="D1483">
        <v>1.0769564547840521E-14</v>
      </c>
      <c r="E1483">
        <v>0.18531043001426481</v>
      </c>
      <c r="F1483">
        <v>0.87308107877097751</v>
      </c>
      <c r="G1483">
        <v>29.5355857844044</v>
      </c>
      <c r="H1483">
        <v>1.2374685688637841</v>
      </c>
      <c r="I1483">
        <v>0.60966256344639547</v>
      </c>
      <c r="J1483">
        <v>0.2455699673921434</v>
      </c>
      <c r="K1483">
        <v>-0.1366736632276615</v>
      </c>
      <c r="L1483">
        <v>5.2202092917821581E-2</v>
      </c>
      <c r="M1483">
        <v>18</v>
      </c>
      <c r="N1483">
        <v>0</v>
      </c>
      <c r="O1483">
        <v>0</v>
      </c>
      <c r="P1483">
        <v>0.62480000000000002</v>
      </c>
      <c r="Q1483">
        <v>4.2599999999999999E-2</v>
      </c>
      <c r="R1483">
        <v>0</v>
      </c>
      <c r="S1483">
        <v>0</v>
      </c>
      <c r="T1483">
        <v>0.4158</v>
      </c>
      <c r="U1483">
        <v>5</v>
      </c>
      <c r="V1483">
        <v>0</v>
      </c>
      <c r="W1483">
        <v>0</v>
      </c>
      <c r="X1483">
        <v>0</v>
      </c>
      <c r="Y1483">
        <v>0.57889999999999997</v>
      </c>
      <c r="Z1483">
        <v>1</v>
      </c>
    </row>
    <row r="1484" spans="1:26" x14ac:dyDescent="0.2">
      <c r="A1484" t="s">
        <v>128</v>
      </c>
      <c r="B1484">
        <v>2023</v>
      </c>
      <c r="C1484" t="str">
        <f t="shared" si="23"/>
        <v>RAL2023</v>
      </c>
      <c r="D1484">
        <v>1067256481228.271</v>
      </c>
      <c r="E1484">
        <v>0.1257021480374366</v>
      </c>
      <c r="F1484">
        <v>0.71715800992066359</v>
      </c>
      <c r="G1484">
        <v>29.678931772967839</v>
      </c>
      <c r="H1484">
        <v>1.5356824241258129</v>
      </c>
      <c r="I1484">
        <v>0.40038044709791698</v>
      </c>
      <c r="J1484">
        <v>0.15887479470431359</v>
      </c>
      <c r="K1484">
        <v>-7.513734945846115E-2</v>
      </c>
      <c r="L1484">
        <v>4.4954660490542662E-2</v>
      </c>
      <c r="M1484">
        <v>19</v>
      </c>
      <c r="N1484">
        <v>0</v>
      </c>
      <c r="O1484">
        <v>0</v>
      </c>
      <c r="P1484">
        <v>0.62480000000000002</v>
      </c>
      <c r="Q1484">
        <v>4.2599999999999999E-2</v>
      </c>
      <c r="R1484">
        <v>0</v>
      </c>
      <c r="S1484">
        <v>0</v>
      </c>
      <c r="T1484">
        <v>0.4158</v>
      </c>
      <c r="U1484">
        <v>5</v>
      </c>
      <c r="V1484">
        <v>0</v>
      </c>
      <c r="W1484">
        <v>0</v>
      </c>
      <c r="X1484">
        <v>0</v>
      </c>
      <c r="Y1484">
        <v>0.57889999999999997</v>
      </c>
      <c r="Z1484">
        <v>1</v>
      </c>
    </row>
    <row r="1485" spans="1:26" x14ac:dyDescent="0.2">
      <c r="A1485" t="s">
        <v>129</v>
      </c>
      <c r="B1485">
        <v>2012</v>
      </c>
      <c r="C1485" t="str">
        <f t="shared" si="23"/>
        <v>RDP2012</v>
      </c>
      <c r="D1485">
        <v>9.844751091959657E-14</v>
      </c>
      <c r="E1485">
        <v>0.1556621324190704</v>
      </c>
      <c r="F1485">
        <v>0.89258730965023325</v>
      </c>
      <c r="G1485">
        <v>27.054066655231789</v>
      </c>
      <c r="H1485">
        <v>1.1063310026580651</v>
      </c>
      <c r="I1485">
        <v>0.64481581009757238</v>
      </c>
      <c r="J1485">
        <v>0.1198771601669799</v>
      </c>
      <c r="K1485">
        <v>6.0558356719144973E-2</v>
      </c>
      <c r="L1485">
        <v>0.3465076231732625</v>
      </c>
      <c r="M1485">
        <v>7</v>
      </c>
      <c r="N1485">
        <v>0</v>
      </c>
      <c r="O1485">
        <v>0</v>
      </c>
      <c r="P1485">
        <v>0.7419</v>
      </c>
      <c r="Q1485">
        <v>0.20330000000000001</v>
      </c>
      <c r="R1485">
        <v>0</v>
      </c>
      <c r="S1485">
        <v>0.54200000000000004</v>
      </c>
      <c r="T1485">
        <v>0.54200000000000004</v>
      </c>
      <c r="U1485">
        <v>5</v>
      </c>
      <c r="V1485">
        <v>1</v>
      </c>
      <c r="W1485">
        <v>0.2</v>
      </c>
      <c r="X1485">
        <v>0</v>
      </c>
      <c r="Y1485">
        <v>0.42220000000000002</v>
      </c>
      <c r="Z1485">
        <v>1</v>
      </c>
    </row>
    <row r="1486" spans="1:26" x14ac:dyDescent="0.2">
      <c r="A1486" t="s">
        <v>129</v>
      </c>
      <c r="B1486">
        <v>2013</v>
      </c>
      <c r="C1486" t="str">
        <f t="shared" si="23"/>
        <v>RDP2013</v>
      </c>
      <c r="D1486">
        <v>7.4191044900495362E-14</v>
      </c>
      <c r="E1486">
        <v>0.12584698165707819</v>
      </c>
      <c r="F1486">
        <v>0.957408086892373</v>
      </c>
      <c r="G1486">
        <v>27.110505540396581</v>
      </c>
      <c r="H1486">
        <v>1.0873607843941839</v>
      </c>
      <c r="I1486">
        <v>0.64969072049145282</v>
      </c>
      <c r="J1486">
        <v>5.8061949542550062E-2</v>
      </c>
      <c r="K1486">
        <v>3.3298199711242649E-2</v>
      </c>
      <c r="L1486">
        <v>0.34537863546991449</v>
      </c>
      <c r="M1486">
        <v>8</v>
      </c>
      <c r="N1486">
        <v>0</v>
      </c>
      <c r="O1486">
        <v>0</v>
      </c>
      <c r="P1486">
        <v>0.78280000000000005</v>
      </c>
      <c r="Q1486">
        <v>0.2442</v>
      </c>
      <c r="R1486">
        <v>0</v>
      </c>
      <c r="S1486">
        <v>0.54200000000000004</v>
      </c>
      <c r="T1486">
        <v>0.54200000000000004</v>
      </c>
      <c r="U1486">
        <v>5</v>
      </c>
      <c r="V1486">
        <v>1</v>
      </c>
      <c r="W1486">
        <v>0.2</v>
      </c>
      <c r="X1486">
        <v>0</v>
      </c>
      <c r="Y1486">
        <v>0.41670000000000001</v>
      </c>
      <c r="Z1486">
        <v>1</v>
      </c>
    </row>
    <row r="1487" spans="1:26" x14ac:dyDescent="0.2">
      <c r="A1487" t="s">
        <v>129</v>
      </c>
      <c r="B1487">
        <v>2014</v>
      </c>
      <c r="C1487" t="str">
        <f t="shared" si="23"/>
        <v>RDP2014</v>
      </c>
      <c r="D1487">
        <v>4.0958351640120162E-14</v>
      </c>
      <c r="E1487">
        <v>9.3139671646430111E-2</v>
      </c>
      <c r="F1487">
        <v>1.0028492575509469</v>
      </c>
      <c r="G1487">
        <v>27.337875130861391</v>
      </c>
      <c r="H1487">
        <v>1.059063693204469</v>
      </c>
      <c r="I1487">
        <v>0.67198320265064782</v>
      </c>
      <c r="J1487">
        <v>0.25529372680805529</v>
      </c>
      <c r="K1487">
        <v>1.873634305193465E-2</v>
      </c>
      <c r="L1487">
        <v>0.40196540240700268</v>
      </c>
      <c r="M1487">
        <v>9</v>
      </c>
      <c r="N1487">
        <v>0</v>
      </c>
      <c r="O1487">
        <v>0</v>
      </c>
      <c r="P1487">
        <v>0.83140000000000003</v>
      </c>
      <c r="Q1487">
        <v>0.24709999999999999</v>
      </c>
      <c r="R1487">
        <v>0</v>
      </c>
      <c r="S1487">
        <v>0</v>
      </c>
      <c r="T1487">
        <v>0</v>
      </c>
      <c r="U1487">
        <v>8</v>
      </c>
      <c r="V1487">
        <v>1</v>
      </c>
      <c r="W1487">
        <v>0.25</v>
      </c>
      <c r="X1487">
        <v>0</v>
      </c>
      <c r="Y1487">
        <v>0.42380000000000001</v>
      </c>
      <c r="Z1487">
        <v>1</v>
      </c>
    </row>
    <row r="1488" spans="1:26" x14ac:dyDescent="0.2">
      <c r="A1488" t="s">
        <v>129</v>
      </c>
      <c r="B1488">
        <v>2015</v>
      </c>
      <c r="C1488" t="str">
        <f t="shared" si="23"/>
        <v>RDP2015</v>
      </c>
      <c r="D1488">
        <v>1.022362140003595E-13</v>
      </c>
      <c r="E1488">
        <v>0.19828537824604869</v>
      </c>
      <c r="F1488">
        <v>1.1994457698361529</v>
      </c>
      <c r="G1488">
        <v>27.36413603922081</v>
      </c>
      <c r="H1488" t="e">
        <v>#N/A</v>
      </c>
      <c r="I1488">
        <v>0.60517253799648874</v>
      </c>
      <c r="J1488">
        <v>0</v>
      </c>
      <c r="K1488">
        <v>0.1193572866143266</v>
      </c>
      <c r="L1488">
        <v>0.72268823102125557</v>
      </c>
      <c r="M1488">
        <v>10</v>
      </c>
      <c r="N1488">
        <v>0</v>
      </c>
      <c r="O1488">
        <v>0</v>
      </c>
      <c r="P1488">
        <v>0.86970000000000003</v>
      </c>
      <c r="Q1488">
        <v>0.69989999999999997</v>
      </c>
      <c r="R1488">
        <v>0</v>
      </c>
      <c r="S1488">
        <v>0</v>
      </c>
      <c r="T1488">
        <v>0</v>
      </c>
      <c r="U1488">
        <v>5</v>
      </c>
      <c r="V1488">
        <v>1</v>
      </c>
      <c r="W1488">
        <v>0.2</v>
      </c>
      <c r="X1488">
        <v>1</v>
      </c>
      <c r="Y1488">
        <v>0.44290000000000002</v>
      </c>
      <c r="Z1488">
        <v>1</v>
      </c>
    </row>
    <row r="1489" spans="1:26" x14ac:dyDescent="0.2">
      <c r="A1489" t="s">
        <v>129</v>
      </c>
      <c r="B1489">
        <v>2016</v>
      </c>
      <c r="C1489" t="str">
        <f t="shared" si="23"/>
        <v>RDP2016</v>
      </c>
      <c r="D1489">
        <v>4.5711140398589748E-14</v>
      </c>
      <c r="E1489">
        <v>0.1244995571358956</v>
      </c>
      <c r="F1489">
        <v>1.132416088311994</v>
      </c>
      <c r="G1489">
        <v>27.705643419173001</v>
      </c>
      <c r="H1489" t="e">
        <v>#N/A</v>
      </c>
      <c r="I1489">
        <v>0.60439451524034304</v>
      </c>
      <c r="J1489">
        <v>0.44450729096958108</v>
      </c>
      <c r="K1489">
        <v>4.7922278342984778E-2</v>
      </c>
      <c r="L1489">
        <v>0.35983552486861231</v>
      </c>
      <c r="M1489">
        <v>11</v>
      </c>
      <c r="N1489">
        <v>0</v>
      </c>
      <c r="O1489">
        <v>0</v>
      </c>
      <c r="P1489">
        <v>0.71920000000000006</v>
      </c>
      <c r="Q1489">
        <v>0.69450000000000001</v>
      </c>
      <c r="R1489">
        <v>0</v>
      </c>
      <c r="S1489">
        <v>0</v>
      </c>
      <c r="T1489">
        <v>0</v>
      </c>
      <c r="U1489">
        <v>5</v>
      </c>
      <c r="V1489">
        <v>1</v>
      </c>
      <c r="W1489">
        <v>0.2</v>
      </c>
      <c r="X1489">
        <v>1</v>
      </c>
      <c r="Y1489">
        <v>0.45290000000000002</v>
      </c>
      <c r="Z1489">
        <v>1</v>
      </c>
    </row>
    <row r="1490" spans="1:26" x14ac:dyDescent="0.2">
      <c r="A1490" t="s">
        <v>129</v>
      </c>
      <c r="B1490">
        <v>2017</v>
      </c>
      <c r="C1490" t="str">
        <f t="shared" si="23"/>
        <v>RDP2017</v>
      </c>
      <c r="D1490">
        <v>-2.2742645927426989E-14</v>
      </c>
      <c r="E1490">
        <v>-0.1034488233573978</v>
      </c>
      <c r="F1490">
        <v>0.98199407892560409</v>
      </c>
      <c r="G1490">
        <v>28.075127514244759</v>
      </c>
      <c r="H1490">
        <v>0.98700444159631717</v>
      </c>
      <c r="I1490">
        <v>0.65724137426123308</v>
      </c>
      <c r="J1490">
        <v>0.44698791387070508</v>
      </c>
      <c r="K1490">
        <v>-2.6534884198092069E-2</v>
      </c>
      <c r="L1490">
        <v>0.38233781933963717</v>
      </c>
      <c r="M1490">
        <v>12</v>
      </c>
      <c r="N1490">
        <v>0</v>
      </c>
      <c r="O1490">
        <v>0</v>
      </c>
      <c r="P1490">
        <v>0.64150000000000007</v>
      </c>
      <c r="Q1490">
        <v>0.69189999999999996</v>
      </c>
      <c r="R1490">
        <v>0</v>
      </c>
      <c r="S1490">
        <v>0</v>
      </c>
      <c r="T1490">
        <v>0</v>
      </c>
      <c r="U1490">
        <v>4</v>
      </c>
      <c r="V1490">
        <v>1</v>
      </c>
      <c r="W1490">
        <v>0.25</v>
      </c>
      <c r="X1490">
        <v>1</v>
      </c>
      <c r="Y1490">
        <v>0.48499999999999999</v>
      </c>
      <c r="Z1490">
        <v>1</v>
      </c>
    </row>
    <row r="1491" spans="1:26" x14ac:dyDescent="0.2">
      <c r="A1491" t="s">
        <v>129</v>
      </c>
      <c r="B1491">
        <v>2018</v>
      </c>
      <c r="C1491" t="str">
        <f t="shared" si="23"/>
        <v>RDP2018</v>
      </c>
      <c r="D1491">
        <v>3.8509657668066827E-15</v>
      </c>
      <c r="E1491">
        <v>2.2133788331577989E-2</v>
      </c>
      <c r="F1491">
        <v>0.91381379400358431</v>
      </c>
      <c r="G1491">
        <v>28.203285703355409</v>
      </c>
      <c r="H1491">
        <v>1.094307625363073</v>
      </c>
      <c r="I1491">
        <v>0.69164907322721814</v>
      </c>
      <c r="J1491">
        <v>0.13673280722694781</v>
      </c>
      <c r="K1491">
        <v>2.7236717343389252E-2</v>
      </c>
      <c r="L1491">
        <v>0.41188858158681352</v>
      </c>
      <c r="M1491">
        <v>13</v>
      </c>
      <c r="N1491">
        <v>0</v>
      </c>
      <c r="O1491">
        <v>0</v>
      </c>
      <c r="P1491">
        <v>0.64150000000000007</v>
      </c>
      <c r="Q1491">
        <v>0.64190000000000003</v>
      </c>
      <c r="R1491">
        <v>0</v>
      </c>
      <c r="S1491">
        <v>0</v>
      </c>
      <c r="T1491">
        <v>0</v>
      </c>
      <c r="U1491">
        <v>5</v>
      </c>
      <c r="V1491">
        <v>1</v>
      </c>
      <c r="W1491">
        <v>0.2</v>
      </c>
      <c r="X1491">
        <v>0</v>
      </c>
      <c r="Y1491">
        <v>0.44</v>
      </c>
      <c r="Z1491">
        <v>1</v>
      </c>
    </row>
    <row r="1492" spans="1:26" x14ac:dyDescent="0.2">
      <c r="A1492" t="s">
        <v>129</v>
      </c>
      <c r="B1492">
        <v>2019</v>
      </c>
      <c r="C1492" t="str">
        <f t="shared" si="23"/>
        <v>RDP2019</v>
      </c>
      <c r="D1492">
        <v>1.358304259904237E-14</v>
      </c>
      <c r="E1492">
        <v>0.1073299411715634</v>
      </c>
      <c r="F1492">
        <v>0.84482784221445661</v>
      </c>
      <c r="G1492">
        <v>28.45151548108451</v>
      </c>
      <c r="H1492">
        <v>1.045483680415588</v>
      </c>
      <c r="I1492">
        <v>0.71251688192014773</v>
      </c>
      <c r="J1492">
        <v>0.28175441697890768</v>
      </c>
      <c r="K1492">
        <v>-6.7849994031230029E-2</v>
      </c>
      <c r="L1492">
        <v>0.34066717347154579</v>
      </c>
      <c r="M1492">
        <v>14</v>
      </c>
      <c r="N1492">
        <v>0</v>
      </c>
      <c r="O1492">
        <v>1</v>
      </c>
      <c r="P1492">
        <v>0.64150000000000007</v>
      </c>
      <c r="Q1492">
        <v>0.64150000000000007</v>
      </c>
      <c r="R1492">
        <v>0</v>
      </c>
      <c r="S1492">
        <v>0</v>
      </c>
      <c r="T1492">
        <v>0</v>
      </c>
      <c r="U1492">
        <v>5</v>
      </c>
      <c r="V1492">
        <v>0</v>
      </c>
      <c r="W1492">
        <v>0.2</v>
      </c>
      <c r="X1492">
        <v>0</v>
      </c>
      <c r="Y1492">
        <v>0.45</v>
      </c>
      <c r="Z1492">
        <v>1</v>
      </c>
    </row>
    <row r="1493" spans="1:26" x14ac:dyDescent="0.2">
      <c r="A1493" t="s">
        <v>129</v>
      </c>
      <c r="B1493">
        <v>2020</v>
      </c>
      <c r="C1493" t="str">
        <f t="shared" si="23"/>
        <v>RDP2020</v>
      </c>
      <c r="D1493">
        <v>6.706153242096228E-16</v>
      </c>
      <c r="E1493">
        <v>6.8286596647669012E-3</v>
      </c>
      <c r="F1493">
        <v>0.93356885732985351</v>
      </c>
      <c r="G1493">
        <v>28.412542939300771</v>
      </c>
      <c r="H1493">
        <v>1.104685096795599</v>
      </c>
      <c r="I1493">
        <v>0.78544006927640575</v>
      </c>
      <c r="J1493">
        <v>-3.8222882532110591E-2</v>
      </c>
      <c r="K1493">
        <v>1.3515291881534939E-2</v>
      </c>
      <c r="L1493">
        <v>0.33717148214526288</v>
      </c>
      <c r="M1493">
        <v>15</v>
      </c>
      <c r="N1493">
        <v>0</v>
      </c>
      <c r="O1493">
        <v>1</v>
      </c>
      <c r="P1493">
        <v>0.64150000000000007</v>
      </c>
      <c r="Q1493">
        <v>0.64159999999999995</v>
      </c>
      <c r="R1493">
        <v>0</v>
      </c>
      <c r="S1493">
        <v>0</v>
      </c>
      <c r="T1493">
        <v>0</v>
      </c>
      <c r="U1493">
        <v>5</v>
      </c>
      <c r="V1493">
        <v>0</v>
      </c>
      <c r="W1493">
        <v>0.2</v>
      </c>
      <c r="X1493">
        <v>0</v>
      </c>
      <c r="Y1493">
        <v>0.45400000000000001</v>
      </c>
      <c r="Z1493">
        <v>1</v>
      </c>
    </row>
    <row r="1494" spans="1:26" x14ac:dyDescent="0.2">
      <c r="A1494" t="s">
        <v>129</v>
      </c>
      <c r="B1494">
        <v>2021</v>
      </c>
      <c r="C1494" t="str">
        <f t="shared" si="23"/>
        <v>RDP2021</v>
      </c>
      <c r="D1494">
        <v>7.6386609727950833E-15</v>
      </c>
      <c r="E1494">
        <v>7.4655356311796248E-2</v>
      </c>
      <c r="F1494">
        <v>1.0491310834538861</v>
      </c>
      <c r="G1494">
        <v>28.4296220310531</v>
      </c>
      <c r="H1494">
        <v>1.0775739677153799</v>
      </c>
      <c r="I1494">
        <v>0.77260326054675055</v>
      </c>
      <c r="J1494">
        <v>1.7225773312618878E-2</v>
      </c>
      <c r="K1494">
        <v>-1.9502718602652919E-3</v>
      </c>
      <c r="L1494">
        <v>0.30465473897285672</v>
      </c>
      <c r="M1494">
        <v>16</v>
      </c>
      <c r="N1494">
        <v>0</v>
      </c>
      <c r="O1494">
        <v>0</v>
      </c>
      <c r="P1494">
        <v>0.51139999999999997</v>
      </c>
      <c r="Q1494">
        <v>0.51229999999999998</v>
      </c>
      <c r="R1494">
        <v>0</v>
      </c>
      <c r="S1494">
        <v>0</v>
      </c>
      <c r="T1494">
        <v>0</v>
      </c>
      <c r="U1494">
        <v>4</v>
      </c>
      <c r="V1494">
        <v>0</v>
      </c>
      <c r="W1494">
        <v>0</v>
      </c>
      <c r="X1494">
        <v>0</v>
      </c>
      <c r="Y1494">
        <v>0.44829999999999998</v>
      </c>
      <c r="Z1494">
        <v>1</v>
      </c>
    </row>
    <row r="1495" spans="1:26" x14ac:dyDescent="0.2">
      <c r="A1495" t="s">
        <v>129</v>
      </c>
      <c r="B1495">
        <v>2022</v>
      </c>
      <c r="C1495" t="str">
        <f t="shared" si="23"/>
        <v>RDP2022</v>
      </c>
      <c r="D1495">
        <v>2.069661463480786E-15</v>
      </c>
      <c r="E1495">
        <v>1.842554689663568E-2</v>
      </c>
      <c r="F1495">
        <v>0.86308969731940965</v>
      </c>
      <c r="G1495">
        <v>28.531708284605511</v>
      </c>
      <c r="H1495">
        <v>1.115125714584549</v>
      </c>
      <c r="I1495">
        <v>0.72353357710596478</v>
      </c>
      <c r="J1495">
        <v>0.1074789916056524</v>
      </c>
      <c r="K1495">
        <v>-3.7758985305104811E-2</v>
      </c>
      <c r="L1495">
        <v>0.25790927731724539</v>
      </c>
      <c r="M1495">
        <v>17</v>
      </c>
      <c r="N1495">
        <v>0</v>
      </c>
      <c r="O1495">
        <v>0</v>
      </c>
      <c r="P1495">
        <v>0.50119999999999998</v>
      </c>
      <c r="Q1495">
        <v>0.50439999999999996</v>
      </c>
      <c r="R1495">
        <v>0</v>
      </c>
      <c r="S1495">
        <v>0</v>
      </c>
      <c r="T1495">
        <v>0</v>
      </c>
      <c r="U1495">
        <v>5</v>
      </c>
      <c r="V1495">
        <v>0</v>
      </c>
      <c r="W1495">
        <v>0</v>
      </c>
      <c r="X1495">
        <v>0</v>
      </c>
      <c r="Y1495">
        <v>0.48130000000000001</v>
      </c>
      <c r="Z1495">
        <v>1</v>
      </c>
    </row>
    <row r="1496" spans="1:26" x14ac:dyDescent="0.2">
      <c r="A1496" t="s">
        <v>129</v>
      </c>
      <c r="B1496">
        <v>2023</v>
      </c>
      <c r="C1496" t="str">
        <f t="shared" si="23"/>
        <v>RDP2023</v>
      </c>
      <c r="D1496">
        <v>-83747387531.822647</v>
      </c>
      <c r="E1496">
        <v>-0.18986881818399959</v>
      </c>
      <c r="F1496">
        <v>0.85249410719116459</v>
      </c>
      <c r="G1496">
        <v>28.393826830207111</v>
      </c>
      <c r="H1496">
        <v>1.21943664088684</v>
      </c>
      <c r="I1496">
        <v>0.63967287638827408</v>
      </c>
      <c r="J1496">
        <v>-0.12879803721469549</v>
      </c>
      <c r="K1496">
        <v>-3.3673300901028172E-2</v>
      </c>
      <c r="L1496">
        <v>0.26365213360964729</v>
      </c>
      <c r="M1496">
        <v>18</v>
      </c>
      <c r="N1496">
        <v>0</v>
      </c>
      <c r="O1496">
        <v>0</v>
      </c>
      <c r="P1496">
        <v>0.50119999999999998</v>
      </c>
      <c r="Q1496">
        <v>0.50439999999999996</v>
      </c>
      <c r="R1496">
        <v>0</v>
      </c>
      <c r="S1496">
        <v>0</v>
      </c>
      <c r="T1496">
        <v>0</v>
      </c>
      <c r="U1496">
        <v>5</v>
      </c>
      <c r="V1496">
        <v>0</v>
      </c>
      <c r="W1496">
        <v>0</v>
      </c>
      <c r="X1496">
        <v>0</v>
      </c>
      <c r="Y1496">
        <v>0.48130000000000001</v>
      </c>
      <c r="Z1496">
        <v>1</v>
      </c>
    </row>
    <row r="1497" spans="1:26" x14ac:dyDescent="0.2">
      <c r="A1497" t="s">
        <v>130</v>
      </c>
      <c r="B1497">
        <v>2013</v>
      </c>
      <c r="C1497" t="str">
        <f t="shared" si="23"/>
        <v>SAB2013</v>
      </c>
      <c r="D1497">
        <v>6.1491048119008877E-15</v>
      </c>
      <c r="E1497">
        <v>0.21125491059327939</v>
      </c>
      <c r="F1497">
        <v>7.5312191379444897</v>
      </c>
      <c r="G1497">
        <v>30.565663140390189</v>
      </c>
      <c r="H1497" t="e">
        <v>#N/A</v>
      </c>
      <c r="I1497">
        <v>0.40995948031803942</v>
      </c>
      <c r="J1497">
        <v>0</v>
      </c>
      <c r="K1497">
        <v>0.16841902675765591</v>
      </c>
      <c r="L1497">
        <v>0.25708437223044811</v>
      </c>
      <c r="M1497">
        <v>10</v>
      </c>
      <c r="N1497">
        <v>1</v>
      </c>
      <c r="O1497">
        <v>0</v>
      </c>
      <c r="P1497">
        <v>0.89590000000000003</v>
      </c>
      <c r="Q1497">
        <v>0</v>
      </c>
      <c r="R1497">
        <v>0</v>
      </c>
      <c r="S1497">
        <v>0.89590000000000003</v>
      </c>
      <c r="T1497">
        <v>0.89590000000000003</v>
      </c>
      <c r="U1497">
        <v>6</v>
      </c>
      <c r="V1497">
        <v>0</v>
      </c>
      <c r="W1497">
        <v>0.1666666666666666</v>
      </c>
      <c r="X1497">
        <v>1</v>
      </c>
      <c r="Y1497">
        <v>0.49459999999999998</v>
      </c>
      <c r="Z1497">
        <v>1</v>
      </c>
    </row>
    <row r="1498" spans="1:26" x14ac:dyDescent="0.2">
      <c r="A1498" t="s">
        <v>130</v>
      </c>
      <c r="B1498">
        <v>2014</v>
      </c>
      <c r="C1498" t="str">
        <f t="shared" si="23"/>
        <v>SAB2014</v>
      </c>
      <c r="D1498">
        <v>6.4906928923624783E-15</v>
      </c>
      <c r="E1498">
        <v>0.24984538923949079</v>
      </c>
      <c r="F1498">
        <v>7.8697010364662896</v>
      </c>
      <c r="G1498">
        <v>30.70713621158222</v>
      </c>
      <c r="H1498">
        <v>1.2238921498841071</v>
      </c>
      <c r="I1498">
        <v>0.40096672979128473</v>
      </c>
      <c r="J1498">
        <v>0.11730050795371109</v>
      </c>
      <c r="K1498">
        <v>0.1579461303940618</v>
      </c>
      <c r="L1498">
        <v>0.24534487962133919</v>
      </c>
      <c r="M1498">
        <v>11</v>
      </c>
      <c r="N1498">
        <v>1</v>
      </c>
      <c r="O1498">
        <v>0</v>
      </c>
      <c r="P1498">
        <v>0.89590000000000003</v>
      </c>
      <c r="Q1498">
        <v>0</v>
      </c>
      <c r="R1498">
        <v>0</v>
      </c>
      <c r="S1498">
        <v>0.89590000000000003</v>
      </c>
      <c r="T1498">
        <v>0.89590000000000003</v>
      </c>
      <c r="U1498">
        <v>6</v>
      </c>
      <c r="V1498">
        <v>0</v>
      </c>
      <c r="W1498">
        <v>0.1666666666666666</v>
      </c>
      <c r="X1498">
        <v>1</v>
      </c>
      <c r="Y1498">
        <v>0.49459999999999998</v>
      </c>
      <c r="Z1498">
        <v>1</v>
      </c>
    </row>
    <row r="1499" spans="1:26" x14ac:dyDescent="0.2">
      <c r="A1499" t="s">
        <v>130</v>
      </c>
      <c r="B1499">
        <v>2015</v>
      </c>
      <c r="C1499" t="str">
        <f t="shared" si="23"/>
        <v>SAB2015</v>
      </c>
      <c r="D1499">
        <v>7.5353090565271905E-15</v>
      </c>
      <c r="E1499">
        <v>0.2493149448654573</v>
      </c>
      <c r="F1499">
        <v>5.6214182823030754</v>
      </c>
      <c r="G1499">
        <v>30.70241384857788</v>
      </c>
      <c r="H1499">
        <v>1.395145088721274</v>
      </c>
      <c r="I1499">
        <v>0.34800889255207529</v>
      </c>
      <c r="J1499">
        <v>1.551493832255613E-2</v>
      </c>
      <c r="K1499">
        <v>0.12733966517440931</v>
      </c>
      <c r="L1499">
        <v>0.22374717523226839</v>
      </c>
      <c r="M1499">
        <v>12</v>
      </c>
      <c r="N1499">
        <v>1</v>
      </c>
      <c r="O1499">
        <v>0</v>
      </c>
      <c r="P1499">
        <v>0.89590000000000003</v>
      </c>
      <c r="Q1499">
        <v>0</v>
      </c>
      <c r="R1499">
        <v>0</v>
      </c>
      <c r="S1499">
        <v>0.89590000000000003</v>
      </c>
      <c r="T1499">
        <v>0.89590000000000003</v>
      </c>
      <c r="U1499">
        <v>6</v>
      </c>
      <c r="V1499">
        <v>0</v>
      </c>
      <c r="W1499">
        <v>0.1666666666666666</v>
      </c>
      <c r="X1499">
        <v>1</v>
      </c>
      <c r="Y1499">
        <v>0.48249999999999998</v>
      </c>
      <c r="Z1499">
        <v>1</v>
      </c>
    </row>
    <row r="1500" spans="1:26" x14ac:dyDescent="0.2">
      <c r="A1500" t="s">
        <v>130</v>
      </c>
      <c r="B1500">
        <v>2016</v>
      </c>
      <c r="C1500" t="str">
        <f t="shared" si="23"/>
        <v>SAB2016</v>
      </c>
      <c r="D1500">
        <v>1.226319078230723E-14</v>
      </c>
      <c r="E1500">
        <v>0.36332968838144197</v>
      </c>
      <c r="F1500">
        <v>6.9578447164185082</v>
      </c>
      <c r="G1500">
        <v>30.585559720656718</v>
      </c>
      <c r="H1500">
        <v>1.3298006296683009</v>
      </c>
      <c r="I1500">
        <v>0.35219781129989541</v>
      </c>
      <c r="J1500">
        <v>-0.1279200932436397</v>
      </c>
      <c r="K1500">
        <v>7.830215426405282E-2</v>
      </c>
      <c r="L1500">
        <v>0.2378630489757792</v>
      </c>
      <c r="M1500">
        <v>13</v>
      </c>
      <c r="N1500">
        <v>1</v>
      </c>
      <c r="O1500">
        <v>0</v>
      </c>
      <c r="P1500">
        <v>0.89590000000000003</v>
      </c>
      <c r="Q1500">
        <v>0</v>
      </c>
      <c r="R1500">
        <v>0</v>
      </c>
      <c r="S1500">
        <v>0.89590000000000003</v>
      </c>
      <c r="T1500">
        <v>0.89590000000000003</v>
      </c>
      <c r="U1500">
        <v>5</v>
      </c>
      <c r="V1500">
        <v>0</v>
      </c>
      <c r="W1500">
        <v>0</v>
      </c>
      <c r="X1500">
        <v>0</v>
      </c>
      <c r="Y1500">
        <v>0.4864</v>
      </c>
      <c r="Z1500">
        <v>1</v>
      </c>
    </row>
    <row r="1501" spans="1:26" x14ac:dyDescent="0.2">
      <c r="A1501" t="s">
        <v>130</v>
      </c>
      <c r="B1501">
        <v>2017</v>
      </c>
      <c r="C1501" t="str">
        <f t="shared" si="23"/>
        <v>SAB2017</v>
      </c>
      <c r="D1501">
        <v>1.021166660891092E-14</v>
      </c>
      <c r="E1501">
        <v>0.3431635643946479</v>
      </c>
      <c r="F1501">
        <v>7.6072920585297874</v>
      </c>
      <c r="G1501">
        <v>30.722685608049272</v>
      </c>
      <c r="H1501">
        <v>1.6214189557504921</v>
      </c>
      <c r="I1501">
        <v>0.344929131916547</v>
      </c>
      <c r="J1501">
        <v>0.14686003916647139</v>
      </c>
      <c r="K1501">
        <v>0.26101523366605278</v>
      </c>
      <c r="L1501">
        <v>0.188803112306831</v>
      </c>
      <c r="M1501">
        <v>14</v>
      </c>
      <c r="N1501">
        <v>1</v>
      </c>
      <c r="O1501">
        <v>0</v>
      </c>
      <c r="P1501">
        <v>0.89590000000000003</v>
      </c>
      <c r="Q1501">
        <v>0</v>
      </c>
      <c r="R1501">
        <v>0</v>
      </c>
      <c r="S1501">
        <v>0.36</v>
      </c>
      <c r="T1501">
        <v>0.89590000000000003</v>
      </c>
      <c r="U1501">
        <v>4</v>
      </c>
      <c r="V1501">
        <v>0</v>
      </c>
      <c r="W1501">
        <v>0</v>
      </c>
      <c r="X1501">
        <v>0</v>
      </c>
      <c r="Y1501">
        <v>0.47499999999999998</v>
      </c>
      <c r="Z1501">
        <v>1</v>
      </c>
    </row>
    <row r="1502" spans="1:26" x14ac:dyDescent="0.2">
      <c r="A1502" t="s">
        <v>130</v>
      </c>
      <c r="B1502">
        <v>2018</v>
      </c>
      <c r="C1502" t="str">
        <f t="shared" si="23"/>
        <v>SAB2018</v>
      </c>
      <c r="D1502">
        <v>8.8007266755826625E-15</v>
      </c>
      <c r="E1502">
        <v>0.27326065981432762</v>
      </c>
      <c r="F1502">
        <v>7.9491929661275664</v>
      </c>
      <c r="G1502">
        <v>30.73859627475894</v>
      </c>
      <c r="H1502">
        <v>1.8491077532340059</v>
      </c>
      <c r="I1502">
        <v>0.27964899861152898</v>
      </c>
      <c r="J1502">
        <v>1.6037915341689191E-2</v>
      </c>
      <c r="K1502">
        <v>0.24362130406806839</v>
      </c>
      <c r="L1502">
        <v>0.1680722498596344</v>
      </c>
      <c r="M1502">
        <v>15</v>
      </c>
      <c r="N1502">
        <v>1</v>
      </c>
      <c r="O1502">
        <v>0</v>
      </c>
      <c r="P1502">
        <v>0.89590000000000003</v>
      </c>
      <c r="Q1502">
        <v>0</v>
      </c>
      <c r="R1502">
        <v>0</v>
      </c>
      <c r="S1502">
        <v>0.36</v>
      </c>
      <c r="T1502">
        <v>0.89590000000000003</v>
      </c>
      <c r="U1502">
        <v>7</v>
      </c>
      <c r="V1502">
        <v>0</v>
      </c>
      <c r="W1502">
        <v>0.14285714285714279</v>
      </c>
      <c r="X1502">
        <v>0</v>
      </c>
      <c r="Y1502">
        <v>0.53310000000000002</v>
      </c>
      <c r="Z1502">
        <v>1</v>
      </c>
    </row>
    <row r="1503" spans="1:26" x14ac:dyDescent="0.2">
      <c r="A1503" t="s">
        <v>130</v>
      </c>
      <c r="B1503">
        <v>2019</v>
      </c>
      <c r="C1503" t="str">
        <f t="shared" si="23"/>
        <v>SAB2019</v>
      </c>
      <c r="D1503">
        <v>7.3869759529075763E-15</v>
      </c>
      <c r="E1503">
        <v>0.26748762821384531</v>
      </c>
      <c r="F1503">
        <v>5.6782002851546221</v>
      </c>
      <c r="G1503">
        <v>30.925467241006249</v>
      </c>
      <c r="H1503">
        <v>2.479061682169323</v>
      </c>
      <c r="I1503">
        <v>0.25540046892065338</v>
      </c>
      <c r="J1503">
        <v>0.20547172847322259</v>
      </c>
      <c r="K1503">
        <v>0.22105177037454521</v>
      </c>
      <c r="L1503">
        <v>0.15026128339706921</v>
      </c>
      <c r="M1503">
        <v>16</v>
      </c>
      <c r="N1503">
        <v>1</v>
      </c>
      <c r="O1503">
        <v>1</v>
      </c>
      <c r="P1503">
        <v>0.89590000000000003</v>
      </c>
      <c r="Q1503">
        <v>0</v>
      </c>
      <c r="R1503">
        <v>0</v>
      </c>
      <c r="S1503">
        <v>0.36</v>
      </c>
      <c r="T1503">
        <v>0.89590000000000003</v>
      </c>
      <c r="U1503">
        <v>7</v>
      </c>
      <c r="V1503">
        <v>0</v>
      </c>
      <c r="W1503">
        <v>0.14285714285714279</v>
      </c>
      <c r="X1503">
        <v>0</v>
      </c>
      <c r="Y1503">
        <v>0.54310000000000003</v>
      </c>
      <c r="Z1503">
        <v>1</v>
      </c>
    </row>
    <row r="1504" spans="1:26" x14ac:dyDescent="0.2">
      <c r="A1504" t="s">
        <v>130</v>
      </c>
      <c r="B1504">
        <v>2020</v>
      </c>
      <c r="C1504" t="str">
        <f t="shared" si="23"/>
        <v>SAB2020</v>
      </c>
      <c r="D1504">
        <v>6.5878269957394287E-15</v>
      </c>
      <c r="E1504">
        <v>0.2327024111910734</v>
      </c>
      <c r="F1504">
        <v>4.7930468728188202</v>
      </c>
      <c r="G1504">
        <v>30.940650309557249</v>
      </c>
      <c r="H1504">
        <v>3.1480186445195151</v>
      </c>
      <c r="I1504">
        <v>0.2250119638465812</v>
      </c>
      <c r="J1504">
        <v>1.529891690489449E-2</v>
      </c>
      <c r="K1504">
        <v>0.18822231894715069</v>
      </c>
      <c r="L1504">
        <v>0.14464533201166691</v>
      </c>
      <c r="M1504">
        <v>17</v>
      </c>
      <c r="N1504">
        <v>1</v>
      </c>
      <c r="O1504">
        <v>1</v>
      </c>
      <c r="P1504">
        <v>0.89590000000000003</v>
      </c>
      <c r="Q1504">
        <v>0</v>
      </c>
      <c r="R1504">
        <v>0</v>
      </c>
      <c r="S1504">
        <v>0.36</v>
      </c>
      <c r="T1504">
        <v>0.89590000000000003</v>
      </c>
      <c r="U1504">
        <v>7</v>
      </c>
      <c r="V1504">
        <v>0</v>
      </c>
      <c r="W1504">
        <v>0.14285714285714279</v>
      </c>
      <c r="X1504">
        <v>0</v>
      </c>
      <c r="Y1504">
        <v>0.55310000000000004</v>
      </c>
      <c r="Z1504">
        <v>1</v>
      </c>
    </row>
    <row r="1505" spans="1:26" x14ac:dyDescent="0.2">
      <c r="A1505" t="s">
        <v>130</v>
      </c>
      <c r="B1505">
        <v>2021</v>
      </c>
      <c r="C1505" t="str">
        <f t="shared" si="23"/>
        <v>SAB2021</v>
      </c>
      <c r="D1505">
        <v>4.2275205311626844E-15</v>
      </c>
      <c r="E1505">
        <v>0.17390320044895541</v>
      </c>
      <c r="F1505">
        <v>3.4350908267054958</v>
      </c>
      <c r="G1505">
        <v>31.048322278608431</v>
      </c>
      <c r="H1505">
        <v>3.772128053653268</v>
      </c>
      <c r="I1505">
        <v>0.25887205562778359</v>
      </c>
      <c r="J1505">
        <v>0.1136823631791284</v>
      </c>
      <c r="K1505">
        <v>0.1518487816579184</v>
      </c>
      <c r="L1505">
        <v>0.13186235087610271</v>
      </c>
      <c r="M1505">
        <v>18</v>
      </c>
      <c r="N1505">
        <v>1</v>
      </c>
      <c r="O1505">
        <v>0</v>
      </c>
      <c r="P1505">
        <v>0.89590000000000003</v>
      </c>
      <c r="Q1505">
        <v>0</v>
      </c>
      <c r="R1505">
        <v>0</v>
      </c>
      <c r="S1505">
        <v>0.36</v>
      </c>
      <c r="T1505">
        <v>0.89590000000000003</v>
      </c>
      <c r="U1505">
        <v>7</v>
      </c>
      <c r="V1505">
        <v>0</v>
      </c>
      <c r="W1505">
        <v>0.2857142857142857</v>
      </c>
      <c r="X1505">
        <v>1</v>
      </c>
      <c r="Y1505">
        <v>0.54330000000000001</v>
      </c>
      <c r="Z1505">
        <v>1</v>
      </c>
    </row>
    <row r="1506" spans="1:26" x14ac:dyDescent="0.2">
      <c r="A1506" t="s">
        <v>130</v>
      </c>
      <c r="B1506">
        <v>2022</v>
      </c>
      <c r="C1506" t="str">
        <f t="shared" si="23"/>
        <v>SAB2022</v>
      </c>
      <c r="D1506">
        <v>4.6300775550053573E-15</v>
      </c>
      <c r="E1506">
        <v>0.2236522482923905</v>
      </c>
      <c r="F1506">
        <v>3.3919571494083511</v>
      </c>
      <c r="G1506">
        <v>31.170967626250579</v>
      </c>
      <c r="H1506">
        <v>3.1519659129459532</v>
      </c>
      <c r="I1506">
        <v>0.28649958022575511</v>
      </c>
      <c r="J1506">
        <v>0.13048342123310269</v>
      </c>
      <c r="K1506">
        <v>0.15645918567724909</v>
      </c>
      <c r="L1506">
        <v>0.1063334853826234</v>
      </c>
      <c r="M1506">
        <v>19</v>
      </c>
      <c r="N1506">
        <v>1</v>
      </c>
      <c r="O1506">
        <v>0</v>
      </c>
      <c r="P1506">
        <v>0.89590000000000003</v>
      </c>
      <c r="Q1506">
        <v>0</v>
      </c>
      <c r="R1506">
        <v>0</v>
      </c>
      <c r="S1506">
        <v>0.36</v>
      </c>
      <c r="T1506">
        <v>0.89590000000000003</v>
      </c>
      <c r="U1506">
        <v>7</v>
      </c>
      <c r="V1506">
        <v>0</v>
      </c>
      <c r="W1506">
        <v>0.2857142857142857</v>
      </c>
      <c r="X1506">
        <v>1</v>
      </c>
      <c r="Y1506">
        <v>0.55079999999999996</v>
      </c>
      <c r="Z1506">
        <v>1</v>
      </c>
    </row>
    <row r="1507" spans="1:26" x14ac:dyDescent="0.2">
      <c r="A1507" t="s">
        <v>130</v>
      </c>
      <c r="B1507">
        <v>2023</v>
      </c>
      <c r="C1507" t="str">
        <f t="shared" si="23"/>
        <v>SAB2023</v>
      </c>
      <c r="D1507">
        <v>-359041362741464.81</v>
      </c>
      <c r="E1507">
        <v>0.12756611918336891</v>
      </c>
      <c r="F1507">
        <v>2.3370987658003699</v>
      </c>
      <c r="G1507">
        <v>31.159045691705192</v>
      </c>
      <c r="H1507">
        <v>2.9151970555150442</v>
      </c>
      <c r="I1507">
        <v>2.058212796004337E-2</v>
      </c>
      <c r="J1507">
        <v>-1.185114985978075E-2</v>
      </c>
      <c r="K1507">
        <v>9.7003163777682672E-2</v>
      </c>
      <c r="L1507">
        <v>9.3683958174454171E-2</v>
      </c>
      <c r="M1507">
        <v>20</v>
      </c>
      <c r="N1507">
        <v>0</v>
      </c>
      <c r="O1507">
        <v>0</v>
      </c>
      <c r="P1507">
        <v>0.89590000000000003</v>
      </c>
      <c r="Q1507">
        <v>0</v>
      </c>
      <c r="R1507">
        <v>0</v>
      </c>
      <c r="S1507">
        <v>0.36</v>
      </c>
      <c r="T1507">
        <v>0.89590000000000003</v>
      </c>
      <c r="U1507">
        <v>7</v>
      </c>
      <c r="V1507">
        <v>0</v>
      </c>
      <c r="W1507">
        <v>0.2857142857142857</v>
      </c>
      <c r="X1507">
        <v>1</v>
      </c>
      <c r="Y1507">
        <v>0.55079999999999996</v>
      </c>
      <c r="Z1507">
        <v>1</v>
      </c>
    </row>
    <row r="1508" spans="1:26" x14ac:dyDescent="0.2">
      <c r="A1508" t="s">
        <v>131</v>
      </c>
      <c r="B1508">
        <v>2012</v>
      </c>
      <c r="C1508" t="str">
        <f t="shared" si="23"/>
        <v>SAF2012</v>
      </c>
      <c r="D1508">
        <v>1.2479404322341059E-12</v>
      </c>
      <c r="E1508">
        <v>0.2412741599689909</v>
      </c>
      <c r="F1508">
        <v>1.16522517148905</v>
      </c>
      <c r="G1508">
        <v>25.563370923818152</v>
      </c>
      <c r="H1508">
        <v>2.1106794360472012</v>
      </c>
      <c r="I1508">
        <v>0.34579482602823092</v>
      </c>
      <c r="J1508">
        <v>-1.1669399825930739E-2</v>
      </c>
      <c r="K1508">
        <v>8.6354162453462571E-2</v>
      </c>
      <c r="L1508">
        <v>0.19065547344522679</v>
      </c>
      <c r="M1508">
        <v>7</v>
      </c>
      <c r="N1508">
        <v>0</v>
      </c>
      <c r="O1508">
        <v>0</v>
      </c>
      <c r="P1508">
        <v>0.62029999999999996</v>
      </c>
      <c r="Q1508">
        <v>0.31590000000000001</v>
      </c>
      <c r="R1508">
        <v>0</v>
      </c>
      <c r="S1508">
        <v>0.51300000000000001</v>
      </c>
      <c r="T1508">
        <v>0.51300000000000001</v>
      </c>
      <c r="U1508">
        <v>5</v>
      </c>
      <c r="V1508">
        <v>0</v>
      </c>
      <c r="W1508">
        <v>0.4</v>
      </c>
      <c r="X1508">
        <v>1</v>
      </c>
      <c r="Y1508">
        <v>0.50219999999999998</v>
      </c>
      <c r="Z1508">
        <v>1</v>
      </c>
    </row>
    <row r="1509" spans="1:26" x14ac:dyDescent="0.2">
      <c r="A1509" t="s">
        <v>131</v>
      </c>
      <c r="B1509">
        <v>2013</v>
      </c>
      <c r="C1509" t="str">
        <f t="shared" si="23"/>
        <v>SAF2013</v>
      </c>
      <c r="D1509">
        <v>1.1347929749964261E-12</v>
      </c>
      <c r="E1509">
        <v>0.23905706507714861</v>
      </c>
      <c r="F1509">
        <v>1.4467268735755101</v>
      </c>
      <c r="G1509">
        <v>25.622697422356762</v>
      </c>
      <c r="H1509">
        <v>2.3509054644868961</v>
      </c>
      <c r="I1509">
        <v>0.36289478898646188</v>
      </c>
      <c r="J1509">
        <v>6.1121638852216657E-2</v>
      </c>
      <c r="K1509">
        <v>0.25935464493334692</v>
      </c>
      <c r="L1509">
        <v>0.1482054531385254</v>
      </c>
      <c r="M1509">
        <v>8</v>
      </c>
      <c r="N1509">
        <v>0</v>
      </c>
      <c r="O1509">
        <v>0</v>
      </c>
      <c r="P1509">
        <v>0.79500000000000004</v>
      </c>
      <c r="Q1509">
        <v>0.10730000000000001</v>
      </c>
      <c r="R1509">
        <v>0</v>
      </c>
      <c r="S1509">
        <v>0.51290000000000002</v>
      </c>
      <c r="T1509">
        <v>0.68769999999999998</v>
      </c>
      <c r="U1509">
        <v>5</v>
      </c>
      <c r="V1509">
        <v>0</v>
      </c>
      <c r="W1509">
        <v>0.2</v>
      </c>
      <c r="X1509">
        <v>1</v>
      </c>
      <c r="Y1509">
        <v>0.49299999999999999</v>
      </c>
      <c r="Z1509">
        <v>1</v>
      </c>
    </row>
    <row r="1510" spans="1:26" x14ac:dyDescent="0.2">
      <c r="A1510" t="s">
        <v>131</v>
      </c>
      <c r="B1510">
        <v>2014</v>
      </c>
      <c r="C1510" t="str">
        <f t="shared" si="23"/>
        <v>SAF2014</v>
      </c>
      <c r="D1510">
        <v>1.1463360608519011E-12</v>
      </c>
      <c r="E1510">
        <v>0.25158291411541089</v>
      </c>
      <c r="F1510">
        <v>1.977803933984569</v>
      </c>
      <c r="G1510">
        <v>25.69635554216924</v>
      </c>
      <c r="H1510">
        <v>2.3550591482911249</v>
      </c>
      <c r="I1510">
        <v>0.34171156079667248</v>
      </c>
      <c r="J1510">
        <v>7.64387295061566E-2</v>
      </c>
      <c r="K1510">
        <v>0.20382382691899431</v>
      </c>
      <c r="L1510">
        <v>0.1218370132527785</v>
      </c>
      <c r="M1510">
        <v>9</v>
      </c>
      <c r="N1510">
        <v>0</v>
      </c>
      <c r="O1510">
        <v>0</v>
      </c>
      <c r="P1510">
        <v>0.7952999999999999</v>
      </c>
      <c r="Q1510">
        <v>0.1082</v>
      </c>
      <c r="R1510">
        <v>0</v>
      </c>
      <c r="S1510">
        <v>0.51300000000000001</v>
      </c>
      <c r="T1510">
        <v>0.68789999999999996</v>
      </c>
      <c r="U1510">
        <v>5</v>
      </c>
      <c r="V1510">
        <v>0</v>
      </c>
      <c r="W1510">
        <v>0.2</v>
      </c>
      <c r="X1510">
        <v>1</v>
      </c>
      <c r="Y1510">
        <v>0.51100000000000001</v>
      </c>
      <c r="Z1510">
        <v>1</v>
      </c>
    </row>
    <row r="1511" spans="1:26" x14ac:dyDescent="0.2">
      <c r="A1511" t="s">
        <v>131</v>
      </c>
      <c r="B1511">
        <v>2015</v>
      </c>
      <c r="C1511" t="str">
        <f t="shared" si="23"/>
        <v>SAF2015</v>
      </c>
      <c r="D1511">
        <v>1.5528052541586431E-12</v>
      </c>
      <c r="E1511">
        <v>0.29697019544663378</v>
      </c>
      <c r="F1511">
        <v>2.9167499226847431</v>
      </c>
      <c r="G1511">
        <v>25.65543035987265</v>
      </c>
      <c r="H1511">
        <v>2.5666049996929732</v>
      </c>
      <c r="I1511">
        <v>0.27486984947621568</v>
      </c>
      <c r="J1511">
        <v>0.14996604521750639</v>
      </c>
      <c r="K1511">
        <v>0.1903032271692538</v>
      </c>
      <c r="L1511">
        <v>9.5404350861536355E-2</v>
      </c>
      <c r="M1511">
        <v>10</v>
      </c>
      <c r="N1511">
        <v>0</v>
      </c>
      <c r="O1511">
        <v>0</v>
      </c>
      <c r="P1511">
        <v>0.79530000000000001</v>
      </c>
      <c r="Q1511">
        <v>0.1082</v>
      </c>
      <c r="R1511">
        <v>0</v>
      </c>
      <c r="S1511">
        <v>0.51300000000000001</v>
      </c>
      <c r="T1511">
        <v>0.68789999999999996</v>
      </c>
      <c r="U1511">
        <v>5</v>
      </c>
      <c r="V1511">
        <v>0</v>
      </c>
      <c r="W1511">
        <v>0.2</v>
      </c>
      <c r="X1511">
        <v>1</v>
      </c>
      <c r="Y1511">
        <v>0.52100000000000002</v>
      </c>
      <c r="Z1511">
        <v>1</v>
      </c>
    </row>
    <row r="1512" spans="1:26" x14ac:dyDescent="0.2">
      <c r="A1512" t="s">
        <v>131</v>
      </c>
      <c r="B1512">
        <v>2016</v>
      </c>
      <c r="C1512" t="str">
        <f t="shared" si="23"/>
        <v>SAF2016</v>
      </c>
      <c r="D1512">
        <v>1.081931575871135E-12</v>
      </c>
      <c r="E1512">
        <v>0.27080488392743468</v>
      </c>
      <c r="F1512">
        <v>3.262556375292804</v>
      </c>
      <c r="G1512">
        <v>25.83608795821068</v>
      </c>
      <c r="H1512">
        <v>2.3363065618250309</v>
      </c>
      <c r="I1512">
        <v>0.33623593399917873</v>
      </c>
      <c r="J1512">
        <v>0</v>
      </c>
      <c r="K1512">
        <v>9.7459979109739359E-2</v>
      </c>
      <c r="L1512">
        <v>9.5404350861536355E-2</v>
      </c>
      <c r="M1512">
        <v>11</v>
      </c>
      <c r="N1512">
        <v>0</v>
      </c>
      <c r="O1512">
        <v>0</v>
      </c>
      <c r="P1512">
        <v>0.79530000000000001</v>
      </c>
      <c r="Q1512">
        <v>0.28310000000000002</v>
      </c>
      <c r="R1512">
        <v>0</v>
      </c>
      <c r="S1512">
        <v>0.51300000000000001</v>
      </c>
      <c r="T1512">
        <v>0.68789999999999996</v>
      </c>
      <c r="U1512">
        <v>5</v>
      </c>
      <c r="V1512">
        <v>0</v>
      </c>
      <c r="W1512">
        <v>0.2</v>
      </c>
      <c r="X1512">
        <v>1</v>
      </c>
      <c r="Y1512">
        <v>0.52329999999999999</v>
      </c>
      <c r="Z1512">
        <v>1</v>
      </c>
    </row>
    <row r="1513" spans="1:26" x14ac:dyDescent="0.2">
      <c r="A1513" t="s">
        <v>131</v>
      </c>
      <c r="B1513">
        <v>2017</v>
      </c>
      <c r="C1513" t="str">
        <f t="shared" si="23"/>
        <v>SAF2017</v>
      </c>
      <c r="D1513">
        <v>1.1887520354953011E-12</v>
      </c>
      <c r="E1513">
        <v>0.28269536772102649</v>
      </c>
      <c r="F1513">
        <v>3.5324864084613932</v>
      </c>
      <c r="G1513">
        <v>25.837359324237941</v>
      </c>
      <c r="H1513">
        <v>2.3363065618250309</v>
      </c>
      <c r="I1513">
        <v>0.30048801003018921</v>
      </c>
      <c r="J1513">
        <v>1.272174555655647E-3</v>
      </c>
      <c r="K1513">
        <v>0.39855738264483997</v>
      </c>
      <c r="L1513">
        <v>9.2872944346969993E-2</v>
      </c>
      <c r="M1513">
        <v>12</v>
      </c>
      <c r="N1513">
        <v>0</v>
      </c>
      <c r="O1513">
        <v>0</v>
      </c>
      <c r="P1513">
        <v>0.85580000000000001</v>
      </c>
      <c r="Q1513">
        <v>0.11169999999999999</v>
      </c>
      <c r="R1513">
        <v>0</v>
      </c>
      <c r="S1513">
        <v>0.51300000000000001</v>
      </c>
      <c r="T1513">
        <v>0.74840000000000007</v>
      </c>
      <c r="U1513">
        <v>5</v>
      </c>
      <c r="V1513">
        <v>0</v>
      </c>
      <c r="W1513">
        <v>0.2</v>
      </c>
      <c r="X1513">
        <v>1</v>
      </c>
      <c r="Y1513">
        <v>0.52880000000000005</v>
      </c>
      <c r="Z1513">
        <v>1</v>
      </c>
    </row>
    <row r="1514" spans="1:26" x14ac:dyDescent="0.2">
      <c r="A1514" t="s">
        <v>131</v>
      </c>
      <c r="B1514">
        <v>2018</v>
      </c>
      <c r="C1514" t="str">
        <f t="shared" si="23"/>
        <v>SAF2018</v>
      </c>
      <c r="D1514">
        <v>1.0259689962751699E-12</v>
      </c>
      <c r="E1514">
        <v>0.31766894217649488</v>
      </c>
      <c r="F1514">
        <v>2.5424823926469839</v>
      </c>
      <c r="G1514">
        <v>26.012075618017231</v>
      </c>
      <c r="H1514">
        <v>2.6231758115894039</v>
      </c>
      <c r="I1514">
        <v>0.36017621012138629</v>
      </c>
      <c r="J1514">
        <v>0.19090830058701799</v>
      </c>
      <c r="K1514">
        <v>0.1201826304253131</v>
      </c>
      <c r="L1514">
        <v>0.12705077077322499</v>
      </c>
      <c r="M1514">
        <v>13</v>
      </c>
      <c r="N1514">
        <v>1</v>
      </c>
      <c r="O1514">
        <v>0</v>
      </c>
      <c r="P1514">
        <v>0.85699999999999987</v>
      </c>
      <c r="Q1514">
        <v>0.11169999999999999</v>
      </c>
      <c r="R1514">
        <v>0</v>
      </c>
      <c r="S1514">
        <v>0.51300000000000001</v>
      </c>
      <c r="T1514">
        <v>0.74959999999999993</v>
      </c>
      <c r="U1514">
        <v>5</v>
      </c>
      <c r="V1514">
        <v>0</v>
      </c>
      <c r="W1514">
        <v>0.2</v>
      </c>
      <c r="X1514">
        <v>1</v>
      </c>
      <c r="Y1514">
        <v>0.48749999999999999</v>
      </c>
      <c r="Z1514">
        <v>1</v>
      </c>
    </row>
    <row r="1515" spans="1:26" x14ac:dyDescent="0.2">
      <c r="A1515" t="s">
        <v>131</v>
      </c>
      <c r="B1515">
        <v>2019</v>
      </c>
      <c r="C1515" t="str">
        <f t="shared" si="23"/>
        <v>SAF2019</v>
      </c>
      <c r="D1515">
        <v>9.3627425121772239E-13</v>
      </c>
      <c r="E1515">
        <v>0.30516205491455572</v>
      </c>
      <c r="F1515">
        <v>2.4478387358133431</v>
      </c>
      <c r="G1515">
        <v>26.07877524549674</v>
      </c>
      <c r="H1515">
        <v>2.1428353873264552</v>
      </c>
      <c r="I1515">
        <v>0.35025831094110937</v>
      </c>
      <c r="J1515">
        <v>6.8974339429715981E-2</v>
      </c>
      <c r="K1515">
        <v>0.16465283752399351</v>
      </c>
      <c r="L1515">
        <v>0.1080899574941884</v>
      </c>
      <c r="M1515">
        <v>14</v>
      </c>
      <c r="N1515">
        <v>1</v>
      </c>
      <c r="O1515">
        <v>1</v>
      </c>
      <c r="P1515">
        <v>0.85819999999999996</v>
      </c>
      <c r="Q1515">
        <v>0.11169999999999999</v>
      </c>
      <c r="R1515">
        <v>0</v>
      </c>
      <c r="S1515">
        <v>0.51300000000000001</v>
      </c>
      <c r="T1515">
        <v>0.75080000000000002</v>
      </c>
      <c r="U1515">
        <v>5</v>
      </c>
      <c r="V1515">
        <v>0</v>
      </c>
      <c r="W1515">
        <v>0.4</v>
      </c>
      <c r="X1515">
        <v>1</v>
      </c>
      <c r="Y1515">
        <v>0.48559999999999998</v>
      </c>
      <c r="Z1515">
        <v>1</v>
      </c>
    </row>
    <row r="1516" spans="1:26" x14ac:dyDescent="0.2">
      <c r="A1516" t="s">
        <v>131</v>
      </c>
      <c r="B1516">
        <v>2020</v>
      </c>
      <c r="C1516" t="str">
        <f t="shared" si="23"/>
        <v>SAF2020</v>
      </c>
      <c r="D1516">
        <v>9.333688577933155E-13</v>
      </c>
      <c r="E1516">
        <v>0.30578845379704722</v>
      </c>
      <c r="F1516">
        <v>2.6485463944470289</v>
      </c>
      <c r="G1516">
        <v>26.134122615076521</v>
      </c>
      <c r="H1516">
        <v>2.2686477732576029</v>
      </c>
      <c r="I1516">
        <v>0.31681634950915399</v>
      </c>
      <c r="J1516">
        <v>5.6907688496279578E-2</v>
      </c>
      <c r="K1516">
        <v>0.25923161557327501</v>
      </c>
      <c r="L1516">
        <v>7.5296948799943988E-2</v>
      </c>
      <c r="M1516">
        <v>15</v>
      </c>
      <c r="N1516">
        <v>1</v>
      </c>
      <c r="O1516">
        <v>1</v>
      </c>
      <c r="P1516">
        <v>0.78699999999999992</v>
      </c>
      <c r="Q1516">
        <v>0.11169999999999999</v>
      </c>
      <c r="R1516">
        <v>0</v>
      </c>
      <c r="S1516">
        <v>0.51300000000000001</v>
      </c>
      <c r="T1516">
        <v>0.67959999999999998</v>
      </c>
      <c r="U1516">
        <v>5</v>
      </c>
      <c r="V1516">
        <v>0</v>
      </c>
      <c r="W1516">
        <v>0.4</v>
      </c>
      <c r="X1516">
        <v>1</v>
      </c>
      <c r="Y1516">
        <v>0.49559999999999998</v>
      </c>
      <c r="Z1516">
        <v>1</v>
      </c>
    </row>
    <row r="1517" spans="1:26" x14ac:dyDescent="0.2">
      <c r="A1517" t="s">
        <v>131</v>
      </c>
      <c r="B1517">
        <v>2021</v>
      </c>
      <c r="C1517" t="str">
        <f t="shared" si="23"/>
        <v>SAF2021</v>
      </c>
      <c r="D1517">
        <v>7.4734782752745601E-13</v>
      </c>
      <c r="E1517">
        <v>0.30203721489046248</v>
      </c>
      <c r="F1517">
        <v>2.8197227813484371</v>
      </c>
      <c r="G1517">
        <v>26.272852739060468</v>
      </c>
      <c r="H1517">
        <v>2.63339440702351</v>
      </c>
      <c r="I1517">
        <v>0.36376539345065151</v>
      </c>
      <c r="J1517">
        <v>0.14881402081290029</v>
      </c>
      <c r="K1517">
        <v>0.47760057541520068</v>
      </c>
      <c r="L1517">
        <v>5.6112817475173507E-2</v>
      </c>
      <c r="M1517">
        <v>16</v>
      </c>
      <c r="N1517">
        <v>1</v>
      </c>
      <c r="O1517">
        <v>0</v>
      </c>
      <c r="P1517">
        <v>0.78699999999999992</v>
      </c>
      <c r="Q1517">
        <v>0.1452</v>
      </c>
      <c r="R1517">
        <v>0</v>
      </c>
      <c r="S1517">
        <v>0.51300000000000001</v>
      </c>
      <c r="T1517">
        <v>0.67959999999999998</v>
      </c>
      <c r="U1517">
        <v>5</v>
      </c>
      <c r="V1517">
        <v>0</v>
      </c>
      <c r="W1517">
        <v>0.4</v>
      </c>
      <c r="X1517">
        <v>1</v>
      </c>
      <c r="Y1517">
        <v>0.51749999999999996</v>
      </c>
      <c r="Z1517">
        <v>1</v>
      </c>
    </row>
    <row r="1518" spans="1:26" x14ac:dyDescent="0.2">
      <c r="A1518" t="s">
        <v>131</v>
      </c>
      <c r="B1518">
        <v>2022</v>
      </c>
      <c r="C1518" t="str">
        <f t="shared" si="23"/>
        <v>SAF2022</v>
      </c>
      <c r="D1518">
        <v>6.8390260941241643E-13</v>
      </c>
      <c r="E1518">
        <v>0.29357809662401863</v>
      </c>
      <c r="F1518">
        <v>3.0539897866932511</v>
      </c>
      <c r="G1518">
        <v>26.339869505455681</v>
      </c>
      <c r="H1518">
        <v>2.3808768333606318</v>
      </c>
      <c r="I1518">
        <v>0.35948310365659808</v>
      </c>
      <c r="J1518">
        <v>6.9313406555487012E-2</v>
      </c>
      <c r="K1518">
        <v>2.9698074540088128E-2</v>
      </c>
      <c r="L1518">
        <v>4.4322792888475383E-2</v>
      </c>
      <c r="M1518">
        <v>17</v>
      </c>
      <c r="N1518">
        <v>0</v>
      </c>
      <c r="O1518">
        <v>0</v>
      </c>
      <c r="P1518">
        <v>0.82050000000000001</v>
      </c>
      <c r="Q1518">
        <v>0.14449999999999999</v>
      </c>
      <c r="R1518">
        <v>0</v>
      </c>
      <c r="S1518">
        <v>0.51300000000000001</v>
      </c>
      <c r="T1518">
        <v>0.67959999999999998</v>
      </c>
      <c r="U1518">
        <v>5</v>
      </c>
      <c r="V1518">
        <v>0</v>
      </c>
      <c r="W1518">
        <v>0.2</v>
      </c>
      <c r="X1518">
        <v>1</v>
      </c>
      <c r="Y1518">
        <v>0.53380000000000005</v>
      </c>
      <c r="Z1518">
        <v>1</v>
      </c>
    </row>
    <row r="1519" spans="1:26" x14ac:dyDescent="0.2">
      <c r="A1519" t="s">
        <v>131</v>
      </c>
      <c r="B1519">
        <v>2023</v>
      </c>
      <c r="C1519" t="str">
        <f t="shared" si="23"/>
        <v>SAF2023</v>
      </c>
      <c r="D1519">
        <v>821661320263.55151</v>
      </c>
      <c r="E1519">
        <v>0.29357809662401863</v>
      </c>
      <c r="F1519">
        <v>3.0539897866932511</v>
      </c>
      <c r="G1519">
        <v>26.27605462812857</v>
      </c>
      <c r="H1519">
        <v>2.457358356300694</v>
      </c>
      <c r="I1519">
        <v>0.35948310365659808</v>
      </c>
      <c r="J1519">
        <v>-6.1821338402681558E-2</v>
      </c>
      <c r="K1519">
        <v>7.0158569582472338E-2</v>
      </c>
      <c r="L1519">
        <v>2.5129248032365881E-2</v>
      </c>
      <c r="M1519">
        <v>18</v>
      </c>
      <c r="N1519">
        <v>0</v>
      </c>
      <c r="O1519">
        <v>0</v>
      </c>
      <c r="P1519">
        <v>0.82050000000000001</v>
      </c>
      <c r="Q1519">
        <v>0.14449999999999999</v>
      </c>
      <c r="R1519">
        <v>0</v>
      </c>
      <c r="S1519">
        <v>0.51300000000000001</v>
      </c>
      <c r="T1519">
        <v>0.67959999999999998</v>
      </c>
      <c r="U1519">
        <v>5</v>
      </c>
      <c r="V1519">
        <v>0</v>
      </c>
      <c r="W1519">
        <v>0.2</v>
      </c>
      <c r="X1519">
        <v>1</v>
      </c>
      <c r="Y1519">
        <v>0.53380000000000005</v>
      </c>
      <c r="Z1519">
        <v>1</v>
      </c>
    </row>
    <row r="1520" spans="1:26" x14ac:dyDescent="0.2">
      <c r="A1520" t="s">
        <v>132</v>
      </c>
      <c r="B1520">
        <v>2012</v>
      </c>
      <c r="C1520" t="str">
        <f t="shared" si="23"/>
        <v>SAM2012</v>
      </c>
      <c r="D1520">
        <v>1.3831876756638971E-14</v>
      </c>
      <c r="E1520">
        <v>4.5011427235256397E-2</v>
      </c>
      <c r="F1520">
        <v>0.48503403649705079</v>
      </c>
      <c r="G1520">
        <v>28.64488417977001</v>
      </c>
      <c r="H1520">
        <v>2.2131911430266591</v>
      </c>
      <c r="I1520">
        <v>0.13386264907351361</v>
      </c>
      <c r="J1520">
        <v>4.48875960964501E-2</v>
      </c>
      <c r="K1520">
        <v>3.7272781380057809E-3</v>
      </c>
      <c r="L1520">
        <v>0.34874606904646649</v>
      </c>
      <c r="M1520">
        <v>14</v>
      </c>
      <c r="N1520">
        <v>0</v>
      </c>
      <c r="O1520">
        <v>0</v>
      </c>
      <c r="P1520">
        <v>0.31019999999999998</v>
      </c>
      <c r="Q1520">
        <v>3.0700000000000002E-2</v>
      </c>
      <c r="R1520">
        <v>0</v>
      </c>
      <c r="S1520">
        <v>0.31019999999999998</v>
      </c>
      <c r="T1520">
        <v>0.31019999999999998</v>
      </c>
      <c r="U1520">
        <v>7</v>
      </c>
      <c r="V1520">
        <v>0</v>
      </c>
      <c r="W1520">
        <v>0.14285714285714279</v>
      </c>
      <c r="X1520">
        <v>1</v>
      </c>
      <c r="Y1520">
        <v>0.47249999999999998</v>
      </c>
      <c r="Z1520">
        <v>1</v>
      </c>
    </row>
    <row r="1521" spans="1:26" x14ac:dyDescent="0.2">
      <c r="A1521" t="s">
        <v>132</v>
      </c>
      <c r="B1521">
        <v>2013</v>
      </c>
      <c r="C1521" t="str">
        <f t="shared" si="23"/>
        <v>SAM2013</v>
      </c>
      <c r="D1521">
        <v>1.320298718510976E-14</v>
      </c>
      <c r="E1521">
        <v>4.7846083404547879E-2</v>
      </c>
      <c r="F1521">
        <v>0.53080159071485811</v>
      </c>
      <c r="G1521">
        <v>28.72396153132857</v>
      </c>
      <c r="H1521">
        <v>3.558244150554299</v>
      </c>
      <c r="I1521">
        <v>0.16248283707102101</v>
      </c>
      <c r="J1521">
        <v>8.2288035498949252E-2</v>
      </c>
      <c r="K1521">
        <v>5.8346525864049004E-3</v>
      </c>
      <c r="L1521">
        <v>0.35571058336667549</v>
      </c>
      <c r="M1521">
        <v>15</v>
      </c>
      <c r="N1521">
        <v>0</v>
      </c>
      <c r="O1521">
        <v>0</v>
      </c>
      <c r="P1521">
        <v>0.31019999999999998</v>
      </c>
      <c r="Q1521">
        <v>3.1E-2</v>
      </c>
      <c r="R1521">
        <v>0</v>
      </c>
      <c r="S1521">
        <v>0.31019999999999998</v>
      </c>
      <c r="T1521">
        <v>0.31019999999999998</v>
      </c>
      <c r="U1521">
        <v>7</v>
      </c>
      <c r="V1521">
        <v>0</v>
      </c>
      <c r="W1521">
        <v>0.14285714285714279</v>
      </c>
      <c r="X1521">
        <v>1</v>
      </c>
      <c r="Y1521">
        <v>0.48149999999999998</v>
      </c>
      <c r="Z1521">
        <v>1</v>
      </c>
    </row>
    <row r="1522" spans="1:26" x14ac:dyDescent="0.2">
      <c r="A1522" t="s">
        <v>132</v>
      </c>
      <c r="B1522">
        <v>2014</v>
      </c>
      <c r="C1522" t="str">
        <f t="shared" si="23"/>
        <v>SAM2014</v>
      </c>
      <c r="D1522">
        <v>7.0535880048339312E-15</v>
      </c>
      <c r="E1522">
        <v>3.0267849667431259E-2</v>
      </c>
      <c r="F1522">
        <v>0.76006270252896591</v>
      </c>
      <c r="G1522">
        <v>28.80394437842272</v>
      </c>
      <c r="H1522">
        <v>3.176245262812464</v>
      </c>
      <c r="I1522">
        <v>0.23386155670362591</v>
      </c>
      <c r="J1522">
        <v>8.3268486313242254E-2</v>
      </c>
      <c r="K1522">
        <v>-7.9370992112043223E-2</v>
      </c>
      <c r="L1522">
        <v>0.43151584739868332</v>
      </c>
      <c r="M1522">
        <v>16</v>
      </c>
      <c r="N1522">
        <v>0</v>
      </c>
      <c r="O1522">
        <v>0</v>
      </c>
      <c r="P1522">
        <v>0.18290000000000001</v>
      </c>
      <c r="Q1522">
        <v>4.0999999999999988E-2</v>
      </c>
      <c r="R1522">
        <v>0</v>
      </c>
      <c r="S1522">
        <v>0</v>
      </c>
      <c r="T1522">
        <v>0.18290000000000001</v>
      </c>
      <c r="U1522">
        <v>4</v>
      </c>
      <c r="V1522">
        <v>0</v>
      </c>
      <c r="W1522">
        <v>0</v>
      </c>
      <c r="X1522">
        <v>1</v>
      </c>
      <c r="Y1522">
        <v>0.51570000000000005</v>
      </c>
      <c r="Z1522">
        <v>1</v>
      </c>
    </row>
    <row r="1523" spans="1:26" x14ac:dyDescent="0.2">
      <c r="A1523" t="s">
        <v>132</v>
      </c>
      <c r="B1523">
        <v>2015</v>
      </c>
      <c r="C1523" t="str">
        <f t="shared" si="23"/>
        <v>SAM2015</v>
      </c>
      <c r="D1523">
        <v>4.1418211161647308E-15</v>
      </c>
      <c r="E1523">
        <v>2.123080914756249E-2</v>
      </c>
      <c r="F1523">
        <v>0.73807452902474946</v>
      </c>
      <c r="G1523">
        <v>28.898788548683441</v>
      </c>
      <c r="H1523">
        <v>1.8524455057518181</v>
      </c>
      <c r="I1523">
        <v>0.30687878480682718</v>
      </c>
      <c r="J1523">
        <v>0.1003962871262656</v>
      </c>
      <c r="K1523">
        <v>-2.0485808075553551E-2</v>
      </c>
      <c r="L1523">
        <v>0.29375051629792048</v>
      </c>
      <c r="M1523">
        <v>17</v>
      </c>
      <c r="N1523">
        <v>1</v>
      </c>
      <c r="O1523">
        <v>0</v>
      </c>
      <c r="P1523">
        <v>0.20430000000000001</v>
      </c>
      <c r="Q1523">
        <v>4.1799999999999997E-2</v>
      </c>
      <c r="R1523">
        <v>0</v>
      </c>
      <c r="S1523">
        <v>0</v>
      </c>
      <c r="T1523">
        <v>0.154</v>
      </c>
      <c r="U1523">
        <v>5</v>
      </c>
      <c r="V1523">
        <v>0</v>
      </c>
      <c r="W1523">
        <v>0</v>
      </c>
      <c r="X1523">
        <v>1</v>
      </c>
      <c r="Y1523">
        <v>0.49880000000000002</v>
      </c>
      <c r="Z1523">
        <v>1</v>
      </c>
    </row>
    <row r="1524" spans="1:26" x14ac:dyDescent="0.2">
      <c r="A1524" t="s">
        <v>132</v>
      </c>
      <c r="B1524">
        <v>2016</v>
      </c>
      <c r="C1524" t="str">
        <f t="shared" si="23"/>
        <v>SAM2016</v>
      </c>
      <c r="D1524">
        <v>1.512389467863261E-15</v>
      </c>
      <c r="E1524">
        <v>8.2339234526780294E-3</v>
      </c>
      <c r="F1524">
        <v>0.77447098528323366</v>
      </c>
      <c r="G1524">
        <v>28.929728448659599</v>
      </c>
      <c r="H1524">
        <v>1.762163429452656</v>
      </c>
      <c r="I1524">
        <v>0.32690208186907399</v>
      </c>
      <c r="J1524">
        <v>2.9020306407614879E-2</v>
      </c>
      <c r="K1524">
        <v>9.2819024061349273E-2</v>
      </c>
      <c r="L1524">
        <v>0.2463844302775198</v>
      </c>
      <c r="M1524">
        <v>18</v>
      </c>
      <c r="N1524">
        <v>1</v>
      </c>
      <c r="O1524">
        <v>0</v>
      </c>
      <c r="P1524">
        <v>0.219</v>
      </c>
      <c r="Q1524">
        <v>4.7899999999999998E-2</v>
      </c>
      <c r="R1524">
        <v>0</v>
      </c>
      <c r="S1524">
        <v>0</v>
      </c>
      <c r="T1524">
        <v>0.16869999999999999</v>
      </c>
      <c r="U1524">
        <v>6</v>
      </c>
      <c r="V1524">
        <v>0</v>
      </c>
      <c r="W1524">
        <v>0</v>
      </c>
      <c r="X1524">
        <v>0</v>
      </c>
      <c r="Y1524">
        <v>0.39400000000000002</v>
      </c>
      <c r="Z1524">
        <v>1</v>
      </c>
    </row>
    <row r="1525" spans="1:26" x14ac:dyDescent="0.2">
      <c r="A1525" t="s">
        <v>132</v>
      </c>
      <c r="B1525">
        <v>2017</v>
      </c>
      <c r="C1525" t="str">
        <f t="shared" si="23"/>
        <v>SAM2017</v>
      </c>
      <c r="D1525">
        <v>6.0687081188529934E-15</v>
      </c>
      <c r="E1525">
        <v>4.2707118331504638E-2</v>
      </c>
      <c r="F1525">
        <v>0.79323952316862134</v>
      </c>
      <c r="G1525">
        <v>29.097339572348609</v>
      </c>
      <c r="H1525">
        <v>1.293644598982429</v>
      </c>
      <c r="I1525">
        <v>0.38424209475200582</v>
      </c>
      <c r="J1525">
        <v>0.18425943185339519</v>
      </c>
      <c r="K1525">
        <v>-0.11291039065309801</v>
      </c>
      <c r="L1525">
        <v>0.2046083458079469</v>
      </c>
      <c r="M1525">
        <v>19</v>
      </c>
      <c r="N1525">
        <v>1</v>
      </c>
      <c r="O1525">
        <v>0</v>
      </c>
      <c r="P1525">
        <v>6.3200000000000006E-2</v>
      </c>
      <c r="Q1525">
        <v>4.7199999999999999E-2</v>
      </c>
      <c r="R1525">
        <v>0</v>
      </c>
      <c r="S1525">
        <v>0</v>
      </c>
      <c r="T1525">
        <v>0</v>
      </c>
      <c r="U1525">
        <v>7</v>
      </c>
      <c r="V1525">
        <v>0</v>
      </c>
      <c r="W1525">
        <v>0</v>
      </c>
      <c r="X1525">
        <v>0</v>
      </c>
      <c r="Y1525">
        <v>0.41670000000000001</v>
      </c>
      <c r="Z1525">
        <v>1</v>
      </c>
    </row>
    <row r="1526" spans="1:26" x14ac:dyDescent="0.2">
      <c r="A1526" t="s">
        <v>132</v>
      </c>
      <c r="B1526">
        <v>2018</v>
      </c>
      <c r="C1526" t="str">
        <f t="shared" si="23"/>
        <v>SAM2018</v>
      </c>
      <c r="D1526">
        <v>4.4976788188189746E-15</v>
      </c>
      <c r="E1526">
        <v>4.0753018940807427E-2</v>
      </c>
      <c r="F1526">
        <v>0.77679303089913299</v>
      </c>
      <c r="G1526">
        <v>29.251547254704541</v>
      </c>
      <c r="H1526">
        <v>2.7008661779392198</v>
      </c>
      <c r="I1526">
        <v>0.44202567876262139</v>
      </c>
      <c r="J1526">
        <v>0.16673317151223729</v>
      </c>
      <c r="K1526">
        <v>4.9340578697380948E-2</v>
      </c>
      <c r="L1526">
        <v>0.17846140510439831</v>
      </c>
      <c r="M1526">
        <v>20</v>
      </c>
      <c r="N1526">
        <v>1</v>
      </c>
      <c r="O1526">
        <v>0</v>
      </c>
      <c r="P1526">
        <v>6.3200000000000006E-2</v>
      </c>
      <c r="Q1526">
        <v>1.14E-2</v>
      </c>
      <c r="R1526">
        <v>0</v>
      </c>
      <c r="S1526">
        <v>0</v>
      </c>
      <c r="T1526">
        <v>0</v>
      </c>
      <c r="U1526">
        <v>4</v>
      </c>
      <c r="V1526">
        <v>0</v>
      </c>
      <c r="W1526">
        <v>0</v>
      </c>
      <c r="X1526">
        <v>0</v>
      </c>
      <c r="Y1526">
        <v>0.4017</v>
      </c>
      <c r="Z1526">
        <v>1</v>
      </c>
    </row>
    <row r="1527" spans="1:26" x14ac:dyDescent="0.2">
      <c r="A1527" t="s">
        <v>132</v>
      </c>
      <c r="B1527">
        <v>2019</v>
      </c>
      <c r="C1527" t="str">
        <f t="shared" si="23"/>
        <v>SAM2019</v>
      </c>
      <c r="D1527">
        <v>3.7338951231625886E-15</v>
      </c>
      <c r="E1527">
        <v>3.5139503129651938E-2</v>
      </c>
      <c r="F1527">
        <v>0.8523896992859793</v>
      </c>
      <c r="G1527">
        <v>29.281781363167021</v>
      </c>
      <c r="H1527">
        <v>1.7309354771762659</v>
      </c>
      <c r="I1527">
        <v>0.446289746931613</v>
      </c>
      <c r="J1527">
        <v>3.069580032026686E-2</v>
      </c>
      <c r="K1527">
        <v>0.2328195236789902</v>
      </c>
      <c r="L1527">
        <v>0.17531702575844921</v>
      </c>
      <c r="M1527">
        <v>21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5</v>
      </c>
      <c r="V1527">
        <v>0</v>
      </c>
      <c r="W1527">
        <v>0.2</v>
      </c>
      <c r="X1527">
        <v>0</v>
      </c>
      <c r="Y1527">
        <v>0.38750000000000001</v>
      </c>
      <c r="Z1527">
        <v>1</v>
      </c>
    </row>
    <row r="1528" spans="1:26" x14ac:dyDescent="0.2">
      <c r="A1528" t="s">
        <v>132</v>
      </c>
      <c r="B1528">
        <v>2020</v>
      </c>
      <c r="C1528" t="str">
        <f t="shared" si="23"/>
        <v>SAM2020</v>
      </c>
      <c r="D1528">
        <v>3.1431571167415561E-15</v>
      </c>
      <c r="E1528">
        <v>2.9128751142892831E-2</v>
      </c>
      <c r="F1528">
        <v>0.83850857389267985</v>
      </c>
      <c r="G1528">
        <v>29.366015635010431</v>
      </c>
      <c r="H1528">
        <v>1.241568845411358</v>
      </c>
      <c r="I1528">
        <v>0.38829395661795052</v>
      </c>
      <c r="J1528">
        <v>8.7883724483376113E-2</v>
      </c>
      <c r="K1528">
        <v>-8.7973981552934205E-2</v>
      </c>
      <c r="L1528">
        <v>0.25705421141246693</v>
      </c>
      <c r="M1528">
        <v>22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5</v>
      </c>
      <c r="V1528">
        <v>0</v>
      </c>
      <c r="W1528">
        <v>0</v>
      </c>
      <c r="X1528">
        <v>0</v>
      </c>
      <c r="Y1528">
        <v>0.4375</v>
      </c>
      <c r="Z1528">
        <v>1</v>
      </c>
    </row>
    <row r="1529" spans="1:26" x14ac:dyDescent="0.2">
      <c r="A1529" t="s">
        <v>132</v>
      </c>
      <c r="B1529">
        <v>2021</v>
      </c>
      <c r="C1529" t="str">
        <f t="shared" si="23"/>
        <v>SAM2021</v>
      </c>
      <c r="D1529">
        <v>2.8097687168256459E-15</v>
      </c>
      <c r="E1529">
        <v>3.4792079119437783E-2</v>
      </c>
      <c r="F1529">
        <v>1.585332654515804</v>
      </c>
      <c r="G1529">
        <v>29.651812968385631</v>
      </c>
      <c r="H1529">
        <v>1.294145264239573</v>
      </c>
      <c r="I1529">
        <v>0.39073119682307023</v>
      </c>
      <c r="J1529">
        <v>0.33082271457173529</v>
      </c>
      <c r="K1529">
        <v>-0.13737037244664929</v>
      </c>
      <c r="L1529">
        <v>0.26358778093537077</v>
      </c>
      <c r="M1529">
        <v>23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5</v>
      </c>
      <c r="V1529">
        <v>0</v>
      </c>
      <c r="W1529">
        <v>0</v>
      </c>
      <c r="X1529">
        <v>0</v>
      </c>
      <c r="Y1529">
        <v>0.45829999999999999</v>
      </c>
      <c r="Z1529">
        <v>1</v>
      </c>
    </row>
    <row r="1530" spans="1:26" x14ac:dyDescent="0.2">
      <c r="A1530" t="s">
        <v>132</v>
      </c>
      <c r="B1530">
        <v>2022</v>
      </c>
      <c r="C1530" t="str">
        <f t="shared" si="23"/>
        <v>SAM2022</v>
      </c>
      <c r="D1530">
        <v>1.364566461433E-16</v>
      </c>
      <c r="E1530">
        <v>1.552659027772834E-3</v>
      </c>
      <c r="F1530">
        <v>0.67946709141949324</v>
      </c>
      <c r="G1530">
        <v>29.610273979232101</v>
      </c>
      <c r="H1530">
        <v>1.596673465838508</v>
      </c>
      <c r="I1530">
        <v>0.36394130050783902</v>
      </c>
      <c r="J1530">
        <v>-4.0688068147887953E-2</v>
      </c>
      <c r="K1530">
        <v>6.339060108828469E-2</v>
      </c>
      <c r="L1530">
        <v>0.25009564744572088</v>
      </c>
      <c r="M1530">
        <v>24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5</v>
      </c>
      <c r="V1530">
        <v>0</v>
      </c>
      <c r="W1530">
        <v>0</v>
      </c>
      <c r="X1530">
        <v>0</v>
      </c>
      <c r="Y1530">
        <v>0.46829999999999999</v>
      </c>
      <c r="Z1530">
        <v>1</v>
      </c>
    </row>
    <row r="1531" spans="1:26" x14ac:dyDescent="0.2">
      <c r="A1531" t="s">
        <v>132</v>
      </c>
      <c r="B1531">
        <v>2023</v>
      </c>
      <c r="C1531" t="str">
        <f t="shared" si="23"/>
        <v>SAM2023</v>
      </c>
      <c r="D1531">
        <v>1149356425888.6951</v>
      </c>
      <c r="E1531">
        <v>6.1182301404173146E-3</v>
      </c>
      <c r="F1531">
        <v>0.55393887486425075</v>
      </c>
      <c r="G1531">
        <v>29.5168614944089</v>
      </c>
      <c r="H1531">
        <v>1.362573945851083</v>
      </c>
      <c r="I1531">
        <v>0.17581616809413431</v>
      </c>
      <c r="J1531">
        <v>-8.918227568745675E-2</v>
      </c>
      <c r="K1531">
        <v>3.860435569937512E-2</v>
      </c>
      <c r="L1531">
        <v>0.27911410576796208</v>
      </c>
      <c r="M1531">
        <v>25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</v>
      </c>
      <c r="V1531">
        <v>0</v>
      </c>
      <c r="W1531">
        <v>0</v>
      </c>
      <c r="X1531">
        <v>0</v>
      </c>
      <c r="Y1531">
        <v>0.46829999999999999</v>
      </c>
      <c r="Z1531">
        <v>1</v>
      </c>
    </row>
    <row r="1532" spans="1:26" x14ac:dyDescent="0.2">
      <c r="A1532" t="s">
        <v>133</v>
      </c>
      <c r="B1532">
        <v>2012</v>
      </c>
      <c r="C1532" t="str">
        <f t="shared" si="23"/>
        <v>SAV2012</v>
      </c>
      <c r="D1532">
        <v>1.5479759294571359E-14</v>
      </c>
      <c r="E1532">
        <v>2.5157326902094199E-2</v>
      </c>
      <c r="F1532">
        <v>0.67836545596699394</v>
      </c>
      <c r="G1532">
        <v>27.24866153461463</v>
      </c>
      <c r="H1532">
        <v>1.8622166485280911</v>
      </c>
      <c r="I1532">
        <v>0.58019940109481904</v>
      </c>
      <c r="J1532">
        <v>8.0137711323142083E-2</v>
      </c>
      <c r="K1532">
        <v>1.382371975445388E-2</v>
      </c>
      <c r="L1532">
        <v>7.8303717984646692E-2</v>
      </c>
      <c r="M1532">
        <v>27</v>
      </c>
      <c r="N1532">
        <v>0</v>
      </c>
      <c r="O1532">
        <v>0</v>
      </c>
      <c r="P1532">
        <v>0.60750000000000004</v>
      </c>
      <c r="Q1532">
        <v>1.4E-2</v>
      </c>
      <c r="R1532">
        <v>0.23319999999999999</v>
      </c>
      <c r="S1532">
        <v>0.13550000000000001</v>
      </c>
      <c r="T1532">
        <v>0.60750000000000004</v>
      </c>
      <c r="U1532">
        <v>5</v>
      </c>
      <c r="V1532">
        <v>0</v>
      </c>
      <c r="W1532">
        <v>0.2</v>
      </c>
      <c r="X1532">
        <v>0</v>
      </c>
      <c r="Y1532">
        <v>0.47499999999999998</v>
      </c>
      <c r="Z1532">
        <v>1</v>
      </c>
    </row>
    <row r="1533" spans="1:26" x14ac:dyDescent="0.2">
      <c r="A1533" t="s">
        <v>133</v>
      </c>
      <c r="B1533">
        <v>2013</v>
      </c>
      <c r="C1533" t="str">
        <f t="shared" si="23"/>
        <v>SAV2013</v>
      </c>
      <c r="D1533">
        <v>9.7323628772395048E-15</v>
      </c>
      <c r="E1533">
        <v>1.4762654460201471E-2</v>
      </c>
      <c r="F1533">
        <v>0.76639477287130353</v>
      </c>
      <c r="G1533">
        <v>27.20629370777722</v>
      </c>
      <c r="H1533">
        <v>1.5405422209648609</v>
      </c>
      <c r="I1533">
        <v>0.56888109333280412</v>
      </c>
      <c r="J1533">
        <v>-4.1482852608447862E-2</v>
      </c>
      <c r="K1533">
        <v>-6.4055012271159562E-2</v>
      </c>
      <c r="L1533">
        <v>8.7467896168805181E-2</v>
      </c>
      <c r="M1533">
        <v>28</v>
      </c>
      <c r="N1533">
        <v>0</v>
      </c>
      <c r="O1533">
        <v>0</v>
      </c>
      <c r="P1533">
        <v>0.60750000000000004</v>
      </c>
      <c r="Q1533">
        <v>1.6299999999999999E-2</v>
      </c>
      <c r="R1533">
        <v>0.23319999999999999</v>
      </c>
      <c r="S1533">
        <v>0.13550000000000001</v>
      </c>
      <c r="T1533">
        <v>0.60750000000000004</v>
      </c>
      <c r="U1533">
        <v>7</v>
      </c>
      <c r="V1533">
        <v>0</v>
      </c>
      <c r="W1533">
        <v>0.14285714285714279</v>
      </c>
      <c r="X1533">
        <v>0</v>
      </c>
      <c r="Y1533">
        <v>0.4783</v>
      </c>
      <c r="Z1533">
        <v>1</v>
      </c>
    </row>
    <row r="1534" spans="1:26" x14ac:dyDescent="0.2">
      <c r="A1534" t="s">
        <v>133</v>
      </c>
      <c r="B1534">
        <v>2014</v>
      </c>
      <c r="C1534" t="str">
        <f t="shared" si="23"/>
        <v>SAV2014</v>
      </c>
      <c r="D1534">
        <v>-6.9238674196326757E-14</v>
      </c>
      <c r="E1534">
        <v>-9.4246052261845265E-2</v>
      </c>
      <c r="F1534">
        <v>0.77823873879043826</v>
      </c>
      <c r="G1534">
        <v>27.099502278728149</v>
      </c>
      <c r="H1534">
        <v>1.5956260594613361</v>
      </c>
      <c r="I1534">
        <v>0.56823257106633285</v>
      </c>
      <c r="J1534">
        <v>-0.1012869011105285</v>
      </c>
      <c r="K1534">
        <v>8.7957547334575975E-2</v>
      </c>
      <c r="L1534">
        <v>0.33957504346757272</v>
      </c>
      <c r="M1534">
        <v>29</v>
      </c>
      <c r="N1534">
        <v>0</v>
      </c>
      <c r="O1534">
        <v>0</v>
      </c>
      <c r="P1534">
        <v>0.59549999999999992</v>
      </c>
      <c r="Q1534">
        <v>0</v>
      </c>
      <c r="R1534">
        <v>0.40600000000000003</v>
      </c>
      <c r="S1534">
        <v>0</v>
      </c>
      <c r="T1534">
        <v>0.59549999999999992</v>
      </c>
      <c r="U1534">
        <v>6</v>
      </c>
      <c r="V1534">
        <v>0</v>
      </c>
      <c r="W1534">
        <v>0.1666666666666666</v>
      </c>
      <c r="X1534">
        <v>0</v>
      </c>
      <c r="Y1534">
        <v>0.441</v>
      </c>
      <c r="Z1534">
        <v>1</v>
      </c>
    </row>
    <row r="1535" spans="1:26" x14ac:dyDescent="0.2">
      <c r="A1535" t="s">
        <v>133</v>
      </c>
      <c r="B1535">
        <v>2015</v>
      </c>
      <c r="C1535" t="str">
        <f t="shared" si="23"/>
        <v>SAV2015</v>
      </c>
      <c r="D1535">
        <v>-8.8078585021606507E-14</v>
      </c>
      <c r="E1535">
        <v>-0.1109997166926822</v>
      </c>
      <c r="F1535">
        <v>0.78114553677218423</v>
      </c>
      <c r="G1535">
        <v>27.008346582873699</v>
      </c>
      <c r="H1535">
        <v>1.0525116054757979</v>
      </c>
      <c r="I1535">
        <v>0.57427971419138657</v>
      </c>
      <c r="J1535">
        <v>-8.7124431107605038E-2</v>
      </c>
      <c r="K1535">
        <v>-7.32148686175709E-2</v>
      </c>
      <c r="L1535">
        <v>0.34120989729996831</v>
      </c>
      <c r="M1535">
        <v>30</v>
      </c>
      <c r="N1535">
        <v>0</v>
      </c>
      <c r="O1535">
        <v>0</v>
      </c>
      <c r="P1535">
        <v>0.59549999999999992</v>
      </c>
      <c r="Q1535">
        <v>0</v>
      </c>
      <c r="R1535">
        <v>0.40600000000000003</v>
      </c>
      <c r="S1535">
        <v>0</v>
      </c>
      <c r="T1535">
        <v>0.59549999999999992</v>
      </c>
      <c r="U1535">
        <v>5</v>
      </c>
      <c r="V1535">
        <v>0</v>
      </c>
      <c r="W1535">
        <v>0.2</v>
      </c>
      <c r="X1535">
        <v>0</v>
      </c>
      <c r="Y1535">
        <v>0.43380000000000002</v>
      </c>
      <c r="Z1535">
        <v>1</v>
      </c>
    </row>
    <row r="1536" spans="1:26" x14ac:dyDescent="0.2">
      <c r="A1536" t="s">
        <v>133</v>
      </c>
      <c r="B1536">
        <v>2016</v>
      </c>
      <c r="C1536" t="str">
        <f t="shared" si="23"/>
        <v>SAV2016</v>
      </c>
      <c r="D1536">
        <v>1.3721546623153331E-14</v>
      </c>
      <c r="E1536">
        <v>1.2115707083791239E-2</v>
      </c>
      <c r="F1536">
        <v>0.68348930287098153</v>
      </c>
      <c r="G1536">
        <v>26.836350204684329</v>
      </c>
      <c r="H1536">
        <v>1.043852882064753</v>
      </c>
      <c r="I1536">
        <v>0.48839696890277601</v>
      </c>
      <c r="J1536">
        <v>-0.15801777733686101</v>
      </c>
      <c r="K1536">
        <v>0.17808723897115211</v>
      </c>
      <c r="L1536">
        <v>0.39781103662308293</v>
      </c>
      <c r="M1536">
        <v>31</v>
      </c>
      <c r="N1536">
        <v>0</v>
      </c>
      <c r="O1536">
        <v>0</v>
      </c>
      <c r="P1536">
        <v>0.59889999999999999</v>
      </c>
      <c r="Q1536">
        <v>0</v>
      </c>
      <c r="R1536">
        <v>0.4083</v>
      </c>
      <c r="S1536">
        <v>0</v>
      </c>
      <c r="T1536">
        <v>0.59889999999999999</v>
      </c>
      <c r="U1536">
        <v>6</v>
      </c>
      <c r="V1536">
        <v>0</v>
      </c>
      <c r="W1536">
        <v>0.1666666666666666</v>
      </c>
      <c r="X1536">
        <v>0</v>
      </c>
      <c r="Y1536">
        <v>0.43440000000000001</v>
      </c>
      <c r="Z1536">
        <v>1</v>
      </c>
    </row>
    <row r="1537" spans="1:26" x14ac:dyDescent="0.2">
      <c r="A1537" t="s">
        <v>133</v>
      </c>
      <c r="B1537">
        <v>2017</v>
      </c>
      <c r="C1537" t="str">
        <f t="shared" si="23"/>
        <v>SAV2017</v>
      </c>
      <c r="D1537">
        <v>6.6859523892796569E-14</v>
      </c>
      <c r="E1537">
        <v>6.5849610329929739E-2</v>
      </c>
      <c r="F1537">
        <v>0.75858521647380628</v>
      </c>
      <c r="G1537">
        <v>26.925031311808802</v>
      </c>
      <c r="H1537">
        <v>1.1012020599530259</v>
      </c>
      <c r="I1537">
        <v>0.49880977269378513</v>
      </c>
      <c r="J1537">
        <v>9.2732136265885293E-2</v>
      </c>
      <c r="K1537">
        <v>4.4542104044108438E-2</v>
      </c>
      <c r="L1537">
        <v>0.3368134867806073</v>
      </c>
      <c r="M1537">
        <v>32</v>
      </c>
      <c r="N1537">
        <v>0</v>
      </c>
      <c r="O1537">
        <v>0</v>
      </c>
      <c r="P1537">
        <v>0.6008</v>
      </c>
      <c r="Q1537">
        <v>0</v>
      </c>
      <c r="R1537">
        <v>0.40960000000000002</v>
      </c>
      <c r="S1537">
        <v>0</v>
      </c>
      <c r="T1537">
        <v>0.6008</v>
      </c>
      <c r="U1537">
        <v>6</v>
      </c>
      <c r="V1537">
        <v>0</v>
      </c>
      <c r="W1537">
        <v>0.1666666666666666</v>
      </c>
      <c r="X1537">
        <v>0</v>
      </c>
      <c r="Y1537">
        <v>0.44440000000000002</v>
      </c>
      <c r="Z1537">
        <v>1</v>
      </c>
    </row>
    <row r="1538" spans="1:26" x14ac:dyDescent="0.2">
      <c r="A1538" t="s">
        <v>133</v>
      </c>
      <c r="B1538">
        <v>2018</v>
      </c>
      <c r="C1538" t="str">
        <f t="shared" si="23"/>
        <v>SAV2018</v>
      </c>
      <c r="D1538">
        <v>6.993300085812254E-14</v>
      </c>
      <c r="E1538">
        <v>7.0789167687473911E-2</v>
      </c>
      <c r="F1538">
        <v>0.71458020745061901</v>
      </c>
      <c r="G1538">
        <v>26.9560807070938</v>
      </c>
      <c r="H1538">
        <v>1.141823768022612</v>
      </c>
      <c r="I1538">
        <v>0.49697164864869142</v>
      </c>
      <c r="J1538">
        <v>3.153645566533636E-2</v>
      </c>
      <c r="K1538">
        <v>1.1474493246065129E-3</v>
      </c>
      <c r="L1538">
        <v>0.32240484486851217</v>
      </c>
      <c r="M1538">
        <v>33</v>
      </c>
      <c r="N1538">
        <v>0</v>
      </c>
      <c r="O1538">
        <v>0</v>
      </c>
      <c r="P1538">
        <v>0.63329999999999997</v>
      </c>
      <c r="Q1538">
        <v>0</v>
      </c>
      <c r="R1538">
        <v>0.42280000000000001</v>
      </c>
      <c r="S1538">
        <v>0</v>
      </c>
      <c r="T1538">
        <v>0.63329999999999997</v>
      </c>
      <c r="U1538">
        <v>6</v>
      </c>
      <c r="V1538">
        <v>0</v>
      </c>
      <c r="W1538">
        <v>0.33333333333333331</v>
      </c>
      <c r="X1538">
        <v>0</v>
      </c>
      <c r="Y1538">
        <v>0.45440000000000003</v>
      </c>
      <c r="Z1538">
        <v>1</v>
      </c>
    </row>
    <row r="1539" spans="1:26" x14ac:dyDescent="0.2">
      <c r="A1539" t="s">
        <v>133</v>
      </c>
      <c r="B1539">
        <v>2019</v>
      </c>
      <c r="C1539" t="str">
        <f t="shared" ref="C1539:C1602" si="24">A1539&amp;B1539</f>
        <v>SAV2019</v>
      </c>
      <c r="D1539">
        <v>9.5601290842875107E-14</v>
      </c>
      <c r="E1539">
        <v>9.3465618996266264E-2</v>
      </c>
      <c r="F1539">
        <v>0.71205679902444086</v>
      </c>
      <c r="G1539">
        <v>26.967712228748859</v>
      </c>
      <c r="H1539">
        <v>1.2571847846657309</v>
      </c>
      <c r="I1539">
        <v>0.47308509921983111</v>
      </c>
      <c r="J1539">
        <v>1.169943084339109E-2</v>
      </c>
      <c r="K1539">
        <v>0.20108641708720659</v>
      </c>
      <c r="L1539">
        <v>0.31170233696399052</v>
      </c>
      <c r="M1539">
        <v>34</v>
      </c>
      <c r="N1539">
        <v>0</v>
      </c>
      <c r="O1539">
        <v>1</v>
      </c>
      <c r="P1539">
        <v>0.63329999999999997</v>
      </c>
      <c r="Q1539">
        <v>0</v>
      </c>
      <c r="R1539">
        <v>0.42280000000000001</v>
      </c>
      <c r="S1539">
        <v>0</v>
      </c>
      <c r="T1539">
        <v>0.63329999999999997</v>
      </c>
      <c r="U1539">
        <v>8</v>
      </c>
      <c r="V1539">
        <v>0</v>
      </c>
      <c r="W1539">
        <v>0.5</v>
      </c>
      <c r="X1539">
        <v>0</v>
      </c>
      <c r="Y1539">
        <v>0.43</v>
      </c>
      <c r="Z1539">
        <v>1</v>
      </c>
    </row>
    <row r="1540" spans="1:26" x14ac:dyDescent="0.2">
      <c r="A1540" t="s">
        <v>133</v>
      </c>
      <c r="B1540">
        <v>2020</v>
      </c>
      <c r="C1540" t="str">
        <f t="shared" si="24"/>
        <v>SAV2020</v>
      </c>
      <c r="D1540">
        <v>1.5577835445581221E-13</v>
      </c>
      <c r="E1540">
        <v>0.1568067037756456</v>
      </c>
      <c r="F1540">
        <v>0.89357502085702312</v>
      </c>
      <c r="G1540">
        <v>27.04004348084921</v>
      </c>
      <c r="H1540">
        <v>1.349152459635647</v>
      </c>
      <c r="I1540">
        <v>0.44984614503471959</v>
      </c>
      <c r="J1540">
        <v>7.5011384870060649E-2</v>
      </c>
      <c r="K1540">
        <v>3.0504887511351782E-2</v>
      </c>
      <c r="L1540">
        <v>0.29139224100597361</v>
      </c>
      <c r="M1540">
        <v>35</v>
      </c>
      <c r="N1540">
        <v>0</v>
      </c>
      <c r="O1540">
        <v>1</v>
      </c>
      <c r="P1540">
        <v>0.61620000000000008</v>
      </c>
      <c r="Q1540">
        <v>0</v>
      </c>
      <c r="R1540">
        <v>0.41139999999999999</v>
      </c>
      <c r="S1540">
        <v>0</v>
      </c>
      <c r="T1540">
        <v>0.61620000000000008</v>
      </c>
      <c r="U1540">
        <v>8</v>
      </c>
      <c r="V1540">
        <v>0</v>
      </c>
      <c r="W1540">
        <v>0.5</v>
      </c>
      <c r="X1540">
        <v>0</v>
      </c>
      <c r="Y1540">
        <v>0.45729999999999998</v>
      </c>
      <c r="Z1540">
        <v>1</v>
      </c>
    </row>
    <row r="1541" spans="1:26" x14ac:dyDescent="0.2">
      <c r="A1541" t="s">
        <v>133</v>
      </c>
      <c r="B1541">
        <v>2021</v>
      </c>
      <c r="C1541" t="str">
        <f t="shared" si="24"/>
        <v>SAV2021</v>
      </c>
      <c r="D1541">
        <v>1.217772594831269E-13</v>
      </c>
      <c r="E1541">
        <v>0.13009788241889561</v>
      </c>
      <c r="F1541">
        <v>1.1762666290047561</v>
      </c>
      <c r="G1541">
        <v>27.11137593251911</v>
      </c>
      <c r="H1541">
        <v>1.471747467769162</v>
      </c>
      <c r="I1541">
        <v>0.44330549702033129</v>
      </c>
      <c r="J1541">
        <v>7.3938199074560229E-2</v>
      </c>
      <c r="K1541">
        <v>5.1087285169070233E-2</v>
      </c>
      <c r="L1541">
        <v>0.16278033940705491</v>
      </c>
      <c r="M1541">
        <v>36</v>
      </c>
      <c r="N1541">
        <v>0</v>
      </c>
      <c r="O1541">
        <v>0</v>
      </c>
      <c r="P1541">
        <v>0.62240000000000006</v>
      </c>
      <c r="Q1541">
        <v>0</v>
      </c>
      <c r="R1541">
        <v>0.41239999999999999</v>
      </c>
      <c r="S1541">
        <v>0</v>
      </c>
      <c r="T1541">
        <v>0.62240000000000006</v>
      </c>
      <c r="U1541">
        <v>8</v>
      </c>
      <c r="V1541">
        <v>0</v>
      </c>
      <c r="W1541">
        <v>0.5</v>
      </c>
      <c r="X1541">
        <v>0</v>
      </c>
      <c r="Y1541">
        <v>0.46910000000000002</v>
      </c>
      <c r="Z1541">
        <v>1</v>
      </c>
    </row>
    <row r="1542" spans="1:26" x14ac:dyDescent="0.2">
      <c r="A1542" t="s">
        <v>133</v>
      </c>
      <c r="B1542">
        <v>2022</v>
      </c>
      <c r="C1542" t="str">
        <f t="shared" si="24"/>
        <v>SAV2022</v>
      </c>
      <c r="D1542">
        <v>1.756084394268636E-13</v>
      </c>
      <c r="E1542">
        <v>0.14798957656923389</v>
      </c>
      <c r="F1542">
        <v>0.80983517665340454</v>
      </c>
      <c r="G1542">
        <v>27.04740589042985</v>
      </c>
      <c r="H1542">
        <v>1.793050546050619</v>
      </c>
      <c r="I1542">
        <v>0.33800702019978451</v>
      </c>
      <c r="J1542">
        <v>-6.1966899378302909E-2</v>
      </c>
      <c r="K1542">
        <v>0.128289875373884</v>
      </c>
      <c r="L1542">
        <v>0.160549272909216</v>
      </c>
      <c r="M1542">
        <v>37</v>
      </c>
      <c r="N1542">
        <v>0</v>
      </c>
      <c r="O1542">
        <v>0</v>
      </c>
      <c r="P1542">
        <v>0.61959999999999993</v>
      </c>
      <c r="Q1542">
        <v>3.0999999999999999E-3</v>
      </c>
      <c r="R1542">
        <v>0.41370000000000001</v>
      </c>
      <c r="S1542">
        <v>0</v>
      </c>
      <c r="T1542">
        <v>0.61959999999999993</v>
      </c>
      <c r="U1542">
        <v>8</v>
      </c>
      <c r="V1542">
        <v>0</v>
      </c>
      <c r="W1542">
        <v>0.5</v>
      </c>
      <c r="X1542">
        <v>0</v>
      </c>
      <c r="Y1542">
        <v>0.46880000000000011</v>
      </c>
      <c r="Z1542">
        <v>1</v>
      </c>
    </row>
    <row r="1543" spans="1:26" x14ac:dyDescent="0.2">
      <c r="A1543" t="s">
        <v>133</v>
      </c>
      <c r="B1543">
        <v>2023</v>
      </c>
      <c r="C1543" t="str">
        <f t="shared" si="24"/>
        <v>SAV2023</v>
      </c>
      <c r="D1543">
        <v>636888308751.48962</v>
      </c>
      <c r="E1543">
        <v>-1.975287494705933E-2</v>
      </c>
      <c r="F1543">
        <v>0.92331984113914911</v>
      </c>
      <c r="G1543">
        <v>27.144909045475131</v>
      </c>
      <c r="H1543">
        <v>2.3523356066338441</v>
      </c>
      <c r="I1543">
        <v>0.16169298902910201</v>
      </c>
      <c r="J1543">
        <v>0.1024149197268331</v>
      </c>
      <c r="K1543">
        <v>9.1566078430680653E-2</v>
      </c>
      <c r="L1543">
        <v>0.1869320448783727</v>
      </c>
      <c r="M1543">
        <v>38</v>
      </c>
      <c r="N1543">
        <v>0</v>
      </c>
      <c r="O1543">
        <v>0</v>
      </c>
      <c r="P1543">
        <v>0.61959999999999993</v>
      </c>
      <c r="Q1543">
        <v>3.0999999999999999E-3</v>
      </c>
      <c r="R1543">
        <v>0.41370000000000001</v>
      </c>
      <c r="S1543">
        <v>0</v>
      </c>
      <c r="T1543">
        <v>0.61959999999999993</v>
      </c>
      <c r="U1543">
        <v>8</v>
      </c>
      <c r="V1543">
        <v>0</v>
      </c>
      <c r="W1543">
        <v>0.5</v>
      </c>
      <c r="X1543">
        <v>0</v>
      </c>
      <c r="Y1543">
        <v>0.46880000000000011</v>
      </c>
      <c r="Z1543">
        <v>1</v>
      </c>
    </row>
    <row r="1544" spans="1:26" x14ac:dyDescent="0.2">
      <c r="A1544" t="s">
        <v>134</v>
      </c>
      <c r="B1544">
        <v>2012</v>
      </c>
      <c r="C1544" t="str">
        <f t="shared" si="24"/>
        <v>SBT2012</v>
      </c>
      <c r="D1544">
        <v>5.3333121435457541E-14</v>
      </c>
      <c r="E1544">
        <v>0.21827017467566939</v>
      </c>
      <c r="F1544">
        <v>1.1332581965957089</v>
      </c>
      <c r="G1544">
        <v>28.599674148428129</v>
      </c>
      <c r="H1544">
        <v>2.0711799257601502</v>
      </c>
      <c r="I1544">
        <v>0.35630034948281508</v>
      </c>
      <c r="J1544">
        <v>0.1425131122660144</v>
      </c>
      <c r="K1544">
        <v>-2.5468108778911161E-2</v>
      </c>
      <c r="L1544">
        <v>0.22886269942671669</v>
      </c>
      <c r="M1544">
        <v>17</v>
      </c>
      <c r="N1544">
        <v>1</v>
      </c>
      <c r="O1544">
        <v>0</v>
      </c>
      <c r="P1544">
        <v>0.57040000000000002</v>
      </c>
      <c r="Q1544">
        <v>1E-4</v>
      </c>
      <c r="R1544">
        <v>0</v>
      </c>
      <c r="S1544">
        <v>0</v>
      </c>
      <c r="T1544">
        <v>0.57040000000000002</v>
      </c>
      <c r="U1544">
        <v>5</v>
      </c>
      <c r="V1544">
        <v>0</v>
      </c>
      <c r="W1544">
        <v>0.2</v>
      </c>
      <c r="X1544">
        <v>1</v>
      </c>
      <c r="Y1544">
        <v>0.47449999999999998</v>
      </c>
      <c r="Z1544">
        <v>1</v>
      </c>
    </row>
    <row r="1545" spans="1:26" x14ac:dyDescent="0.2">
      <c r="A1545" t="s">
        <v>134</v>
      </c>
      <c r="B1545">
        <v>2013</v>
      </c>
      <c r="C1545" t="str">
        <f t="shared" si="24"/>
        <v>SBT2013</v>
      </c>
      <c r="D1545">
        <v>2.2627146705617169E-14</v>
      </c>
      <c r="E1545">
        <v>0.12984379386773659</v>
      </c>
      <c r="F1545">
        <v>0.98115468455119603</v>
      </c>
      <c r="G1545">
        <v>28.809691655818629</v>
      </c>
      <c r="H1545">
        <v>1.5979073104784169</v>
      </c>
      <c r="I1545">
        <v>0.43363199998577823</v>
      </c>
      <c r="J1545">
        <v>0</v>
      </c>
      <c r="K1545">
        <v>1.419349325334333E-2</v>
      </c>
      <c r="L1545">
        <v>0.18362896796344541</v>
      </c>
      <c r="M1545">
        <v>18</v>
      </c>
      <c r="N1545">
        <v>0</v>
      </c>
      <c r="O1545">
        <v>0</v>
      </c>
      <c r="P1545">
        <v>0.57040000000000002</v>
      </c>
      <c r="Q1545">
        <v>4.1200000000000001E-2</v>
      </c>
      <c r="R1545">
        <v>0</v>
      </c>
      <c r="S1545">
        <v>0</v>
      </c>
      <c r="T1545">
        <v>0.57040000000000002</v>
      </c>
      <c r="U1545">
        <v>5</v>
      </c>
      <c r="V1545">
        <v>0</v>
      </c>
      <c r="W1545">
        <v>0.2</v>
      </c>
      <c r="X1545">
        <v>1</v>
      </c>
      <c r="Y1545">
        <v>0.46250000000000002</v>
      </c>
      <c r="Z1545">
        <v>1</v>
      </c>
    </row>
    <row r="1546" spans="1:26" x14ac:dyDescent="0.2">
      <c r="A1546" t="s">
        <v>134</v>
      </c>
      <c r="B1546">
        <v>2014</v>
      </c>
      <c r="C1546" t="str">
        <f t="shared" si="24"/>
        <v>SBT2014</v>
      </c>
      <c r="D1546">
        <v>0</v>
      </c>
      <c r="E1546">
        <v>0</v>
      </c>
      <c r="F1546">
        <v>0.97873664606025934</v>
      </c>
      <c r="G1546">
        <v>28.82390835785278</v>
      </c>
      <c r="H1546" t="e">
        <v>#N/A</v>
      </c>
      <c r="I1546">
        <v>0.4170987171412136</v>
      </c>
      <c r="J1546">
        <v>1.4318239950014361E-2</v>
      </c>
      <c r="K1546">
        <v>7.2748489413819645E-2</v>
      </c>
      <c r="L1546">
        <v>0.52997487128795062</v>
      </c>
      <c r="M1546">
        <v>19</v>
      </c>
      <c r="N1546">
        <v>1</v>
      </c>
      <c r="O1546">
        <v>0</v>
      </c>
      <c r="P1546">
        <v>0.60170000000000001</v>
      </c>
      <c r="Q1546">
        <v>7.4499999999999997E-2</v>
      </c>
      <c r="R1546">
        <v>7.0300000000000001E-2</v>
      </c>
      <c r="S1546">
        <v>0</v>
      </c>
      <c r="T1546">
        <v>0.60170000000000001</v>
      </c>
      <c r="U1546">
        <v>6</v>
      </c>
      <c r="V1546">
        <v>0</v>
      </c>
      <c r="W1546">
        <v>0.1666666666666666</v>
      </c>
      <c r="X1546">
        <v>1</v>
      </c>
      <c r="Y1546">
        <v>0.45329999999999998</v>
      </c>
      <c r="Z1546">
        <v>1</v>
      </c>
    </row>
    <row r="1547" spans="1:26" x14ac:dyDescent="0.2">
      <c r="A1547" t="s">
        <v>134</v>
      </c>
      <c r="B1547">
        <v>2015</v>
      </c>
      <c r="C1547" t="str">
        <f t="shared" si="24"/>
        <v>SBT2015</v>
      </c>
      <c r="D1547">
        <v>4.043032973564128E-15</v>
      </c>
      <c r="E1547">
        <v>6.9927978697967921E-2</v>
      </c>
      <c r="F1547">
        <v>1.247605838318278</v>
      </c>
      <c r="G1547">
        <v>29.55332580673555</v>
      </c>
      <c r="H1547">
        <v>2.1831774740001002</v>
      </c>
      <c r="I1547">
        <v>0.60472201396859293</v>
      </c>
      <c r="J1547">
        <v>1.073872119185121</v>
      </c>
      <c r="K1547">
        <v>9.5417827619636048E-2</v>
      </c>
      <c r="L1547">
        <v>0.1961737428334912</v>
      </c>
      <c r="M1547">
        <v>20</v>
      </c>
      <c r="N1547">
        <v>1</v>
      </c>
      <c r="O1547">
        <v>0</v>
      </c>
      <c r="P1547">
        <v>0.434</v>
      </c>
      <c r="Q1547">
        <v>1.6400000000000001E-2</v>
      </c>
      <c r="R1547">
        <v>0</v>
      </c>
      <c r="S1547">
        <v>0</v>
      </c>
      <c r="T1547">
        <v>0.434</v>
      </c>
      <c r="U1547">
        <v>5</v>
      </c>
      <c r="V1547">
        <v>0</v>
      </c>
      <c r="W1547">
        <v>0.4</v>
      </c>
      <c r="X1547">
        <v>1</v>
      </c>
      <c r="Y1547">
        <v>0.39360000000000001</v>
      </c>
      <c r="Z1547">
        <v>1</v>
      </c>
    </row>
    <row r="1548" spans="1:26" x14ac:dyDescent="0.2">
      <c r="A1548" t="s">
        <v>134</v>
      </c>
      <c r="B1548">
        <v>2016</v>
      </c>
      <c r="C1548" t="str">
        <f t="shared" si="24"/>
        <v>SBT2016</v>
      </c>
      <c r="D1548">
        <v>4.827382979309089E-15</v>
      </c>
      <c r="E1548">
        <v>9.4480947360583198E-2</v>
      </c>
      <c r="F1548">
        <v>1.3957888782288861</v>
      </c>
      <c r="G1548">
        <v>29.685941531954331</v>
      </c>
      <c r="H1548">
        <v>1.519661771842278</v>
      </c>
      <c r="I1548">
        <v>0.6011513623481447</v>
      </c>
      <c r="J1548">
        <v>0.14181114478826151</v>
      </c>
      <c r="K1548">
        <v>-7.8272149004614683E-2</v>
      </c>
      <c r="L1548">
        <v>0.21913475579725639</v>
      </c>
      <c r="M1548">
        <v>21</v>
      </c>
      <c r="N1548">
        <v>1</v>
      </c>
      <c r="O1548">
        <v>0</v>
      </c>
      <c r="P1548">
        <v>0.45680000000000009</v>
      </c>
      <c r="Q1548">
        <v>3.7400000000000003E-2</v>
      </c>
      <c r="R1548">
        <v>5.1700000000000003E-2</v>
      </c>
      <c r="S1548">
        <v>0</v>
      </c>
      <c r="T1548">
        <v>0.45680000000000009</v>
      </c>
      <c r="U1548">
        <v>5</v>
      </c>
      <c r="V1548">
        <v>0</v>
      </c>
      <c r="W1548">
        <v>0.4</v>
      </c>
      <c r="X1548">
        <v>1</v>
      </c>
      <c r="Y1548">
        <v>0.40860000000000002</v>
      </c>
      <c r="Z1548">
        <v>1</v>
      </c>
    </row>
    <row r="1549" spans="1:26" x14ac:dyDescent="0.2">
      <c r="A1549" t="s">
        <v>134</v>
      </c>
      <c r="B1549">
        <v>2017</v>
      </c>
      <c r="C1549" t="str">
        <f t="shared" si="24"/>
        <v>SBT2017</v>
      </c>
      <c r="D1549">
        <v>9.1744277581124904E-16</v>
      </c>
      <c r="E1549">
        <v>4.7105053172200477E-2</v>
      </c>
      <c r="F1549">
        <v>1.3102049049962321</v>
      </c>
      <c r="G1549">
        <v>30.50422173184371</v>
      </c>
      <c r="H1549">
        <v>1.4111719655044761</v>
      </c>
      <c r="I1549">
        <v>0.65539096487778248</v>
      </c>
      <c r="J1549">
        <v>1.2665983874793849</v>
      </c>
      <c r="K1549">
        <v>-4.6039689120728283E-2</v>
      </c>
      <c r="L1549">
        <v>0.17478636624573801</v>
      </c>
      <c r="M1549">
        <v>22</v>
      </c>
      <c r="N1549">
        <v>1</v>
      </c>
      <c r="O1549">
        <v>0</v>
      </c>
      <c r="P1549">
        <v>0.40870000000000012</v>
      </c>
      <c r="Q1549">
        <v>6.7799999999999999E-2</v>
      </c>
      <c r="R1549">
        <v>0</v>
      </c>
      <c r="S1549">
        <v>0</v>
      </c>
      <c r="T1549">
        <v>0.40870000000000012</v>
      </c>
      <c r="U1549">
        <v>6</v>
      </c>
      <c r="V1549">
        <v>0</v>
      </c>
      <c r="W1549">
        <v>0.5</v>
      </c>
      <c r="X1549">
        <v>1</v>
      </c>
      <c r="Y1549">
        <v>0.41689999999999999</v>
      </c>
      <c r="Z1549">
        <v>1</v>
      </c>
    </row>
    <row r="1550" spans="1:26" x14ac:dyDescent="0.2">
      <c r="A1550" t="s">
        <v>134</v>
      </c>
      <c r="B1550">
        <v>2018</v>
      </c>
      <c r="C1550" t="str">
        <f t="shared" si="24"/>
        <v>SBT2018</v>
      </c>
      <c r="D1550">
        <v>1.9444020411666269E-15</v>
      </c>
      <c r="E1550">
        <v>9.3671018493183891E-2</v>
      </c>
      <c r="F1550">
        <v>1.267898070542272</v>
      </c>
      <c r="G1550">
        <v>30.449019075327321</v>
      </c>
      <c r="H1550">
        <v>1.102388204385234</v>
      </c>
      <c r="I1550">
        <v>0.65244640130194564</v>
      </c>
      <c r="J1550">
        <v>-5.3706643994819177E-2</v>
      </c>
      <c r="K1550">
        <v>6.7936103723004487E-2</v>
      </c>
      <c r="L1550">
        <v>0.26901463140882648</v>
      </c>
      <c r="M1550">
        <v>23</v>
      </c>
      <c r="N1550">
        <v>1</v>
      </c>
      <c r="O1550">
        <v>0</v>
      </c>
      <c r="P1550">
        <v>0.43359999999999999</v>
      </c>
      <c r="Q1550">
        <v>0.1605</v>
      </c>
      <c r="R1550">
        <v>0</v>
      </c>
      <c r="S1550">
        <v>0</v>
      </c>
      <c r="T1550">
        <v>0.36799999999999999</v>
      </c>
      <c r="U1550">
        <v>6</v>
      </c>
      <c r="V1550">
        <v>0</v>
      </c>
      <c r="W1550">
        <v>0.33333333333333331</v>
      </c>
      <c r="X1550">
        <v>1</v>
      </c>
      <c r="Y1550">
        <v>0.41810000000000003</v>
      </c>
      <c r="Z1550">
        <v>1</v>
      </c>
    </row>
    <row r="1551" spans="1:26" x14ac:dyDescent="0.2">
      <c r="A1551" t="s">
        <v>134</v>
      </c>
      <c r="B1551">
        <v>2019</v>
      </c>
      <c r="C1551" t="str">
        <f t="shared" si="24"/>
        <v>SBT2019</v>
      </c>
      <c r="D1551">
        <v>8.0423810238910822E-16</v>
      </c>
      <c r="E1551">
        <v>3.3928610615283197E-2</v>
      </c>
      <c r="F1551">
        <v>1.178906725497854</v>
      </c>
      <c r="G1551">
        <v>30.518929775326171</v>
      </c>
      <c r="H1551">
        <v>1.0923569854243049</v>
      </c>
      <c r="I1551">
        <v>0.57438064984302584</v>
      </c>
      <c r="J1551">
        <v>7.2412410548628792E-2</v>
      </c>
      <c r="K1551">
        <v>9.1293553708813799E-2</v>
      </c>
      <c r="L1551">
        <v>0.29367655675136861</v>
      </c>
      <c r="M1551">
        <v>24</v>
      </c>
      <c r="N1551">
        <v>1</v>
      </c>
      <c r="O1551">
        <v>1</v>
      </c>
      <c r="P1551">
        <v>0.27270000000000011</v>
      </c>
      <c r="Q1551">
        <v>0.29599999999999999</v>
      </c>
      <c r="R1551">
        <v>0</v>
      </c>
      <c r="S1551">
        <v>0</v>
      </c>
      <c r="T1551">
        <v>0</v>
      </c>
      <c r="U1551">
        <v>6</v>
      </c>
      <c r="V1551">
        <v>0</v>
      </c>
      <c r="W1551">
        <v>0.33333333333333331</v>
      </c>
      <c r="X1551">
        <v>1</v>
      </c>
      <c r="Y1551">
        <v>0.47</v>
      </c>
      <c r="Z1551">
        <v>1</v>
      </c>
    </row>
    <row r="1552" spans="1:26" x14ac:dyDescent="0.2">
      <c r="A1552" t="s">
        <v>134</v>
      </c>
      <c r="B1552">
        <v>2020</v>
      </c>
      <c r="C1552" t="str">
        <f t="shared" si="24"/>
        <v>SBT2020</v>
      </c>
      <c r="D1552">
        <v>8.6603778599439612E-16</v>
      </c>
      <c r="E1552">
        <v>4.4052728834018062E-2</v>
      </c>
      <c r="F1552">
        <v>1.2291622909725279</v>
      </c>
      <c r="G1552">
        <v>30.650025444742319</v>
      </c>
      <c r="H1552">
        <v>1.138899898040248</v>
      </c>
      <c r="I1552">
        <v>0.5975601799847553</v>
      </c>
      <c r="J1552">
        <v>0.14007684658107691</v>
      </c>
      <c r="K1552">
        <v>3.2115388772944717E-2</v>
      </c>
      <c r="L1552">
        <v>0.23917675586687601</v>
      </c>
      <c r="M1552">
        <v>25</v>
      </c>
      <c r="N1552">
        <v>1</v>
      </c>
      <c r="O1552">
        <v>1</v>
      </c>
      <c r="P1552">
        <v>0.27579999999999999</v>
      </c>
      <c r="Q1552">
        <v>0.30020000000000002</v>
      </c>
      <c r="R1552">
        <v>0</v>
      </c>
      <c r="S1552">
        <v>0</v>
      </c>
      <c r="T1552">
        <v>0</v>
      </c>
      <c r="U1552">
        <v>7</v>
      </c>
      <c r="V1552">
        <v>0</v>
      </c>
      <c r="W1552">
        <v>0.42857142857142849</v>
      </c>
      <c r="X1552">
        <v>1</v>
      </c>
      <c r="Y1552">
        <v>0.48</v>
      </c>
      <c r="Z1552">
        <v>1</v>
      </c>
    </row>
    <row r="1553" spans="1:26" x14ac:dyDescent="0.2">
      <c r="A1553" t="s">
        <v>134</v>
      </c>
      <c r="B1553">
        <v>2021</v>
      </c>
      <c r="C1553" t="str">
        <f t="shared" si="24"/>
        <v>SBT2021</v>
      </c>
      <c r="D1553">
        <v>8.4576206426575103E-16</v>
      </c>
      <c r="E1553">
        <v>6.7264100832681764E-2</v>
      </c>
      <c r="F1553">
        <v>1.238948474361119</v>
      </c>
      <c r="G1553">
        <v>30.953549247469141</v>
      </c>
      <c r="H1553">
        <v>1.467332151542418</v>
      </c>
      <c r="I1553">
        <v>0.65132525344493319</v>
      </c>
      <c r="J1553">
        <v>0.3546238342993544</v>
      </c>
      <c r="K1553">
        <v>2.4935474484125419E-2</v>
      </c>
      <c r="L1553">
        <v>0.19522283998489509</v>
      </c>
      <c r="M1553">
        <v>26</v>
      </c>
      <c r="N1553">
        <v>0</v>
      </c>
      <c r="O1553">
        <v>0</v>
      </c>
      <c r="P1553">
        <v>0.52900000000000003</v>
      </c>
      <c r="Q1553">
        <v>0.29310000000000003</v>
      </c>
      <c r="R1553">
        <v>0</v>
      </c>
      <c r="S1553">
        <v>0</v>
      </c>
      <c r="T1553">
        <v>0.26300000000000001</v>
      </c>
      <c r="U1553">
        <v>7</v>
      </c>
      <c r="V1553">
        <v>0</v>
      </c>
      <c r="W1553">
        <v>0.5714285714285714</v>
      </c>
      <c r="X1553">
        <v>1</v>
      </c>
      <c r="Y1553">
        <v>0.47449999999999998</v>
      </c>
      <c r="Z1553">
        <v>1</v>
      </c>
    </row>
    <row r="1554" spans="1:26" x14ac:dyDescent="0.2">
      <c r="A1554" t="s">
        <v>134</v>
      </c>
      <c r="B1554">
        <v>2022</v>
      </c>
      <c r="C1554" t="str">
        <f t="shared" si="24"/>
        <v>SBT2022</v>
      </c>
      <c r="D1554">
        <v>9.7477544860087715E-16</v>
      </c>
      <c r="E1554">
        <v>8.3157693158382368E-2</v>
      </c>
      <c r="F1554">
        <v>0.97519869978160556</v>
      </c>
      <c r="G1554">
        <v>31.03002564229427</v>
      </c>
      <c r="H1554">
        <v>1.178599698199398</v>
      </c>
      <c r="I1554">
        <v>0.64910994565811631</v>
      </c>
      <c r="J1554">
        <v>7.9476708799937068E-2</v>
      </c>
      <c r="K1554">
        <v>5.5121213535996527E-2</v>
      </c>
      <c r="L1554">
        <v>0.1404327235298399</v>
      </c>
      <c r="M1554">
        <v>27</v>
      </c>
      <c r="N1554">
        <v>1</v>
      </c>
      <c r="O1554">
        <v>0</v>
      </c>
      <c r="P1554">
        <v>0.52280000000000004</v>
      </c>
      <c r="Q1554">
        <v>0.29680000000000001</v>
      </c>
      <c r="R1554">
        <v>0</v>
      </c>
      <c r="S1554">
        <v>0</v>
      </c>
      <c r="T1554">
        <v>0.25819999999999999</v>
      </c>
      <c r="U1554">
        <v>9</v>
      </c>
      <c r="V1554">
        <v>0</v>
      </c>
      <c r="W1554">
        <v>0.44444444444444442</v>
      </c>
      <c r="X1554">
        <v>1</v>
      </c>
      <c r="Y1554">
        <v>0.48430000000000001</v>
      </c>
      <c r="Z1554">
        <v>1</v>
      </c>
    </row>
    <row r="1555" spans="1:26" x14ac:dyDescent="0.2">
      <c r="A1555" t="s">
        <v>134</v>
      </c>
      <c r="B1555">
        <v>2023</v>
      </c>
      <c r="C1555" t="str">
        <f t="shared" si="24"/>
        <v>SBT2023</v>
      </c>
      <c r="D1555">
        <v>4642940435474.2148</v>
      </c>
      <c r="E1555">
        <v>3.3136257540540358E-2</v>
      </c>
      <c r="F1555">
        <v>0.73112733332407709</v>
      </c>
      <c r="G1555">
        <v>31.03002564229427</v>
      </c>
      <c r="H1555">
        <v>1.165740795425998</v>
      </c>
      <c r="I1555">
        <v>0.39042373012615428</v>
      </c>
      <c r="J1555">
        <v>0.13843683104199991</v>
      </c>
      <c r="K1555">
        <v>3.3997622796569822E-2</v>
      </c>
      <c r="L1555">
        <v>0.1201551558751006</v>
      </c>
      <c r="M1555">
        <v>28</v>
      </c>
      <c r="N1555">
        <v>1</v>
      </c>
      <c r="O1555">
        <v>0</v>
      </c>
      <c r="P1555">
        <v>0.52280000000000004</v>
      </c>
      <c r="Q1555">
        <v>0.29680000000000001</v>
      </c>
      <c r="R1555">
        <v>0</v>
      </c>
      <c r="S1555">
        <v>0</v>
      </c>
      <c r="T1555">
        <v>0.25819999999999999</v>
      </c>
      <c r="U1555">
        <v>9</v>
      </c>
      <c r="V1555">
        <v>0</v>
      </c>
      <c r="W1555">
        <v>0.44444444444444442</v>
      </c>
      <c r="X1555">
        <v>1</v>
      </c>
      <c r="Y1555">
        <v>0.48430000000000001</v>
      </c>
      <c r="Z1555">
        <v>1</v>
      </c>
    </row>
    <row r="1556" spans="1:26" x14ac:dyDescent="0.2">
      <c r="A1556" t="s">
        <v>135</v>
      </c>
      <c r="B1556">
        <v>2012</v>
      </c>
      <c r="C1556" t="str">
        <f t="shared" si="24"/>
        <v>SDG2012</v>
      </c>
      <c r="D1556">
        <v>7.4712205445867205E-13</v>
      </c>
      <c r="E1556">
        <v>0.28595577349697598</v>
      </c>
      <c r="F1556">
        <v>1.135710835897348</v>
      </c>
      <c r="G1556">
        <v>25.979975000712209</v>
      </c>
      <c r="H1556">
        <v>1.2174726098108379</v>
      </c>
      <c r="I1556">
        <v>0.49875221098851269</v>
      </c>
      <c r="J1556">
        <v>-8.1944343630016792E-2</v>
      </c>
      <c r="K1556">
        <v>0.25658104376933899</v>
      </c>
      <c r="L1556">
        <v>0.23313035348244779</v>
      </c>
      <c r="M1556">
        <v>5</v>
      </c>
      <c r="N1556">
        <v>0</v>
      </c>
      <c r="O1556">
        <v>0</v>
      </c>
      <c r="P1556">
        <v>0.68400000000000005</v>
      </c>
      <c r="Q1556">
        <v>4.58E-2</v>
      </c>
      <c r="R1556">
        <v>0</v>
      </c>
      <c r="S1556">
        <v>0.48399999999999999</v>
      </c>
      <c r="T1556">
        <v>0.68400000000000005</v>
      </c>
      <c r="U1556">
        <v>5</v>
      </c>
      <c r="V1556">
        <v>1</v>
      </c>
      <c r="W1556">
        <v>0</v>
      </c>
      <c r="X1556">
        <v>0</v>
      </c>
      <c r="Y1556">
        <v>0.48630000000000001</v>
      </c>
      <c r="Z1556">
        <v>1</v>
      </c>
    </row>
    <row r="1557" spans="1:26" x14ac:dyDescent="0.2">
      <c r="A1557" t="s">
        <v>135</v>
      </c>
      <c r="B1557">
        <v>2013</v>
      </c>
      <c r="C1557" t="str">
        <f t="shared" si="24"/>
        <v>SDG2013</v>
      </c>
      <c r="D1557">
        <v>5.1003709177014619E-13</v>
      </c>
      <c r="E1557">
        <v>0.1664643775915671</v>
      </c>
      <c r="F1557">
        <v>1.0030076774829291</v>
      </c>
      <c r="G1557">
        <v>25.981746389030121</v>
      </c>
      <c r="H1557">
        <v>1.1439771056710859</v>
      </c>
      <c r="I1557">
        <v>0.41114341444160801</v>
      </c>
      <c r="J1557">
        <v>1.7729581529963841E-3</v>
      </c>
      <c r="K1557">
        <v>0.1618509128569604</v>
      </c>
      <c r="L1557">
        <v>0.19062756587980381</v>
      </c>
      <c r="M1557">
        <v>6</v>
      </c>
      <c r="N1557">
        <v>0</v>
      </c>
      <c r="O1557">
        <v>0</v>
      </c>
      <c r="P1557">
        <v>0.56000000000000005</v>
      </c>
      <c r="Q1557">
        <v>1E-4</v>
      </c>
      <c r="R1557">
        <v>0</v>
      </c>
      <c r="S1557">
        <v>0.36</v>
      </c>
      <c r="T1557">
        <v>0.56000000000000005</v>
      </c>
      <c r="U1557">
        <v>5</v>
      </c>
      <c r="V1557">
        <v>1</v>
      </c>
      <c r="W1557">
        <v>0</v>
      </c>
      <c r="X1557">
        <v>0</v>
      </c>
      <c r="Y1557">
        <v>0.49630000000000002</v>
      </c>
      <c r="Z1557">
        <v>1</v>
      </c>
    </row>
    <row r="1558" spans="1:26" x14ac:dyDescent="0.2">
      <c r="A1558" t="s">
        <v>135</v>
      </c>
      <c r="B1558">
        <v>2014</v>
      </c>
      <c r="C1558" t="str">
        <f t="shared" si="24"/>
        <v>SDG2014</v>
      </c>
      <c r="D1558">
        <v>4.7308158511966818E-13</v>
      </c>
      <c r="E1558">
        <v>0.1580752027475327</v>
      </c>
      <c r="F1558">
        <v>1.202986309864561</v>
      </c>
      <c r="G1558">
        <v>25.900806042753949</v>
      </c>
      <c r="H1558">
        <v>1.350547035037601</v>
      </c>
      <c r="I1558">
        <v>0.4695439133855287</v>
      </c>
      <c r="J1558">
        <v>-7.7751294626734468E-2</v>
      </c>
      <c r="K1558">
        <v>0.10444273442078961</v>
      </c>
      <c r="L1558">
        <v>0.19665547354083859</v>
      </c>
      <c r="M1558">
        <v>7</v>
      </c>
      <c r="N1558">
        <v>0</v>
      </c>
      <c r="O1558">
        <v>0</v>
      </c>
      <c r="P1558">
        <v>0.73950000000000005</v>
      </c>
      <c r="Q1558">
        <v>4.5400000000000003E-2</v>
      </c>
      <c r="R1558">
        <v>0</v>
      </c>
      <c r="S1558">
        <v>0.26</v>
      </c>
      <c r="T1558">
        <v>0.73950000000000005</v>
      </c>
      <c r="U1558">
        <v>5</v>
      </c>
      <c r="V1558">
        <v>1</v>
      </c>
      <c r="W1558">
        <v>0</v>
      </c>
      <c r="X1558">
        <v>0</v>
      </c>
      <c r="Y1558">
        <v>0.50629999999999997</v>
      </c>
      <c r="Z1558">
        <v>1</v>
      </c>
    </row>
    <row r="1559" spans="1:26" x14ac:dyDescent="0.2">
      <c r="A1559" t="s">
        <v>135</v>
      </c>
      <c r="B1559">
        <v>2015</v>
      </c>
      <c r="C1559" t="str">
        <f t="shared" si="24"/>
        <v>SDG2015</v>
      </c>
      <c r="D1559">
        <v>4.5608880167223259E-13</v>
      </c>
      <c r="E1559">
        <v>0.1766220116234696</v>
      </c>
      <c r="F1559">
        <v>1.1880737074305281</v>
      </c>
      <c r="G1559">
        <v>25.96620284601558</v>
      </c>
      <c r="H1559">
        <v>1.1511150155048659</v>
      </c>
      <c r="I1559">
        <v>0.51136654940775428</v>
      </c>
      <c r="J1559">
        <v>6.7582560590461416E-2</v>
      </c>
      <c r="K1559">
        <v>0.1266645108163939</v>
      </c>
      <c r="L1559">
        <v>0.30730587015690208</v>
      </c>
      <c r="M1559">
        <v>8</v>
      </c>
      <c r="N1559">
        <v>0</v>
      </c>
      <c r="O1559">
        <v>0</v>
      </c>
      <c r="P1559">
        <v>0.79969999999999997</v>
      </c>
      <c r="Q1559">
        <v>4.5599999999999988E-2</v>
      </c>
      <c r="R1559">
        <v>0</v>
      </c>
      <c r="S1559">
        <v>0.26</v>
      </c>
      <c r="T1559">
        <v>0.79969999999999997</v>
      </c>
      <c r="U1559">
        <v>5</v>
      </c>
      <c r="V1559">
        <v>1</v>
      </c>
      <c r="W1559">
        <v>0</v>
      </c>
      <c r="X1559">
        <v>0</v>
      </c>
      <c r="Y1559">
        <v>0.51219999999999999</v>
      </c>
      <c r="Z1559">
        <v>1</v>
      </c>
    </row>
    <row r="1560" spans="1:26" x14ac:dyDescent="0.2">
      <c r="A1560" t="s">
        <v>135</v>
      </c>
      <c r="B1560">
        <v>2016</v>
      </c>
      <c r="C1560" t="str">
        <f t="shared" si="24"/>
        <v>SDG2016</v>
      </c>
      <c r="D1560">
        <v>2.5851080157778869E-13</v>
      </c>
      <c r="E1560">
        <v>0.15929466003820211</v>
      </c>
      <c r="F1560">
        <v>1.109386101949871</v>
      </c>
      <c r="G1560">
        <v>26.197161266851889</v>
      </c>
      <c r="H1560">
        <v>1.08360732154721</v>
      </c>
      <c r="I1560">
        <v>0.61313445116106069</v>
      </c>
      <c r="J1560">
        <v>0.25980685664470943</v>
      </c>
      <c r="K1560">
        <v>4.453907328281774E-2</v>
      </c>
      <c r="L1560">
        <v>0.43427502412326602</v>
      </c>
      <c r="M1560">
        <v>9</v>
      </c>
      <c r="N1560">
        <v>0</v>
      </c>
      <c r="O1560">
        <v>0</v>
      </c>
      <c r="P1560">
        <v>0.26</v>
      </c>
      <c r="Q1560">
        <v>4.5599999999999988E-2</v>
      </c>
      <c r="R1560">
        <v>0</v>
      </c>
      <c r="S1560">
        <v>0.26</v>
      </c>
      <c r="T1560">
        <v>0.26</v>
      </c>
      <c r="U1560">
        <v>5</v>
      </c>
      <c r="V1560">
        <v>1</v>
      </c>
      <c r="W1560">
        <v>0</v>
      </c>
      <c r="X1560">
        <v>0</v>
      </c>
      <c r="Y1560">
        <v>0.51139999999999997</v>
      </c>
      <c r="Z1560">
        <v>1</v>
      </c>
    </row>
    <row r="1561" spans="1:26" x14ac:dyDescent="0.2">
      <c r="A1561" t="s">
        <v>135</v>
      </c>
      <c r="B1561">
        <v>2017</v>
      </c>
      <c r="C1561" t="str">
        <f t="shared" si="24"/>
        <v>SDG2017</v>
      </c>
      <c r="D1561">
        <v>3.5911570052154321E-13</v>
      </c>
      <c r="E1561">
        <v>0.1674469342502683</v>
      </c>
      <c r="F1561">
        <v>0.99797253031271704</v>
      </c>
      <c r="G1561">
        <v>26.138363957127311</v>
      </c>
      <c r="H1561" t="e">
        <v>#N/A</v>
      </c>
      <c r="I1561">
        <v>0.51793630544595115</v>
      </c>
      <c r="J1561">
        <v>0</v>
      </c>
      <c r="K1561">
        <v>8.0772789054858365E-2</v>
      </c>
      <c r="L1561">
        <v>0.84296034966930433</v>
      </c>
      <c r="M1561">
        <v>10</v>
      </c>
      <c r="N1561">
        <v>0</v>
      </c>
      <c r="O1561">
        <v>0</v>
      </c>
      <c r="P1561">
        <v>0.26</v>
      </c>
      <c r="Q1561">
        <v>4.5599999999999988E-2</v>
      </c>
      <c r="R1561">
        <v>0</v>
      </c>
      <c r="S1561">
        <v>0.26</v>
      </c>
      <c r="T1561">
        <v>0.26</v>
      </c>
      <c r="U1561">
        <v>5</v>
      </c>
      <c r="V1561">
        <v>1</v>
      </c>
      <c r="W1561">
        <v>0</v>
      </c>
      <c r="X1561">
        <v>0</v>
      </c>
      <c r="Y1561">
        <v>0.52139999999999997</v>
      </c>
      <c r="Z1561">
        <v>1</v>
      </c>
    </row>
    <row r="1562" spans="1:26" x14ac:dyDescent="0.2">
      <c r="A1562" t="s">
        <v>135</v>
      </c>
      <c r="B1562">
        <v>2018</v>
      </c>
      <c r="C1562" t="str">
        <f t="shared" si="24"/>
        <v>SDG2018</v>
      </c>
      <c r="D1562">
        <v>1.2382970587517121E-13</v>
      </c>
      <c r="E1562">
        <v>0.16178521923383599</v>
      </c>
      <c r="F1562">
        <v>0.72217043060543029</v>
      </c>
      <c r="G1562">
        <v>27.225725206052051</v>
      </c>
      <c r="H1562" t="e">
        <v>#N/A</v>
      </c>
      <c r="I1562">
        <v>0.48964987860014858</v>
      </c>
      <c r="J1562">
        <v>1.7970462207519331</v>
      </c>
      <c r="K1562">
        <v>-0.1201216908248056</v>
      </c>
      <c r="L1562">
        <v>0.50715001648975222</v>
      </c>
      <c r="M1562">
        <v>11</v>
      </c>
      <c r="N1562">
        <v>0</v>
      </c>
      <c r="O1562">
        <v>0</v>
      </c>
      <c r="P1562">
        <v>0.44519999999999998</v>
      </c>
      <c r="Q1562">
        <v>5.3900000000000003E-2</v>
      </c>
      <c r="R1562">
        <v>0</v>
      </c>
      <c r="S1562">
        <v>0</v>
      </c>
      <c r="T1562">
        <v>0.33189999999999997</v>
      </c>
      <c r="U1562">
        <v>3</v>
      </c>
      <c r="V1562">
        <v>1</v>
      </c>
      <c r="W1562">
        <v>0</v>
      </c>
      <c r="X1562">
        <v>0</v>
      </c>
      <c r="Y1562">
        <v>0.54600000000000004</v>
      </c>
      <c r="Z1562">
        <v>1</v>
      </c>
    </row>
    <row r="1563" spans="1:26" x14ac:dyDescent="0.2">
      <c r="A1563" t="s">
        <v>135</v>
      </c>
      <c r="B1563">
        <v>2019</v>
      </c>
      <c r="C1563" t="str">
        <f t="shared" si="24"/>
        <v>SDG2019</v>
      </c>
      <c r="D1563">
        <v>1.757729348484702E-13</v>
      </c>
      <c r="E1563">
        <v>0.17997825374990209</v>
      </c>
      <c r="F1563">
        <v>0.81894462502108201</v>
      </c>
      <c r="G1563">
        <v>27.166618090894399</v>
      </c>
      <c r="H1563">
        <v>0.8791171990578226</v>
      </c>
      <c r="I1563">
        <v>0.38617538621735359</v>
      </c>
      <c r="J1563">
        <v>-5.7394203619151263E-2</v>
      </c>
      <c r="K1563">
        <v>7.4868826146890055E-2</v>
      </c>
      <c r="L1563">
        <v>0.49622090769046218</v>
      </c>
      <c r="M1563">
        <v>12</v>
      </c>
      <c r="N1563">
        <v>0</v>
      </c>
      <c r="O1563">
        <v>1</v>
      </c>
      <c r="P1563">
        <v>0.81129999999999991</v>
      </c>
      <c r="Q1563">
        <v>1E-4</v>
      </c>
      <c r="R1563">
        <v>0</v>
      </c>
      <c r="S1563">
        <v>0</v>
      </c>
      <c r="T1563">
        <v>0.33189999999999997</v>
      </c>
      <c r="U1563">
        <v>5</v>
      </c>
      <c r="V1563">
        <v>1</v>
      </c>
      <c r="W1563">
        <v>0</v>
      </c>
      <c r="X1563">
        <v>1</v>
      </c>
      <c r="Y1563">
        <v>0.4929</v>
      </c>
      <c r="Z1563">
        <v>1</v>
      </c>
    </row>
    <row r="1564" spans="1:26" x14ac:dyDescent="0.2">
      <c r="A1564" t="s">
        <v>135</v>
      </c>
      <c r="B1564">
        <v>2020</v>
      </c>
      <c r="C1564" t="str">
        <f t="shared" si="24"/>
        <v>SDG2020</v>
      </c>
      <c r="D1564">
        <v>1.193025357188782E-13</v>
      </c>
      <c r="E1564">
        <v>0.18793128538260731</v>
      </c>
      <c r="F1564">
        <v>0.92656818778775918</v>
      </c>
      <c r="G1564">
        <v>27.454126299026889</v>
      </c>
      <c r="H1564">
        <v>1.1341375881756799</v>
      </c>
      <c r="I1564">
        <v>0.46810470652032921</v>
      </c>
      <c r="J1564">
        <v>0.33310153439231338</v>
      </c>
      <c r="K1564">
        <v>5.8597560136110248E-2</v>
      </c>
      <c r="L1564">
        <v>0.44711506260146477</v>
      </c>
      <c r="M1564">
        <v>13</v>
      </c>
      <c r="N1564">
        <v>0</v>
      </c>
      <c r="O1564">
        <v>1</v>
      </c>
      <c r="P1564">
        <v>0.93409999999999993</v>
      </c>
      <c r="Q1564">
        <v>0</v>
      </c>
      <c r="R1564">
        <v>0</v>
      </c>
      <c r="S1564">
        <v>0</v>
      </c>
      <c r="T1564">
        <v>0.31609999999999999</v>
      </c>
      <c r="U1564">
        <v>5</v>
      </c>
      <c r="V1564">
        <v>0</v>
      </c>
      <c r="W1564">
        <v>0</v>
      </c>
      <c r="X1564">
        <v>0</v>
      </c>
      <c r="Y1564">
        <v>0.49170000000000003</v>
      </c>
      <c r="Z1564">
        <v>1</v>
      </c>
    </row>
    <row r="1565" spans="1:26" x14ac:dyDescent="0.2">
      <c r="A1565" t="s">
        <v>135</v>
      </c>
      <c r="B1565">
        <v>2021</v>
      </c>
      <c r="C1565" t="str">
        <f t="shared" si="24"/>
        <v>SDG2021</v>
      </c>
      <c r="D1565">
        <v>3.3668480137284137E-14</v>
      </c>
      <c r="E1565">
        <v>5.8839845847895811E-2</v>
      </c>
      <c r="F1565">
        <v>0.78073844451413388</v>
      </c>
      <c r="G1565">
        <v>27.534634617322698</v>
      </c>
      <c r="H1565">
        <v>1.1214033817483131</v>
      </c>
      <c r="I1565">
        <v>0.48037281803172283</v>
      </c>
      <c r="J1565">
        <v>8.3837862288703491E-2</v>
      </c>
      <c r="K1565">
        <v>1.197927627750576E-2</v>
      </c>
      <c r="L1565">
        <v>0.41010042838066602</v>
      </c>
      <c r="M1565">
        <v>14</v>
      </c>
      <c r="N1565">
        <v>0</v>
      </c>
      <c r="O1565">
        <v>0</v>
      </c>
      <c r="P1565">
        <v>0.8909999999999999</v>
      </c>
      <c r="Q1565">
        <v>3.0099999999999998E-2</v>
      </c>
      <c r="R1565">
        <v>0</v>
      </c>
      <c r="S1565">
        <v>0</v>
      </c>
      <c r="T1565">
        <v>5.0299999999999997E-2</v>
      </c>
      <c r="U1565">
        <v>5</v>
      </c>
      <c r="V1565">
        <v>0</v>
      </c>
      <c r="W1565">
        <v>0</v>
      </c>
      <c r="X1565">
        <v>0</v>
      </c>
      <c r="Y1565">
        <v>0.4783</v>
      </c>
      <c r="Z1565">
        <v>1</v>
      </c>
    </row>
    <row r="1566" spans="1:26" x14ac:dyDescent="0.2">
      <c r="A1566" t="s">
        <v>135</v>
      </c>
      <c r="B1566">
        <v>2022</v>
      </c>
      <c r="C1566" t="str">
        <f t="shared" si="24"/>
        <v>SDG2022</v>
      </c>
      <c r="D1566">
        <v>5.0858680175820897E-14</v>
      </c>
      <c r="E1566">
        <v>0.1000878704842291</v>
      </c>
      <c r="F1566">
        <v>0.72083351891337721</v>
      </c>
      <c r="G1566">
        <v>27.61301512671627</v>
      </c>
      <c r="H1566">
        <v>1.210765417429071</v>
      </c>
      <c r="I1566">
        <v>0.50092739094683292</v>
      </c>
      <c r="J1566">
        <v>8.1534114273704508E-2</v>
      </c>
      <c r="K1566">
        <v>5.200894515468351E-2</v>
      </c>
      <c r="L1566">
        <v>0.37857203497034769</v>
      </c>
      <c r="M1566">
        <v>15</v>
      </c>
      <c r="N1566">
        <v>0</v>
      </c>
      <c r="O1566">
        <v>0</v>
      </c>
      <c r="P1566">
        <v>0.93459999999999999</v>
      </c>
      <c r="Q1566">
        <v>9.3900000000000011E-2</v>
      </c>
      <c r="R1566">
        <v>0</v>
      </c>
      <c r="S1566">
        <v>0</v>
      </c>
      <c r="T1566">
        <v>0</v>
      </c>
      <c r="U1566">
        <v>5</v>
      </c>
      <c r="V1566">
        <v>0</v>
      </c>
      <c r="W1566">
        <v>0</v>
      </c>
      <c r="X1566">
        <v>0</v>
      </c>
      <c r="Y1566">
        <v>0.45</v>
      </c>
      <c r="Z1566">
        <v>1</v>
      </c>
    </row>
    <row r="1567" spans="1:26" x14ac:dyDescent="0.2">
      <c r="A1567" t="s">
        <v>135</v>
      </c>
      <c r="B1567">
        <v>2023</v>
      </c>
      <c r="C1567" t="str">
        <f t="shared" si="24"/>
        <v>SDG2023</v>
      </c>
      <c r="D1567">
        <v>251434087446.61929</v>
      </c>
      <c r="E1567">
        <v>3.1648412023310722E-2</v>
      </c>
      <c r="F1567">
        <v>0.52313054958661476</v>
      </c>
      <c r="G1567">
        <v>27.59039622190042</v>
      </c>
      <c r="H1567">
        <v>1.2460083360997509</v>
      </c>
      <c r="I1567">
        <v>0.34888369867402758</v>
      </c>
      <c r="J1567">
        <v>-2.2365015225841001E-2</v>
      </c>
      <c r="K1567">
        <v>7.4804537815869862E-2</v>
      </c>
      <c r="L1567">
        <v>0.32408395694915892</v>
      </c>
      <c r="M1567">
        <v>16</v>
      </c>
      <c r="N1567">
        <v>0</v>
      </c>
      <c r="O1567">
        <v>0</v>
      </c>
      <c r="P1567">
        <v>0.93459999999999999</v>
      </c>
      <c r="Q1567">
        <v>9.3900000000000011E-2</v>
      </c>
      <c r="R1567">
        <v>0</v>
      </c>
      <c r="S1567">
        <v>0</v>
      </c>
      <c r="T1567">
        <v>0</v>
      </c>
      <c r="U1567">
        <v>5</v>
      </c>
      <c r="V1567">
        <v>0</v>
      </c>
      <c r="W1567">
        <v>0</v>
      </c>
      <c r="X1567">
        <v>0</v>
      </c>
      <c r="Y1567">
        <v>0.45</v>
      </c>
      <c r="Z1567">
        <v>1</v>
      </c>
    </row>
    <row r="1568" spans="1:26" x14ac:dyDescent="0.2">
      <c r="A1568" t="s">
        <v>136</v>
      </c>
      <c r="B1568">
        <v>2012</v>
      </c>
      <c r="C1568" t="str">
        <f t="shared" si="24"/>
        <v>SDN2012</v>
      </c>
      <c r="D1568">
        <v>4.1079831967375252E-12</v>
      </c>
      <c r="E1568">
        <v>0.28542865915921412</v>
      </c>
      <c r="F1568">
        <v>0.99909791174834728</v>
      </c>
      <c r="G1568">
        <v>24.461015462957651</v>
      </c>
      <c r="H1568">
        <v>1.5392964484958931</v>
      </c>
      <c r="I1568">
        <v>0.39547381303489809</v>
      </c>
      <c r="J1568">
        <v>-5.388414966892608E-2</v>
      </c>
      <c r="K1568">
        <v>0.18369486028460719</v>
      </c>
      <c r="L1568">
        <v>0.14674146436489049</v>
      </c>
      <c r="M1568">
        <v>12</v>
      </c>
      <c r="N1568">
        <v>0</v>
      </c>
      <c r="O1568">
        <v>0</v>
      </c>
      <c r="P1568">
        <v>0.61429999999999996</v>
      </c>
      <c r="Q1568">
        <v>0.22370000000000001</v>
      </c>
      <c r="R1568">
        <v>0.15190000000000001</v>
      </c>
      <c r="S1568">
        <v>0.3</v>
      </c>
      <c r="T1568">
        <v>0.40880000000000011</v>
      </c>
      <c r="U1568">
        <v>5</v>
      </c>
      <c r="V1568">
        <v>1</v>
      </c>
      <c r="W1568">
        <v>0</v>
      </c>
      <c r="X1568">
        <v>0</v>
      </c>
      <c r="Y1568">
        <v>0.48249999999999998</v>
      </c>
      <c r="Z1568">
        <v>1</v>
      </c>
    </row>
    <row r="1569" spans="1:26" x14ac:dyDescent="0.2">
      <c r="A1569" t="s">
        <v>136</v>
      </c>
      <c r="B1569">
        <v>2013</v>
      </c>
      <c r="C1569" t="str">
        <f t="shared" si="24"/>
        <v>SDN2013</v>
      </c>
      <c r="D1569">
        <v>2.3384820175387391E-12</v>
      </c>
      <c r="E1569">
        <v>0.24864225376044541</v>
      </c>
      <c r="F1569">
        <v>1.211839305201978</v>
      </c>
      <c r="G1569">
        <v>24.703042781579089</v>
      </c>
      <c r="H1569">
        <v>1.874369611281345</v>
      </c>
      <c r="I1569">
        <v>0.49678420171205168</v>
      </c>
      <c r="J1569">
        <v>0.27382899159287488</v>
      </c>
      <c r="K1569">
        <v>9.0413933699309584E-2</v>
      </c>
      <c r="L1569">
        <v>0.10937532192755781</v>
      </c>
      <c r="M1569">
        <v>13</v>
      </c>
      <c r="N1569">
        <v>0</v>
      </c>
      <c r="O1569">
        <v>0</v>
      </c>
      <c r="P1569">
        <v>0.61429999999999996</v>
      </c>
      <c r="Q1569">
        <v>0.15579999999999999</v>
      </c>
      <c r="R1569">
        <v>0.15190000000000001</v>
      </c>
      <c r="S1569">
        <v>0.3</v>
      </c>
      <c r="T1569">
        <v>0.40880000000000011</v>
      </c>
      <c r="U1569">
        <v>5</v>
      </c>
      <c r="V1569">
        <v>1</v>
      </c>
      <c r="W1569">
        <v>0</v>
      </c>
      <c r="X1569">
        <v>0</v>
      </c>
      <c r="Y1569">
        <v>0.45440000000000003</v>
      </c>
      <c r="Z1569">
        <v>1</v>
      </c>
    </row>
    <row r="1570" spans="1:26" x14ac:dyDescent="0.2">
      <c r="A1570" t="s">
        <v>136</v>
      </c>
      <c r="B1570">
        <v>2014</v>
      </c>
      <c r="C1570" t="str">
        <f t="shared" si="24"/>
        <v>SDN2014</v>
      </c>
      <c r="D1570">
        <v>1.6358028476247E-12</v>
      </c>
      <c r="E1570">
        <v>0.22167325582046041</v>
      </c>
      <c r="F1570">
        <v>1.2115576371054251</v>
      </c>
      <c r="G1570">
        <v>24.84771310718817</v>
      </c>
      <c r="H1570">
        <v>1.6039406928978039</v>
      </c>
      <c r="I1570">
        <v>0.54370852982333084</v>
      </c>
      <c r="J1570">
        <v>0.15565851644210471</v>
      </c>
      <c r="K1570">
        <v>0.1130944689960241</v>
      </c>
      <c r="L1570">
        <v>8.8161613258818342E-2</v>
      </c>
      <c r="M1570">
        <v>14</v>
      </c>
      <c r="N1570">
        <v>0</v>
      </c>
      <c r="O1570">
        <v>0</v>
      </c>
      <c r="P1570">
        <v>0.61429999999999996</v>
      </c>
      <c r="Q1570">
        <v>0.15579999999999999</v>
      </c>
      <c r="R1570">
        <v>0.15190000000000001</v>
      </c>
      <c r="S1570">
        <v>0.3</v>
      </c>
      <c r="T1570">
        <v>0.40880000000000011</v>
      </c>
      <c r="U1570">
        <v>5</v>
      </c>
      <c r="V1570">
        <v>1</v>
      </c>
      <c r="W1570">
        <v>0</v>
      </c>
      <c r="X1570">
        <v>0</v>
      </c>
      <c r="Y1570">
        <v>0.46439999999999998</v>
      </c>
      <c r="Z1570">
        <v>1</v>
      </c>
    </row>
    <row r="1571" spans="1:26" x14ac:dyDescent="0.2">
      <c r="A1571" t="s">
        <v>136</v>
      </c>
      <c r="B1571">
        <v>2015</v>
      </c>
      <c r="C1571" t="str">
        <f t="shared" si="24"/>
        <v>SDN2015</v>
      </c>
      <c r="D1571">
        <v>1.6411190181640981E-12</v>
      </c>
      <c r="E1571">
        <v>0.2188996578915347</v>
      </c>
      <c r="F1571">
        <v>1.0826076253658301</v>
      </c>
      <c r="G1571">
        <v>24.877374620562321</v>
      </c>
      <c r="H1571">
        <v>1.5364296597814051</v>
      </c>
      <c r="I1571">
        <v>0.52246905780575315</v>
      </c>
      <c r="J1571">
        <v>3.0105797899805831E-2</v>
      </c>
      <c r="K1571">
        <v>0.13528895967480609</v>
      </c>
      <c r="L1571">
        <v>0.14187546521086999</v>
      </c>
      <c r="M1571">
        <v>15</v>
      </c>
      <c r="N1571">
        <v>0</v>
      </c>
      <c r="O1571">
        <v>0</v>
      </c>
      <c r="P1571">
        <v>0.61429999999999996</v>
      </c>
      <c r="Q1571">
        <v>0.15579999999999999</v>
      </c>
      <c r="R1571">
        <v>0.15190000000000001</v>
      </c>
      <c r="S1571">
        <v>0.3</v>
      </c>
      <c r="T1571">
        <v>0.40880000000000011</v>
      </c>
      <c r="U1571">
        <v>5</v>
      </c>
      <c r="V1571">
        <v>1</v>
      </c>
      <c r="W1571">
        <v>0</v>
      </c>
      <c r="X1571">
        <v>0</v>
      </c>
      <c r="Y1571">
        <v>0.48</v>
      </c>
      <c r="Z1571">
        <v>1</v>
      </c>
    </row>
    <row r="1572" spans="1:26" x14ac:dyDescent="0.2">
      <c r="A1572" t="s">
        <v>136</v>
      </c>
      <c r="B1572">
        <v>2016</v>
      </c>
      <c r="C1572" t="str">
        <f t="shared" si="24"/>
        <v>SDN2016</v>
      </c>
      <c r="D1572">
        <v>1.6873654542116181E-12</v>
      </c>
      <c r="E1572">
        <v>0.24480479797500909</v>
      </c>
      <c r="F1572">
        <v>1.1866443559464921</v>
      </c>
      <c r="G1572">
        <v>24.927616132049611</v>
      </c>
      <c r="H1572">
        <v>1.494907218693637</v>
      </c>
      <c r="I1572">
        <v>0.53834731983799633</v>
      </c>
      <c r="J1572">
        <v>6.9620686933590692E-2</v>
      </c>
      <c r="K1572">
        <v>0.1699359090112349</v>
      </c>
      <c r="L1572">
        <v>0.1444074674184391</v>
      </c>
      <c r="M1572">
        <v>16</v>
      </c>
      <c r="N1572">
        <v>0</v>
      </c>
      <c r="O1572">
        <v>0</v>
      </c>
      <c r="P1572">
        <v>0.61429999999999996</v>
      </c>
      <c r="Q1572">
        <v>0.15579999999999999</v>
      </c>
      <c r="R1572">
        <v>0.15190000000000001</v>
      </c>
      <c r="S1572">
        <v>0.3</v>
      </c>
      <c r="T1572">
        <v>0.40880000000000011</v>
      </c>
      <c r="U1572">
        <v>5</v>
      </c>
      <c r="V1572">
        <v>1</v>
      </c>
      <c r="W1572">
        <v>0</v>
      </c>
      <c r="X1572">
        <v>0</v>
      </c>
      <c r="Y1572">
        <v>0.48</v>
      </c>
      <c r="Z1572">
        <v>1</v>
      </c>
    </row>
    <row r="1573" spans="1:26" x14ac:dyDescent="0.2">
      <c r="A1573" t="s">
        <v>136</v>
      </c>
      <c r="B1573">
        <v>2017</v>
      </c>
      <c r="C1573" t="str">
        <f t="shared" si="24"/>
        <v>SDN2017</v>
      </c>
      <c r="D1573">
        <v>1.4633872873229459E-12</v>
      </c>
      <c r="E1573">
        <v>0.20311110832845161</v>
      </c>
      <c r="F1573">
        <v>1.333494098044129</v>
      </c>
      <c r="G1573">
        <v>24.944798779723111</v>
      </c>
      <c r="H1573">
        <v>1.3973125348405011</v>
      </c>
      <c r="I1573">
        <v>0.5090762260875582</v>
      </c>
      <c r="J1573">
        <v>1.200789381146095E-4</v>
      </c>
      <c r="K1573">
        <v>3.2376667935532302E-2</v>
      </c>
      <c r="L1573">
        <v>0.14522226909870151</v>
      </c>
      <c r="M1573">
        <v>17</v>
      </c>
      <c r="N1573">
        <v>0</v>
      </c>
      <c r="O1573">
        <v>0</v>
      </c>
      <c r="P1573">
        <v>0.66610000000000003</v>
      </c>
      <c r="Q1573">
        <v>0.15770000000000001</v>
      </c>
      <c r="R1573">
        <v>0.15190000000000001</v>
      </c>
      <c r="S1573">
        <v>0.3</v>
      </c>
      <c r="T1573">
        <v>0.40880000000000011</v>
      </c>
      <c r="U1573">
        <v>5</v>
      </c>
      <c r="V1573">
        <v>1</v>
      </c>
      <c r="W1573">
        <v>0</v>
      </c>
      <c r="X1573">
        <v>0</v>
      </c>
      <c r="Y1573">
        <v>0.49</v>
      </c>
      <c r="Z1573">
        <v>1</v>
      </c>
    </row>
    <row r="1574" spans="1:26" x14ac:dyDescent="0.2">
      <c r="A1574" t="s">
        <v>136</v>
      </c>
      <c r="B1574">
        <v>2018</v>
      </c>
      <c r="C1574" t="str">
        <f t="shared" si="24"/>
        <v>SDN2018</v>
      </c>
      <c r="D1574">
        <v>1.8207443008458809E-12</v>
      </c>
      <c r="E1574">
        <v>0.21158843221803469</v>
      </c>
      <c r="F1574">
        <v>1.467415751017481</v>
      </c>
      <c r="G1574">
        <v>24.889369459094951</v>
      </c>
      <c r="H1574">
        <v>1.530143600963688</v>
      </c>
      <c r="I1574">
        <v>0.44528124098578842</v>
      </c>
      <c r="J1574">
        <v>-5.3921110430987573E-2</v>
      </c>
      <c r="K1574">
        <v>7.9106782693943029E-2</v>
      </c>
      <c r="L1574">
        <v>0.1129784546551391</v>
      </c>
      <c r="M1574">
        <v>18</v>
      </c>
      <c r="N1574">
        <v>0</v>
      </c>
      <c r="O1574">
        <v>0</v>
      </c>
      <c r="P1574">
        <v>0.6744</v>
      </c>
      <c r="Q1574">
        <v>0.15790000000000001</v>
      </c>
      <c r="R1574">
        <v>0.15190000000000001</v>
      </c>
      <c r="S1574">
        <v>0.3</v>
      </c>
      <c r="T1574">
        <v>0.40880000000000011</v>
      </c>
      <c r="U1574">
        <v>5</v>
      </c>
      <c r="V1574">
        <v>1</v>
      </c>
      <c r="W1574">
        <v>0</v>
      </c>
      <c r="X1574">
        <v>0</v>
      </c>
      <c r="Y1574">
        <v>0.49669999999999997</v>
      </c>
      <c r="Z1574">
        <v>1</v>
      </c>
    </row>
    <row r="1575" spans="1:26" x14ac:dyDescent="0.2">
      <c r="A1575" t="s">
        <v>136</v>
      </c>
      <c r="B1575">
        <v>2019</v>
      </c>
      <c r="C1575" t="str">
        <f t="shared" si="24"/>
        <v>SDN2019</v>
      </c>
      <c r="D1575">
        <v>1.6029945922829209E-12</v>
      </c>
      <c r="E1575">
        <v>0.17190833714790349</v>
      </c>
      <c r="F1575">
        <v>1.104437237861162</v>
      </c>
      <c r="G1575">
        <v>24.868077496277401</v>
      </c>
      <c r="H1575">
        <v>1.81426075374267</v>
      </c>
      <c r="I1575">
        <v>0.41155761101439692</v>
      </c>
      <c r="J1575">
        <v>-2.1066889227065792E-2</v>
      </c>
      <c r="K1575">
        <v>0.13141053572464251</v>
      </c>
      <c r="L1575">
        <v>9.495681640420689E-2</v>
      </c>
      <c r="M1575">
        <v>19</v>
      </c>
      <c r="N1575">
        <v>0</v>
      </c>
      <c r="O1575">
        <v>1</v>
      </c>
      <c r="P1575">
        <v>0.67449999999999999</v>
      </c>
      <c r="Q1575">
        <v>0.15790000000000001</v>
      </c>
      <c r="R1575">
        <v>0.15190000000000001</v>
      </c>
      <c r="S1575">
        <v>0.3</v>
      </c>
      <c r="T1575">
        <v>0.40889999999999999</v>
      </c>
      <c r="U1575">
        <v>5</v>
      </c>
      <c r="V1575">
        <v>1</v>
      </c>
      <c r="W1575">
        <v>0</v>
      </c>
      <c r="X1575">
        <v>0</v>
      </c>
      <c r="Y1575">
        <v>0.49669999999999997</v>
      </c>
      <c r="Z1575">
        <v>1</v>
      </c>
    </row>
    <row r="1576" spans="1:26" x14ac:dyDescent="0.2">
      <c r="A1576" t="s">
        <v>136</v>
      </c>
      <c r="B1576">
        <v>2020</v>
      </c>
      <c r="C1576" t="str">
        <f t="shared" si="24"/>
        <v>SDN2020</v>
      </c>
      <c r="D1576">
        <v>2.2118682334762471E-12</v>
      </c>
      <c r="E1576">
        <v>0.27021290646431317</v>
      </c>
      <c r="F1576">
        <v>1.0375530350014801</v>
      </c>
      <c r="G1576">
        <v>25.001125778087069</v>
      </c>
      <c r="H1576">
        <v>2.0118026483674432</v>
      </c>
      <c r="I1576">
        <v>0.40992919254573329</v>
      </c>
      <c r="J1576">
        <v>0.1423051495592931</v>
      </c>
      <c r="K1576">
        <v>0.1194667225252823</v>
      </c>
      <c r="L1576">
        <v>6.1908990140824502E-2</v>
      </c>
      <c r="M1576">
        <v>20</v>
      </c>
      <c r="N1576">
        <v>0</v>
      </c>
      <c r="O1576">
        <v>1</v>
      </c>
      <c r="P1576">
        <v>0.67449999999999999</v>
      </c>
      <c r="Q1576">
        <v>0.159</v>
      </c>
      <c r="R1576">
        <v>0.15190000000000001</v>
      </c>
      <c r="S1576">
        <v>0.30009999999999998</v>
      </c>
      <c r="T1576">
        <v>0.40889999999999999</v>
      </c>
      <c r="U1576">
        <v>5</v>
      </c>
      <c r="V1576">
        <v>0</v>
      </c>
      <c r="W1576">
        <v>0</v>
      </c>
      <c r="X1576">
        <v>1</v>
      </c>
      <c r="Y1576">
        <v>0.47199999999999998</v>
      </c>
      <c r="Z1576">
        <v>1</v>
      </c>
    </row>
    <row r="1577" spans="1:26" x14ac:dyDescent="0.2">
      <c r="A1577" t="s">
        <v>136</v>
      </c>
      <c r="B1577">
        <v>2021</v>
      </c>
      <c r="C1577" t="str">
        <f t="shared" si="24"/>
        <v>SDN2021</v>
      </c>
      <c r="D1577">
        <v>2.4876612607844749E-12</v>
      </c>
      <c r="E1577">
        <v>0.26914577414107638</v>
      </c>
      <c r="F1577">
        <v>1.1849733936215641</v>
      </c>
      <c r="G1577">
        <v>25.005026266317461</v>
      </c>
      <c r="H1577">
        <v>2.1203476829402459</v>
      </c>
      <c r="I1577">
        <v>0.33111939212777541</v>
      </c>
      <c r="J1577">
        <v>3.9081050344762502E-3</v>
      </c>
      <c r="K1577">
        <v>0.1065215655395412</v>
      </c>
      <c r="L1577">
        <v>5.334372495014135E-2</v>
      </c>
      <c r="M1577">
        <v>21</v>
      </c>
      <c r="N1577">
        <v>0</v>
      </c>
      <c r="O1577">
        <v>0</v>
      </c>
      <c r="P1577">
        <v>0.51849999999999996</v>
      </c>
      <c r="Q1577">
        <v>0.159</v>
      </c>
      <c r="R1577">
        <v>0.15179999999999999</v>
      </c>
      <c r="S1577">
        <v>0.20430000000000001</v>
      </c>
      <c r="T1577">
        <v>0.31309999999999999</v>
      </c>
      <c r="U1577">
        <v>5</v>
      </c>
      <c r="V1577">
        <v>0</v>
      </c>
      <c r="W1577">
        <v>0</v>
      </c>
      <c r="X1577">
        <v>1</v>
      </c>
      <c r="Y1577">
        <v>0.48199999999999998</v>
      </c>
      <c r="Z1577">
        <v>1</v>
      </c>
    </row>
    <row r="1578" spans="1:26" x14ac:dyDescent="0.2">
      <c r="A1578" t="s">
        <v>136</v>
      </c>
      <c r="B1578">
        <v>2022</v>
      </c>
      <c r="C1578" t="str">
        <f t="shared" si="24"/>
        <v>SDN2022</v>
      </c>
      <c r="D1578">
        <v>1.4034021625281339E-12</v>
      </c>
      <c r="E1578">
        <v>0.27864677873109411</v>
      </c>
      <c r="F1578">
        <v>1.0663714435382601</v>
      </c>
      <c r="G1578">
        <v>25.385339901716481</v>
      </c>
      <c r="H1578">
        <v>2.688044861336742</v>
      </c>
      <c r="I1578">
        <v>0.46686013809010429</v>
      </c>
      <c r="J1578">
        <v>0.46274328557283789</v>
      </c>
      <c r="K1578">
        <v>-0.29127368027391509</v>
      </c>
      <c r="L1578">
        <v>2.192370747479333E-2</v>
      </c>
      <c r="M1578">
        <v>22</v>
      </c>
      <c r="N1578">
        <v>0</v>
      </c>
      <c r="O1578">
        <v>0</v>
      </c>
      <c r="P1578">
        <v>0.35610000000000003</v>
      </c>
      <c r="Q1578">
        <v>6.1699999999999998E-2</v>
      </c>
      <c r="R1578">
        <v>9.820000000000001E-2</v>
      </c>
      <c r="S1578">
        <v>0.20430000000000001</v>
      </c>
      <c r="T1578">
        <v>0.20430000000000001</v>
      </c>
      <c r="U1578">
        <v>5</v>
      </c>
      <c r="V1578">
        <v>0</v>
      </c>
      <c r="W1578">
        <v>0.2</v>
      </c>
      <c r="X1578">
        <v>1</v>
      </c>
      <c r="Y1578">
        <v>0.496</v>
      </c>
      <c r="Z1578">
        <v>1</v>
      </c>
    </row>
    <row r="1579" spans="1:26" x14ac:dyDescent="0.2">
      <c r="A1579" t="s">
        <v>136</v>
      </c>
      <c r="B1579">
        <v>2023</v>
      </c>
      <c r="C1579" t="str">
        <f t="shared" si="24"/>
        <v>SDN2023</v>
      </c>
      <c r="D1579">
        <v>80768230612.8423</v>
      </c>
      <c r="E1579">
        <v>0.17686975496756049</v>
      </c>
      <c r="F1579">
        <v>0.88329175578357022</v>
      </c>
      <c r="G1579">
        <v>25.3787319783073</v>
      </c>
      <c r="H1579">
        <v>1.1653917031868679</v>
      </c>
      <c r="I1579">
        <v>0.1145559999690058</v>
      </c>
      <c r="J1579">
        <v>-6.5861390927398622E-3</v>
      </c>
      <c r="K1579">
        <v>9.7582750410227237E-2</v>
      </c>
      <c r="L1579">
        <v>1.3991838703703401E-2</v>
      </c>
      <c r="M1579">
        <v>23</v>
      </c>
      <c r="N1579">
        <v>0</v>
      </c>
      <c r="O1579">
        <v>0</v>
      </c>
      <c r="P1579">
        <v>0.35610000000000003</v>
      </c>
      <c r="Q1579">
        <v>6.1699999999999998E-2</v>
      </c>
      <c r="R1579">
        <v>9.820000000000001E-2</v>
      </c>
      <c r="S1579">
        <v>0.20430000000000001</v>
      </c>
      <c r="T1579">
        <v>0.20430000000000001</v>
      </c>
      <c r="U1579">
        <v>5</v>
      </c>
      <c r="V1579">
        <v>0</v>
      </c>
      <c r="W1579">
        <v>0.2</v>
      </c>
      <c r="X1579">
        <v>1</v>
      </c>
      <c r="Y1579">
        <v>0.496</v>
      </c>
      <c r="Z1579">
        <v>1</v>
      </c>
    </row>
    <row r="1580" spans="1:26" x14ac:dyDescent="0.2">
      <c r="A1580" t="s">
        <v>137</v>
      </c>
      <c r="B1580">
        <v>2012</v>
      </c>
      <c r="C1580" t="str">
        <f t="shared" si="24"/>
        <v>SFG2012</v>
      </c>
      <c r="D1580">
        <v>2.231266897392964E-14</v>
      </c>
      <c r="E1580">
        <v>0.18621879824755369</v>
      </c>
      <c r="F1580">
        <v>1.0997945556985611</v>
      </c>
      <c r="G1580">
        <v>28.38428338563379</v>
      </c>
      <c r="H1580" t="e">
        <v>#N/A</v>
      </c>
      <c r="I1580">
        <v>0.74551297198452937</v>
      </c>
      <c r="J1580">
        <v>0</v>
      </c>
      <c r="K1580">
        <v>-7.3775920620954227E-2</v>
      </c>
      <c r="L1580">
        <v>5.2641432037890193E-2</v>
      </c>
      <c r="M1580">
        <v>2</v>
      </c>
      <c r="N1580">
        <v>0</v>
      </c>
      <c r="O1580">
        <v>0</v>
      </c>
      <c r="P1580">
        <v>0.65049999999999997</v>
      </c>
      <c r="Q1580">
        <v>1.1599999999999999E-2</v>
      </c>
      <c r="R1580">
        <v>0</v>
      </c>
      <c r="S1580">
        <v>0.65049999999999997</v>
      </c>
      <c r="T1580">
        <v>0.65049999999999997</v>
      </c>
      <c r="U1580">
        <v>6</v>
      </c>
      <c r="V1580">
        <v>0</v>
      </c>
      <c r="W1580">
        <v>0</v>
      </c>
      <c r="X1580">
        <v>0</v>
      </c>
      <c r="Y1580">
        <v>0.48730000000000001</v>
      </c>
      <c r="Z1580">
        <v>1</v>
      </c>
    </row>
    <row r="1581" spans="1:26" x14ac:dyDescent="0.2">
      <c r="A1581" t="s">
        <v>137</v>
      </c>
      <c r="B1581">
        <v>2013</v>
      </c>
      <c r="C1581" t="str">
        <f t="shared" si="24"/>
        <v>SFG2013</v>
      </c>
      <c r="D1581">
        <v>2.8600841043763762E-14</v>
      </c>
      <c r="E1581">
        <v>0.20106904631521741</v>
      </c>
      <c r="F1581">
        <v>1.0154249668102211</v>
      </c>
      <c r="G1581">
        <v>28.338327317604531</v>
      </c>
      <c r="H1581">
        <v>0.96350212998718399</v>
      </c>
      <c r="I1581">
        <v>0.71145552252249022</v>
      </c>
      <c r="J1581">
        <v>-4.5000569339883063E-2</v>
      </c>
      <c r="K1581">
        <v>0.13140734180822419</v>
      </c>
      <c r="L1581">
        <v>4.3688281090423303E-2</v>
      </c>
      <c r="M1581">
        <v>3</v>
      </c>
      <c r="N1581">
        <v>0</v>
      </c>
      <c r="O1581">
        <v>0</v>
      </c>
      <c r="P1581">
        <v>0.65049999999999997</v>
      </c>
      <c r="Q1581">
        <v>1.1599999999999999E-2</v>
      </c>
      <c r="R1581">
        <v>0</v>
      </c>
      <c r="S1581">
        <v>0.65049999999999997</v>
      </c>
      <c r="T1581">
        <v>0.65049999999999997</v>
      </c>
      <c r="U1581">
        <v>6</v>
      </c>
      <c r="V1581">
        <v>0</v>
      </c>
      <c r="W1581">
        <v>0</v>
      </c>
      <c r="X1581">
        <v>0</v>
      </c>
      <c r="Y1581">
        <v>0.48730000000000001</v>
      </c>
      <c r="Z1581">
        <v>1</v>
      </c>
    </row>
    <row r="1582" spans="1:26" x14ac:dyDescent="0.2">
      <c r="A1582" t="s">
        <v>137</v>
      </c>
      <c r="B1582">
        <v>2014</v>
      </c>
      <c r="C1582" t="str">
        <f t="shared" si="24"/>
        <v>SFG2014</v>
      </c>
      <c r="D1582">
        <v>4.0493412858398089E-14</v>
      </c>
      <c r="E1582">
        <v>0.17063837018562669</v>
      </c>
      <c r="F1582">
        <v>1.1109035916147081</v>
      </c>
      <c r="G1582">
        <v>28.087507833775732</v>
      </c>
      <c r="H1582">
        <v>1.0079658499844399</v>
      </c>
      <c r="I1582">
        <v>0.62540899055416199</v>
      </c>
      <c r="J1582">
        <v>-0.22268070309795829</v>
      </c>
      <c r="K1582">
        <v>0.19288056884226271</v>
      </c>
      <c r="L1582">
        <v>4.654394387649205E-2</v>
      </c>
      <c r="M1582">
        <v>4</v>
      </c>
      <c r="N1582">
        <v>0</v>
      </c>
      <c r="O1582">
        <v>0</v>
      </c>
      <c r="P1582">
        <v>0.65049999999999997</v>
      </c>
      <c r="Q1582">
        <v>1.1599999999999999E-2</v>
      </c>
      <c r="R1582">
        <v>0</v>
      </c>
      <c r="S1582">
        <v>0.65049999999999997</v>
      </c>
      <c r="T1582">
        <v>0.65049999999999997</v>
      </c>
      <c r="U1582">
        <v>6</v>
      </c>
      <c r="V1582">
        <v>0</v>
      </c>
      <c r="W1582">
        <v>0</v>
      </c>
      <c r="X1582">
        <v>0</v>
      </c>
      <c r="Y1582">
        <v>0.48730000000000001</v>
      </c>
      <c r="Z1582">
        <v>1</v>
      </c>
    </row>
    <row r="1583" spans="1:26" x14ac:dyDescent="0.2">
      <c r="A1583" t="s">
        <v>137</v>
      </c>
      <c r="B1583">
        <v>2015</v>
      </c>
      <c r="C1583" t="str">
        <f t="shared" si="24"/>
        <v>SFG2015</v>
      </c>
      <c r="D1583">
        <v>4.7105200222884489E-14</v>
      </c>
      <c r="E1583">
        <v>0.1485473000629966</v>
      </c>
      <c r="F1583">
        <v>1.0256817846567889</v>
      </c>
      <c r="G1583">
        <v>27.932270980263119</v>
      </c>
      <c r="H1583">
        <v>1.0386391552506089</v>
      </c>
      <c r="I1583">
        <v>0.5714166992742632</v>
      </c>
      <c r="J1583">
        <v>-0.14378764343905201</v>
      </c>
      <c r="K1583">
        <v>1.6749347125952552E-2</v>
      </c>
      <c r="L1583">
        <v>4.8545199375820428E-2</v>
      </c>
      <c r="M1583">
        <v>5</v>
      </c>
      <c r="N1583">
        <v>0</v>
      </c>
      <c r="O1583">
        <v>0</v>
      </c>
      <c r="P1583">
        <v>0.65049999999999997</v>
      </c>
      <c r="Q1583">
        <v>8.0000000000000002E-3</v>
      </c>
      <c r="R1583">
        <v>0</v>
      </c>
      <c r="S1583">
        <v>0.65049999999999997</v>
      </c>
      <c r="T1583">
        <v>0.65049999999999997</v>
      </c>
      <c r="U1583">
        <v>5</v>
      </c>
      <c r="V1583">
        <v>0</v>
      </c>
      <c r="W1583">
        <v>0</v>
      </c>
      <c r="X1583">
        <v>0</v>
      </c>
      <c r="Y1583">
        <v>0.46820000000000001</v>
      </c>
      <c r="Z1583">
        <v>1</v>
      </c>
    </row>
    <row r="1584" spans="1:26" x14ac:dyDescent="0.2">
      <c r="A1584" t="s">
        <v>137</v>
      </c>
      <c r="B1584">
        <v>2016</v>
      </c>
      <c r="C1584" t="str">
        <f t="shared" si="24"/>
        <v>SFG2016</v>
      </c>
      <c r="D1584">
        <v>6.7041880761042489E-14</v>
      </c>
      <c r="E1584">
        <v>0.16113141651392829</v>
      </c>
      <c r="F1584">
        <v>0.99500981933314725</v>
      </c>
      <c r="G1584">
        <v>27.785086366457399</v>
      </c>
      <c r="H1584">
        <v>1.4944313369307689</v>
      </c>
      <c r="I1584">
        <v>0.51462695708659401</v>
      </c>
      <c r="J1584">
        <v>-0.13595158570286409</v>
      </c>
      <c r="K1584">
        <v>0.19503717933210249</v>
      </c>
      <c r="L1584">
        <v>4.5831348923312858E-2</v>
      </c>
      <c r="M1584">
        <v>6</v>
      </c>
      <c r="N1584">
        <v>0</v>
      </c>
      <c r="O1584">
        <v>0</v>
      </c>
      <c r="P1584">
        <v>0.65049999999999997</v>
      </c>
      <c r="Q1584">
        <v>1.2699999999999999E-2</v>
      </c>
      <c r="R1584">
        <v>0</v>
      </c>
      <c r="S1584">
        <v>0.65049999999999997</v>
      </c>
      <c r="T1584">
        <v>0.65049999999999997</v>
      </c>
      <c r="U1584">
        <v>5</v>
      </c>
      <c r="V1584">
        <v>0</v>
      </c>
      <c r="W1584">
        <v>0</v>
      </c>
      <c r="X1584">
        <v>0</v>
      </c>
      <c r="Y1584">
        <v>0.48089999999999999</v>
      </c>
      <c r="Z1584">
        <v>1</v>
      </c>
    </row>
    <row r="1585" spans="1:26" x14ac:dyDescent="0.2">
      <c r="A1585" t="s">
        <v>137</v>
      </c>
      <c r="B1585">
        <v>2017</v>
      </c>
      <c r="C1585" t="str">
        <f t="shared" si="24"/>
        <v>SFG2017</v>
      </c>
      <c r="D1585">
        <v>6.000342260752849E-14</v>
      </c>
      <c r="E1585">
        <v>0.1561407033505896</v>
      </c>
      <c r="F1585">
        <v>0.98857122994180369</v>
      </c>
      <c r="G1585">
        <v>27.84446325594639</v>
      </c>
      <c r="H1585">
        <v>1.61952688136766</v>
      </c>
      <c r="I1585">
        <v>0.52427427615109601</v>
      </c>
      <c r="J1585">
        <v>6.0052836212393101E-2</v>
      </c>
      <c r="K1585">
        <v>9.9998591321507277E-2</v>
      </c>
      <c r="L1585">
        <v>6.2215206193335912E-2</v>
      </c>
      <c r="M1585">
        <v>7</v>
      </c>
      <c r="N1585">
        <v>0</v>
      </c>
      <c r="O1585">
        <v>0</v>
      </c>
      <c r="P1585">
        <v>0.65049999999999997</v>
      </c>
      <c r="Q1585">
        <v>1.21E-2</v>
      </c>
      <c r="R1585">
        <v>0</v>
      </c>
      <c r="S1585">
        <v>0.65049999999999997</v>
      </c>
      <c r="T1585">
        <v>0.65049999999999997</v>
      </c>
      <c r="U1585">
        <v>5</v>
      </c>
      <c r="V1585">
        <v>0</v>
      </c>
      <c r="W1585">
        <v>0</v>
      </c>
      <c r="X1585">
        <v>0</v>
      </c>
      <c r="Y1585">
        <v>0.45800000000000002</v>
      </c>
      <c r="Z1585">
        <v>1</v>
      </c>
    </row>
    <row r="1586" spans="1:26" x14ac:dyDescent="0.2">
      <c r="A1586" t="s">
        <v>137</v>
      </c>
      <c r="B1586">
        <v>2018</v>
      </c>
      <c r="C1586" t="str">
        <f t="shared" si="24"/>
        <v>SFG2018</v>
      </c>
      <c r="D1586">
        <v>4.4670125595769563E-14</v>
      </c>
      <c r="E1586">
        <v>0.1186453994748007</v>
      </c>
      <c r="F1586">
        <v>1.053052722675367</v>
      </c>
      <c r="G1586">
        <v>27.847699649704779</v>
      </c>
      <c r="H1586">
        <v>1.567152934483049</v>
      </c>
      <c r="I1586">
        <v>0.53240639581580418</v>
      </c>
      <c r="J1586">
        <v>5.7137128838691256E-3</v>
      </c>
      <c r="K1586">
        <v>-7.5469877943408648E-2</v>
      </c>
      <c r="L1586">
        <v>7.1513682814491081E-2</v>
      </c>
      <c r="M1586">
        <v>8</v>
      </c>
      <c r="N1586">
        <v>0</v>
      </c>
      <c r="O1586">
        <v>0</v>
      </c>
      <c r="P1586">
        <v>0.65049999999999997</v>
      </c>
      <c r="Q1586">
        <v>1.34E-2</v>
      </c>
      <c r="R1586">
        <v>0</v>
      </c>
      <c r="S1586">
        <v>0.65049999999999997</v>
      </c>
      <c r="T1586">
        <v>0.65049999999999997</v>
      </c>
      <c r="U1586">
        <v>5</v>
      </c>
      <c r="V1586">
        <v>0</v>
      </c>
      <c r="W1586">
        <v>0</v>
      </c>
      <c r="X1586">
        <v>0</v>
      </c>
      <c r="Y1586">
        <v>0.47089999999999999</v>
      </c>
      <c r="Z1586">
        <v>1</v>
      </c>
    </row>
    <row r="1587" spans="1:26" x14ac:dyDescent="0.2">
      <c r="A1587" t="s">
        <v>137</v>
      </c>
      <c r="B1587">
        <v>2019</v>
      </c>
      <c r="C1587" t="str">
        <f t="shared" si="24"/>
        <v>SFG2019</v>
      </c>
      <c r="D1587">
        <v>1.3034119308454639E-15</v>
      </c>
      <c r="E1587">
        <v>2.765393290826079E-3</v>
      </c>
      <c r="F1587">
        <v>0.75613797509557379</v>
      </c>
      <c r="G1587">
        <v>27.714282741995181</v>
      </c>
      <c r="H1587">
        <v>1.510565330236866</v>
      </c>
      <c r="I1587">
        <v>0.48774659732652609</v>
      </c>
      <c r="J1587">
        <v>-0.12705084408866671</v>
      </c>
      <c r="K1587">
        <v>0.2193595765479314</v>
      </c>
      <c r="L1587">
        <v>9.1666229566944993E-2</v>
      </c>
      <c r="M1587">
        <v>9</v>
      </c>
      <c r="N1587">
        <v>0</v>
      </c>
      <c r="O1587">
        <v>1</v>
      </c>
      <c r="P1587">
        <v>0.65049999999999997</v>
      </c>
      <c r="Q1587">
        <v>8.8000000000000005E-3</v>
      </c>
      <c r="R1587">
        <v>0</v>
      </c>
      <c r="S1587">
        <v>0.65049999999999997</v>
      </c>
      <c r="T1587">
        <v>0.65049999999999997</v>
      </c>
      <c r="U1587">
        <v>5</v>
      </c>
      <c r="V1587">
        <v>0</v>
      </c>
      <c r="W1587">
        <v>0</v>
      </c>
      <c r="X1587">
        <v>0</v>
      </c>
      <c r="Y1587">
        <v>0.48699999999999999</v>
      </c>
      <c r="Z1587">
        <v>1</v>
      </c>
    </row>
    <row r="1588" spans="1:26" x14ac:dyDescent="0.2">
      <c r="A1588" t="s">
        <v>137</v>
      </c>
      <c r="B1588">
        <v>2020</v>
      </c>
      <c r="C1588" t="str">
        <f t="shared" si="24"/>
        <v>SFG2020</v>
      </c>
      <c r="D1588">
        <v>2.717020213246963E-15</v>
      </c>
      <c r="E1588">
        <v>5.4087504272017136E-3</v>
      </c>
      <c r="F1588">
        <v>0.80757732906599577</v>
      </c>
      <c r="G1588">
        <v>27.6848321821196</v>
      </c>
      <c r="H1588">
        <v>1.5687523604782661</v>
      </c>
      <c r="I1588">
        <v>0.46989026960621461</v>
      </c>
      <c r="J1588">
        <v>-2.9021118228761741E-2</v>
      </c>
      <c r="K1588">
        <v>4.6318042278435473E-2</v>
      </c>
      <c r="L1588">
        <v>8.627382284898516E-2</v>
      </c>
      <c r="M1588">
        <v>10</v>
      </c>
      <c r="N1588">
        <v>0</v>
      </c>
      <c r="O1588">
        <v>1</v>
      </c>
      <c r="P1588">
        <v>0.65049999999999997</v>
      </c>
      <c r="Q1588">
        <v>8.5000000000000006E-3</v>
      </c>
      <c r="R1588">
        <v>0</v>
      </c>
      <c r="S1588">
        <v>0.65049999999999997</v>
      </c>
      <c r="T1588">
        <v>0.65049999999999997</v>
      </c>
      <c r="U1588">
        <v>5</v>
      </c>
      <c r="V1588">
        <v>0</v>
      </c>
      <c r="W1588">
        <v>0</v>
      </c>
      <c r="X1588">
        <v>0</v>
      </c>
      <c r="Y1588">
        <v>0.4889</v>
      </c>
      <c r="Z1588">
        <v>1</v>
      </c>
    </row>
    <row r="1589" spans="1:26" x14ac:dyDescent="0.2">
      <c r="A1589" t="s">
        <v>137</v>
      </c>
      <c r="B1589">
        <v>2021</v>
      </c>
      <c r="C1589" t="str">
        <f t="shared" si="24"/>
        <v>SFG2021</v>
      </c>
      <c r="D1589">
        <v>1.7933520742585179E-14</v>
      </c>
      <c r="E1589">
        <v>6.2699688387562347E-2</v>
      </c>
      <c r="F1589">
        <v>1.2150685676467701</v>
      </c>
      <c r="G1589">
        <v>27.987648741641991</v>
      </c>
      <c r="H1589">
        <v>1.6377272253988471</v>
      </c>
      <c r="I1589">
        <v>0.59141578254195437</v>
      </c>
      <c r="J1589">
        <v>0.35366612450478818</v>
      </c>
      <c r="K1589">
        <v>7.9726787875857019E-3</v>
      </c>
      <c r="L1589">
        <v>5.6694689743032871E-2</v>
      </c>
      <c r="M1589">
        <v>11</v>
      </c>
      <c r="N1589">
        <v>0</v>
      </c>
      <c r="O1589">
        <v>0</v>
      </c>
      <c r="P1589">
        <v>0.65510000000000002</v>
      </c>
      <c r="Q1589">
        <v>2.2000000000000001E-3</v>
      </c>
      <c r="R1589">
        <v>0</v>
      </c>
      <c r="S1589">
        <v>0.65510000000000002</v>
      </c>
      <c r="T1589">
        <v>0.65510000000000002</v>
      </c>
      <c r="U1589">
        <v>6</v>
      </c>
      <c r="V1589">
        <v>0</v>
      </c>
      <c r="W1589">
        <v>0</v>
      </c>
      <c r="X1589">
        <v>0</v>
      </c>
      <c r="Y1589">
        <v>0.50580000000000003</v>
      </c>
      <c r="Z1589">
        <v>1</v>
      </c>
    </row>
    <row r="1590" spans="1:26" x14ac:dyDescent="0.2">
      <c r="A1590" t="s">
        <v>137</v>
      </c>
      <c r="B1590">
        <v>2022</v>
      </c>
      <c r="C1590" t="str">
        <f t="shared" si="24"/>
        <v>SFG2022</v>
      </c>
      <c r="D1590">
        <v>3.8404373462485111E-14</v>
      </c>
      <c r="E1590">
        <v>7.320526803221182E-2</v>
      </c>
      <c r="F1590">
        <v>0.85125945370034639</v>
      </c>
      <c r="G1590">
        <v>27.71060730608643</v>
      </c>
      <c r="H1590">
        <v>1.4061438619902791</v>
      </c>
      <c r="I1590">
        <v>0.43192955809511357</v>
      </c>
      <c r="J1590">
        <v>-0.24197691264797691</v>
      </c>
      <c r="K1590">
        <v>0.21630766526585821</v>
      </c>
      <c r="L1590">
        <v>6.824359103953595E-2</v>
      </c>
      <c r="M1590">
        <v>12</v>
      </c>
      <c r="N1590">
        <v>0</v>
      </c>
      <c r="O1590">
        <v>0</v>
      </c>
      <c r="P1590">
        <v>0.7006</v>
      </c>
      <c r="Q1590">
        <v>1.4E-3</v>
      </c>
      <c r="R1590">
        <v>0</v>
      </c>
      <c r="S1590">
        <v>0.65049999999999997</v>
      </c>
      <c r="T1590">
        <v>0.65049999999999997</v>
      </c>
      <c r="U1590">
        <v>5</v>
      </c>
      <c r="V1590">
        <v>0</v>
      </c>
      <c r="W1590">
        <v>0</v>
      </c>
      <c r="X1590">
        <v>0</v>
      </c>
      <c r="Y1590">
        <v>0.49700000000000011</v>
      </c>
      <c r="Z1590">
        <v>1</v>
      </c>
    </row>
    <row r="1591" spans="1:26" x14ac:dyDescent="0.2">
      <c r="A1591" t="s">
        <v>137</v>
      </c>
      <c r="B1591">
        <v>2023</v>
      </c>
      <c r="C1591" t="str">
        <f t="shared" si="24"/>
        <v>SFG2023</v>
      </c>
      <c r="D1591">
        <v>381905075346.33868</v>
      </c>
      <c r="E1591">
        <v>7.4773839167159864E-2</v>
      </c>
      <c r="F1591">
        <v>0.69432127977293612</v>
      </c>
      <c r="G1591">
        <v>27.849310139119719</v>
      </c>
      <c r="H1591">
        <v>1.860123192763341</v>
      </c>
      <c r="I1591">
        <v>0.389119337790789</v>
      </c>
      <c r="J1591">
        <v>0.14878266901394491</v>
      </c>
      <c r="K1591">
        <v>0.17299046438063509</v>
      </c>
      <c r="L1591">
        <v>5.4747875483891588E-2</v>
      </c>
      <c r="M1591">
        <v>13</v>
      </c>
      <c r="N1591">
        <v>0</v>
      </c>
      <c r="O1591">
        <v>0</v>
      </c>
      <c r="P1591">
        <v>0.7006</v>
      </c>
      <c r="Q1591">
        <v>1.4E-3</v>
      </c>
      <c r="R1591">
        <v>0</v>
      </c>
      <c r="S1591">
        <v>0.65049999999999997</v>
      </c>
      <c r="T1591">
        <v>0.65049999999999997</v>
      </c>
      <c r="U1591">
        <v>5</v>
      </c>
      <c r="V1591">
        <v>0</v>
      </c>
      <c r="W1591">
        <v>0</v>
      </c>
      <c r="X1591">
        <v>0</v>
      </c>
      <c r="Y1591">
        <v>0.49700000000000011</v>
      </c>
      <c r="Z1591">
        <v>1</v>
      </c>
    </row>
    <row r="1592" spans="1:26" x14ac:dyDescent="0.2">
      <c r="A1592" t="s">
        <v>138</v>
      </c>
      <c r="B1592">
        <v>2012</v>
      </c>
      <c r="C1592" t="str">
        <f t="shared" si="24"/>
        <v>SFN2012</v>
      </c>
      <c r="D1592">
        <v>1.6438539044632771E-12</v>
      </c>
      <c r="E1592">
        <v>0.15836259954027171</v>
      </c>
      <c r="F1592">
        <v>0.72621706981468748</v>
      </c>
      <c r="G1592">
        <v>24.913782603141399</v>
      </c>
      <c r="H1592">
        <v>1.745746757360213</v>
      </c>
      <c r="I1592">
        <v>0.31430828307832609</v>
      </c>
      <c r="J1592">
        <v>-7.0620144091213977E-2</v>
      </c>
      <c r="K1592">
        <v>0.27373878536168439</v>
      </c>
      <c r="L1592">
        <v>0.41846903331320778</v>
      </c>
      <c r="M1592">
        <v>12</v>
      </c>
      <c r="N1592">
        <v>0</v>
      </c>
      <c r="O1592">
        <v>0</v>
      </c>
      <c r="P1592">
        <v>0.47749999999999998</v>
      </c>
      <c r="Q1592">
        <v>9.98E-2</v>
      </c>
      <c r="R1592">
        <v>0</v>
      </c>
      <c r="S1592">
        <v>0.4</v>
      </c>
      <c r="T1592">
        <v>0.4</v>
      </c>
      <c r="U1592">
        <v>5</v>
      </c>
      <c r="V1592">
        <v>0</v>
      </c>
      <c r="W1592">
        <v>0.6</v>
      </c>
      <c r="X1592">
        <v>1</v>
      </c>
      <c r="Y1592">
        <v>0.53890000000000005</v>
      </c>
      <c r="Z1592">
        <v>1</v>
      </c>
    </row>
    <row r="1593" spans="1:26" x14ac:dyDescent="0.2">
      <c r="A1593" t="s">
        <v>138</v>
      </c>
      <c r="B1593">
        <v>2013</v>
      </c>
      <c r="C1593" t="str">
        <f t="shared" si="24"/>
        <v>SFN2013</v>
      </c>
      <c r="D1593">
        <v>1.484194403619922E-12</v>
      </c>
      <c r="E1593">
        <v>0.15921581428166329</v>
      </c>
      <c r="F1593">
        <v>0.90652597007015945</v>
      </c>
      <c r="G1593">
        <v>24.97968432388301</v>
      </c>
      <c r="H1593">
        <v>1.9309652761141829</v>
      </c>
      <c r="I1593">
        <v>0.34227606118911957</v>
      </c>
      <c r="J1593">
        <v>6.8121737795167947E-2</v>
      </c>
      <c r="K1593">
        <v>-3.284760545630283E-3</v>
      </c>
      <c r="L1593">
        <v>0.44870827289480708</v>
      </c>
      <c r="M1593">
        <v>13</v>
      </c>
      <c r="N1593">
        <v>0</v>
      </c>
      <c r="O1593">
        <v>0</v>
      </c>
      <c r="P1593">
        <v>0.47749999999999998</v>
      </c>
      <c r="Q1593">
        <v>9.98E-2</v>
      </c>
      <c r="R1593">
        <v>0</v>
      </c>
      <c r="S1593">
        <v>0.4</v>
      </c>
      <c r="T1593">
        <v>0.4</v>
      </c>
      <c r="U1593">
        <v>5</v>
      </c>
      <c r="V1593">
        <v>0</v>
      </c>
      <c r="W1593">
        <v>0.6</v>
      </c>
      <c r="X1593">
        <v>1</v>
      </c>
      <c r="Y1593">
        <v>0.54890000000000005</v>
      </c>
      <c r="Z1593">
        <v>1</v>
      </c>
    </row>
    <row r="1594" spans="1:26" x14ac:dyDescent="0.2">
      <c r="A1594" t="s">
        <v>138</v>
      </c>
      <c r="B1594">
        <v>2014</v>
      </c>
      <c r="C1594" t="str">
        <f t="shared" si="24"/>
        <v>SFN2014</v>
      </c>
      <c r="D1594">
        <v>2.311292105515713E-12</v>
      </c>
      <c r="E1594">
        <v>0.1829298816766336</v>
      </c>
      <c r="F1594">
        <v>0.94675108855763568</v>
      </c>
      <c r="G1594">
        <v>24.844113039856239</v>
      </c>
      <c r="H1594">
        <v>1.81690558680687</v>
      </c>
      <c r="I1594">
        <v>0.22154881615749941</v>
      </c>
      <c r="J1594">
        <v>-0.12678308570806041</v>
      </c>
      <c r="K1594">
        <v>0.45418089212873908</v>
      </c>
      <c r="L1594">
        <v>0.38657435999796008</v>
      </c>
      <c r="M1594">
        <v>14</v>
      </c>
      <c r="N1594">
        <v>0</v>
      </c>
      <c r="O1594">
        <v>0</v>
      </c>
      <c r="P1594">
        <v>0.47749999999999998</v>
      </c>
      <c r="Q1594">
        <v>9.2300000000000007E-2</v>
      </c>
      <c r="R1594">
        <v>0</v>
      </c>
      <c r="S1594">
        <v>0.4</v>
      </c>
      <c r="T1594">
        <v>0.4</v>
      </c>
      <c r="U1594">
        <v>5</v>
      </c>
      <c r="V1594">
        <v>0</v>
      </c>
      <c r="W1594">
        <v>0.4</v>
      </c>
      <c r="X1594">
        <v>1</v>
      </c>
      <c r="Y1594">
        <v>0.5363</v>
      </c>
      <c r="Z1594">
        <v>1</v>
      </c>
    </row>
    <row r="1595" spans="1:26" x14ac:dyDescent="0.2">
      <c r="A1595" t="s">
        <v>138</v>
      </c>
      <c r="B1595">
        <v>2015</v>
      </c>
      <c r="C1595" t="str">
        <f t="shared" si="24"/>
        <v>SFN2015</v>
      </c>
      <c r="D1595">
        <v>3.2510804598346389E-12</v>
      </c>
      <c r="E1595">
        <v>0.19470566368223399</v>
      </c>
      <c r="F1595">
        <v>0.93917205730275322</v>
      </c>
      <c r="G1595">
        <v>24.734481919131671</v>
      </c>
      <c r="H1595">
        <v>2.765875350950723</v>
      </c>
      <c r="I1595">
        <v>7.8069583801635464E-2</v>
      </c>
      <c r="J1595">
        <v>-0.1038353491003071</v>
      </c>
      <c r="K1595">
        <v>0.54743773315501865</v>
      </c>
      <c r="L1595">
        <v>0.35615641905471779</v>
      </c>
      <c r="M1595">
        <v>15</v>
      </c>
      <c r="N1595">
        <v>0</v>
      </c>
      <c r="O1595">
        <v>0</v>
      </c>
      <c r="P1595">
        <v>0.47749999999999998</v>
      </c>
      <c r="Q1595">
        <v>9.74E-2</v>
      </c>
      <c r="R1595">
        <v>0</v>
      </c>
      <c r="S1595">
        <v>0.4</v>
      </c>
      <c r="T1595">
        <v>0.4</v>
      </c>
      <c r="U1595">
        <v>5</v>
      </c>
      <c r="V1595">
        <v>0</v>
      </c>
      <c r="W1595">
        <v>0.4</v>
      </c>
      <c r="X1595">
        <v>1</v>
      </c>
      <c r="Y1595">
        <v>0.54630000000000001</v>
      </c>
      <c r="Z1595">
        <v>1</v>
      </c>
    </row>
    <row r="1596" spans="1:26" x14ac:dyDescent="0.2">
      <c r="A1596" t="s">
        <v>138</v>
      </c>
      <c r="B1596">
        <v>2016</v>
      </c>
      <c r="C1596" t="str">
        <f t="shared" si="24"/>
        <v>SFN2016</v>
      </c>
      <c r="D1596">
        <v>3.6425142913998731E-12</v>
      </c>
      <c r="E1596">
        <v>0.2160522490914164</v>
      </c>
      <c r="F1596">
        <v>1.6329810077103479</v>
      </c>
      <c r="G1596">
        <v>24.729314100930129</v>
      </c>
      <c r="H1596">
        <v>8.2377680954689243</v>
      </c>
      <c r="I1596">
        <v>7.3922936426420963E-2</v>
      </c>
      <c r="J1596">
        <v>-5.1544880016285433E-3</v>
      </c>
      <c r="K1596">
        <v>0.27828552475449381</v>
      </c>
      <c r="L1596">
        <v>0.30855242592761051</v>
      </c>
      <c r="M1596">
        <v>16</v>
      </c>
      <c r="N1596">
        <v>0</v>
      </c>
      <c r="O1596">
        <v>0</v>
      </c>
      <c r="P1596">
        <v>0.47749999999999998</v>
      </c>
      <c r="Q1596">
        <v>9.74E-2</v>
      </c>
      <c r="R1596">
        <v>0</v>
      </c>
      <c r="S1596">
        <v>0.4</v>
      </c>
      <c r="T1596">
        <v>0.4</v>
      </c>
      <c r="U1596">
        <v>5</v>
      </c>
      <c r="V1596">
        <v>0</v>
      </c>
      <c r="W1596">
        <v>0.6</v>
      </c>
      <c r="X1596">
        <v>1</v>
      </c>
      <c r="Y1596">
        <v>0.52670000000000006</v>
      </c>
      <c r="Z1596">
        <v>1</v>
      </c>
    </row>
    <row r="1597" spans="1:26" x14ac:dyDescent="0.2">
      <c r="A1597" t="s">
        <v>138</v>
      </c>
      <c r="B1597">
        <v>2017</v>
      </c>
      <c r="C1597" t="str">
        <f t="shared" si="24"/>
        <v>SFN2017</v>
      </c>
      <c r="D1597">
        <v>3.2003898152913498E-12</v>
      </c>
      <c r="E1597">
        <v>0.19798468406005401</v>
      </c>
      <c r="F1597">
        <v>1.776322889580807</v>
      </c>
      <c r="G1597">
        <v>24.779846198560332</v>
      </c>
      <c r="H1597">
        <v>9.3437760950393631</v>
      </c>
      <c r="I1597">
        <v>6.6054032614350347E-2</v>
      </c>
      <c r="J1597">
        <v>5.1830624083593291E-2</v>
      </c>
      <c r="K1597">
        <v>0.1534064386514899</v>
      </c>
      <c r="L1597">
        <v>0.27971006416463001</v>
      </c>
      <c r="M1597">
        <v>17</v>
      </c>
      <c r="N1597">
        <v>0</v>
      </c>
      <c r="O1597">
        <v>0</v>
      </c>
      <c r="P1597">
        <v>0.47749999999999998</v>
      </c>
      <c r="Q1597">
        <v>9.74E-2</v>
      </c>
      <c r="R1597">
        <v>0</v>
      </c>
      <c r="S1597">
        <v>0.4</v>
      </c>
      <c r="T1597">
        <v>0.4</v>
      </c>
      <c r="U1597">
        <v>5</v>
      </c>
      <c r="V1597">
        <v>0</v>
      </c>
      <c r="W1597">
        <v>0.6</v>
      </c>
      <c r="X1597">
        <v>1</v>
      </c>
      <c r="Y1597">
        <v>0.53670000000000007</v>
      </c>
      <c r="Z1597">
        <v>1</v>
      </c>
    </row>
    <row r="1598" spans="1:26" x14ac:dyDescent="0.2">
      <c r="A1598" t="s">
        <v>138</v>
      </c>
      <c r="B1598">
        <v>2018</v>
      </c>
      <c r="C1598" t="str">
        <f t="shared" si="24"/>
        <v>SFN2018</v>
      </c>
      <c r="D1598">
        <v>1.7268345274911279E-12</v>
      </c>
      <c r="E1598">
        <v>0.1068555588202706</v>
      </c>
      <c r="F1598">
        <v>1.683079242676935</v>
      </c>
      <c r="G1598">
        <v>24.767787745262449</v>
      </c>
      <c r="H1598">
        <v>10.89407539759093</v>
      </c>
      <c r="I1598">
        <v>7.7498352394686068E-2</v>
      </c>
      <c r="J1598">
        <v>-1.198604150024718E-2</v>
      </c>
      <c r="K1598">
        <v>-5.7800100472647942E-2</v>
      </c>
      <c r="L1598">
        <v>0.19839936925605539</v>
      </c>
      <c r="M1598">
        <v>18</v>
      </c>
      <c r="N1598">
        <v>0</v>
      </c>
      <c r="O1598">
        <v>0</v>
      </c>
      <c r="P1598">
        <v>0.50019999999999998</v>
      </c>
      <c r="Q1598">
        <v>9.74E-2</v>
      </c>
      <c r="R1598">
        <v>0</v>
      </c>
      <c r="S1598">
        <v>0.41899999999999998</v>
      </c>
      <c r="T1598">
        <v>0.41899999999999998</v>
      </c>
      <c r="U1598">
        <v>5</v>
      </c>
      <c r="V1598">
        <v>0</v>
      </c>
      <c r="W1598">
        <v>0.6</v>
      </c>
      <c r="X1598">
        <v>1</v>
      </c>
      <c r="Y1598">
        <v>0.54669999999999996</v>
      </c>
      <c r="Z1598">
        <v>1</v>
      </c>
    </row>
    <row r="1599" spans="1:26" x14ac:dyDescent="0.2">
      <c r="A1599" t="s">
        <v>138</v>
      </c>
      <c r="B1599">
        <v>2019</v>
      </c>
      <c r="C1599" t="str">
        <f t="shared" si="24"/>
        <v>SFN2019</v>
      </c>
      <c r="D1599">
        <v>1.774431040213925E-12</v>
      </c>
      <c r="E1599">
        <v>0.11092307150699419</v>
      </c>
      <c r="F1599">
        <v>1.717408161536673</v>
      </c>
      <c r="G1599">
        <v>24.771755171760571</v>
      </c>
      <c r="H1599">
        <v>10.334412060130511</v>
      </c>
      <c r="I1599">
        <v>8.3201662066578294E-2</v>
      </c>
      <c r="J1599">
        <v>3.9753071531563036E-3</v>
      </c>
      <c r="K1599">
        <v>0.36188569436349272</v>
      </c>
      <c r="L1599">
        <v>0.21243049135083891</v>
      </c>
      <c r="M1599">
        <v>19</v>
      </c>
      <c r="N1599">
        <v>0</v>
      </c>
      <c r="O1599">
        <v>1</v>
      </c>
      <c r="P1599">
        <v>0.47749999999999998</v>
      </c>
      <c r="Q1599">
        <v>9.74E-2</v>
      </c>
      <c r="R1599">
        <v>0</v>
      </c>
      <c r="S1599">
        <v>0.4</v>
      </c>
      <c r="T1599">
        <v>0.4</v>
      </c>
      <c r="U1599">
        <v>5</v>
      </c>
      <c r="V1599">
        <v>0</v>
      </c>
      <c r="W1599">
        <v>0.4</v>
      </c>
      <c r="X1599">
        <v>1</v>
      </c>
      <c r="Y1599">
        <v>0.54330000000000001</v>
      </c>
      <c r="Z1599">
        <v>1</v>
      </c>
    </row>
    <row r="1600" spans="1:26" x14ac:dyDescent="0.2">
      <c r="A1600" t="s">
        <v>138</v>
      </c>
      <c r="B1600">
        <v>2020</v>
      </c>
      <c r="C1600" t="str">
        <f t="shared" si="24"/>
        <v>SFN2020</v>
      </c>
      <c r="D1600">
        <v>3.4345530661415979E-12</v>
      </c>
      <c r="E1600">
        <v>0.2455257562432839</v>
      </c>
      <c r="F1600">
        <v>0.9268638278689092</v>
      </c>
      <c r="G1600">
        <v>24.915617756937131</v>
      </c>
      <c r="H1600">
        <v>9.4574019382369414</v>
      </c>
      <c r="I1600">
        <v>7.4261174204541966E-2</v>
      </c>
      <c r="J1600">
        <v>0.1547254212322928</v>
      </c>
      <c r="K1600">
        <v>0.18252385774195259</v>
      </c>
      <c r="L1600">
        <v>0.1168526805438426</v>
      </c>
      <c r="M1600">
        <v>20</v>
      </c>
      <c r="N1600">
        <v>0</v>
      </c>
      <c r="O1600">
        <v>1</v>
      </c>
      <c r="P1600">
        <v>0.47749999999999998</v>
      </c>
      <c r="Q1600">
        <v>9.4299999999999995E-2</v>
      </c>
      <c r="R1600">
        <v>0</v>
      </c>
      <c r="S1600">
        <v>0.4</v>
      </c>
      <c r="T1600">
        <v>0.4</v>
      </c>
      <c r="U1600">
        <v>5</v>
      </c>
      <c r="V1600">
        <v>0</v>
      </c>
      <c r="W1600">
        <v>0.4</v>
      </c>
      <c r="X1600">
        <v>0</v>
      </c>
      <c r="Y1600">
        <v>0.51300000000000001</v>
      </c>
      <c r="Z1600">
        <v>1</v>
      </c>
    </row>
    <row r="1601" spans="1:26" x14ac:dyDescent="0.2">
      <c r="A1601" t="s">
        <v>138</v>
      </c>
      <c r="B1601">
        <v>2021</v>
      </c>
      <c r="C1601" t="str">
        <f t="shared" si="24"/>
        <v>SFN2021</v>
      </c>
      <c r="D1601">
        <v>3.0240831093229248E-12</v>
      </c>
      <c r="E1601">
        <v>0.25367472124879992</v>
      </c>
      <c r="F1601">
        <v>1.0686535478442269</v>
      </c>
      <c r="G1601">
        <v>25.076298575557701</v>
      </c>
      <c r="H1601">
        <v>11.869473901800619</v>
      </c>
      <c r="I1601">
        <v>7.356569417698465E-2</v>
      </c>
      <c r="J1601">
        <v>0.17431009107531009</v>
      </c>
      <c r="K1601">
        <v>0.1468926053189635</v>
      </c>
      <c r="L1601">
        <v>6.568113215720664E-2</v>
      </c>
      <c r="M1601">
        <v>21</v>
      </c>
      <c r="N1601">
        <v>0</v>
      </c>
      <c r="O1601">
        <v>0</v>
      </c>
      <c r="P1601">
        <v>0.55279999999999996</v>
      </c>
      <c r="Q1601">
        <v>9.4299999999999995E-2</v>
      </c>
      <c r="R1601">
        <v>0</v>
      </c>
      <c r="S1601">
        <v>0.4</v>
      </c>
      <c r="T1601">
        <v>0.4</v>
      </c>
      <c r="U1601">
        <v>5</v>
      </c>
      <c r="V1601">
        <v>0</v>
      </c>
      <c r="W1601">
        <v>0.4</v>
      </c>
      <c r="X1601">
        <v>0</v>
      </c>
      <c r="Y1601">
        <v>0.52300000000000002</v>
      </c>
      <c r="Z1601">
        <v>1</v>
      </c>
    </row>
    <row r="1602" spans="1:26" x14ac:dyDescent="0.2">
      <c r="A1602" t="s">
        <v>138</v>
      </c>
      <c r="B1602">
        <v>2022</v>
      </c>
      <c r="C1602" t="str">
        <f t="shared" si="24"/>
        <v>SFN2022</v>
      </c>
      <c r="D1602">
        <v>1.466461279683106E-12</v>
      </c>
      <c r="E1602">
        <v>0.1194350361185143</v>
      </c>
      <c r="F1602">
        <v>0.91725639864812869</v>
      </c>
      <c r="G1602">
        <v>25.052612692493678</v>
      </c>
      <c r="H1602">
        <v>12.685091746189901</v>
      </c>
      <c r="I1602">
        <v>6.8140783837018437E-2</v>
      </c>
      <c r="J1602">
        <v>-2.3407574196472991E-2</v>
      </c>
      <c r="K1602">
        <v>9.2244401820643987E-2</v>
      </c>
      <c r="L1602">
        <v>8.9238366939763725E-2</v>
      </c>
      <c r="M1602">
        <v>22</v>
      </c>
      <c r="N1602">
        <v>0</v>
      </c>
      <c r="O1602">
        <v>0</v>
      </c>
      <c r="P1602">
        <v>0.55279999999999996</v>
      </c>
      <c r="Q1602">
        <v>9.4700000000000006E-2</v>
      </c>
      <c r="R1602">
        <v>0</v>
      </c>
      <c r="S1602">
        <v>0.4</v>
      </c>
      <c r="T1602">
        <v>0.4</v>
      </c>
      <c r="U1602">
        <v>5</v>
      </c>
      <c r="V1602">
        <v>0</v>
      </c>
      <c r="W1602">
        <v>0.4</v>
      </c>
      <c r="X1602">
        <v>0</v>
      </c>
      <c r="Y1602">
        <v>0.51549999999999996</v>
      </c>
      <c r="Z1602">
        <v>1</v>
      </c>
    </row>
    <row r="1603" spans="1:26" x14ac:dyDescent="0.2">
      <c r="A1603" t="s">
        <v>138</v>
      </c>
      <c r="B1603">
        <v>2023</v>
      </c>
      <c r="C1603" t="str">
        <f t="shared" ref="C1603:C1666" si="25">A1603&amp;B1603</f>
        <v>SFN2023</v>
      </c>
      <c r="D1603">
        <v>97216317740.168564</v>
      </c>
      <c r="E1603">
        <v>0.1194350361185143</v>
      </c>
      <c r="F1603">
        <v>0.91725639864812869</v>
      </c>
      <c r="G1603">
        <v>25.11803490565077</v>
      </c>
      <c r="H1603">
        <v>13.3537153866087</v>
      </c>
      <c r="I1603">
        <v>6.8140783837018437E-2</v>
      </c>
      <c r="J1603">
        <v>6.7609688096379683E-2</v>
      </c>
      <c r="K1603">
        <v>0.12367495916758529</v>
      </c>
      <c r="L1603">
        <v>8.9721967486904239E-2</v>
      </c>
      <c r="M1603">
        <v>23</v>
      </c>
      <c r="N1603">
        <v>0</v>
      </c>
      <c r="O1603">
        <v>0</v>
      </c>
      <c r="P1603">
        <v>0.55279999999999996</v>
      </c>
      <c r="Q1603">
        <v>9.4700000000000006E-2</v>
      </c>
      <c r="R1603">
        <v>0</v>
      </c>
      <c r="S1603">
        <v>0.4</v>
      </c>
      <c r="T1603">
        <v>0.4</v>
      </c>
      <c r="U1603">
        <v>5</v>
      </c>
      <c r="V1603">
        <v>0</v>
      </c>
      <c r="W1603">
        <v>0.4</v>
      </c>
      <c r="X1603">
        <v>0</v>
      </c>
      <c r="Y1603">
        <v>0.51549999999999996</v>
      </c>
      <c r="Z1603">
        <v>1</v>
      </c>
    </row>
    <row r="1604" spans="1:26" x14ac:dyDescent="0.2">
      <c r="A1604" t="s">
        <v>139</v>
      </c>
      <c r="B1604">
        <v>2012</v>
      </c>
      <c r="C1604" t="str">
        <f t="shared" si="25"/>
        <v>SGC2012</v>
      </c>
      <c r="D1604">
        <v>1.0401459901722501E-12</v>
      </c>
      <c r="E1604">
        <v>0.1560500486256213</v>
      </c>
      <c r="F1604">
        <v>1.144740403039576</v>
      </c>
      <c r="G1604">
        <v>25.57315271558106</v>
      </c>
      <c r="H1604">
        <v>5.7091067691408037</v>
      </c>
      <c r="I1604">
        <v>0.1486473345059815</v>
      </c>
      <c r="J1604">
        <v>-0.10230476488484549</v>
      </c>
      <c r="K1604">
        <v>0.28679671551251712</v>
      </c>
      <c r="L1604">
        <v>0.41097812342704121</v>
      </c>
      <c r="M1604">
        <v>8</v>
      </c>
      <c r="N1604">
        <v>0</v>
      </c>
      <c r="O1604">
        <v>0</v>
      </c>
      <c r="P1604">
        <v>0.6008</v>
      </c>
      <c r="Q1604">
        <v>2.6800000000000001E-2</v>
      </c>
      <c r="R1604">
        <v>0</v>
      </c>
      <c r="S1604">
        <v>0.49890000000000001</v>
      </c>
      <c r="T1604">
        <v>0.49890000000000001</v>
      </c>
      <c r="U1604">
        <v>4</v>
      </c>
      <c r="V1604">
        <v>1</v>
      </c>
      <c r="W1604">
        <v>0</v>
      </c>
      <c r="X1604">
        <v>1</v>
      </c>
      <c r="Y1604">
        <v>0.46750000000000003</v>
      </c>
      <c r="Z1604">
        <v>1</v>
      </c>
    </row>
    <row r="1605" spans="1:26" x14ac:dyDescent="0.2">
      <c r="A1605" t="s">
        <v>139</v>
      </c>
      <c r="B1605">
        <v>2013</v>
      </c>
      <c r="C1605" t="str">
        <f t="shared" si="25"/>
        <v>SGC2013</v>
      </c>
      <c r="D1605">
        <v>1.329860167665867E-12</v>
      </c>
      <c r="E1605">
        <v>0.202030565552584</v>
      </c>
      <c r="F1605">
        <v>1.5704695402689519</v>
      </c>
      <c r="G1605">
        <v>25.59225569279327</v>
      </c>
      <c r="H1605">
        <v>3.6328147358726022</v>
      </c>
      <c r="I1605">
        <v>0.1430325522926249</v>
      </c>
      <c r="J1605">
        <v>1.9286606506351282E-2</v>
      </c>
      <c r="K1605">
        <v>0.1797370497687337</v>
      </c>
      <c r="L1605">
        <v>0.41876590442148781</v>
      </c>
      <c r="M1605">
        <v>9</v>
      </c>
      <c r="N1605">
        <v>1</v>
      </c>
      <c r="O1605">
        <v>0</v>
      </c>
      <c r="P1605">
        <v>0.6008</v>
      </c>
      <c r="Q1605">
        <v>2.6800000000000001E-2</v>
      </c>
      <c r="R1605">
        <v>0</v>
      </c>
      <c r="S1605">
        <v>0.49890000000000001</v>
      </c>
      <c r="T1605">
        <v>0.49890000000000001</v>
      </c>
      <c r="U1605">
        <v>4</v>
      </c>
      <c r="V1605">
        <v>1</v>
      </c>
      <c r="W1605">
        <v>0</v>
      </c>
      <c r="X1605">
        <v>1</v>
      </c>
      <c r="Y1605">
        <v>0.47749999999999998</v>
      </c>
      <c r="Z1605">
        <v>1</v>
      </c>
    </row>
    <row r="1606" spans="1:26" x14ac:dyDescent="0.2">
      <c r="A1606" t="s">
        <v>139</v>
      </c>
      <c r="B1606">
        <v>2014</v>
      </c>
      <c r="C1606" t="str">
        <f t="shared" si="25"/>
        <v>SGC2014</v>
      </c>
      <c r="D1606">
        <v>1.1454643531231239E-12</v>
      </c>
      <c r="E1606">
        <v>0.18823764195318721</v>
      </c>
      <c r="F1606">
        <v>2.1619103459450599</v>
      </c>
      <c r="G1606">
        <v>25.5700088604573</v>
      </c>
      <c r="H1606">
        <v>3.789170792693064</v>
      </c>
      <c r="I1606">
        <v>0.22520135062800301</v>
      </c>
      <c r="J1606">
        <v>-2.2001196473363072E-2</v>
      </c>
      <c r="K1606">
        <v>0.13241006859339141</v>
      </c>
      <c r="L1606">
        <v>0.41386891891312649</v>
      </c>
      <c r="M1606">
        <v>10</v>
      </c>
      <c r="N1606">
        <v>1</v>
      </c>
      <c r="O1606">
        <v>0</v>
      </c>
      <c r="P1606">
        <v>0.6008</v>
      </c>
      <c r="Q1606">
        <v>6.8900000000000003E-2</v>
      </c>
      <c r="R1606">
        <v>0</v>
      </c>
      <c r="S1606">
        <v>0.49890000000000001</v>
      </c>
      <c r="T1606">
        <v>0.49890000000000001</v>
      </c>
      <c r="U1606">
        <v>7</v>
      </c>
      <c r="V1606">
        <v>0</v>
      </c>
      <c r="W1606">
        <v>0</v>
      </c>
      <c r="X1606">
        <v>1</v>
      </c>
      <c r="Y1606">
        <v>0.43180000000000002</v>
      </c>
      <c r="Z1606">
        <v>1</v>
      </c>
    </row>
    <row r="1607" spans="1:26" x14ac:dyDescent="0.2">
      <c r="A1607" t="s">
        <v>139</v>
      </c>
      <c r="B1607">
        <v>2015</v>
      </c>
      <c r="C1607" t="str">
        <f t="shared" si="25"/>
        <v>SGC2015</v>
      </c>
      <c r="D1607">
        <v>1.091831848441075E-12</v>
      </c>
      <c r="E1607">
        <v>0.20514113940694831</v>
      </c>
      <c r="F1607">
        <v>2.0030808810588359</v>
      </c>
      <c r="G1607">
        <v>25.690145689894091</v>
      </c>
      <c r="H1607">
        <v>2.4686905641418382</v>
      </c>
      <c r="I1607">
        <v>0.23582731944354551</v>
      </c>
      <c r="J1607">
        <v>0.1276511368937108</v>
      </c>
      <c r="K1607">
        <v>0.1790949193941466</v>
      </c>
      <c r="L1607">
        <v>0.40255819407839011</v>
      </c>
      <c r="M1607">
        <v>11</v>
      </c>
      <c r="N1607">
        <v>1</v>
      </c>
      <c r="O1607">
        <v>0</v>
      </c>
      <c r="P1607">
        <v>0.49890000000000001</v>
      </c>
      <c r="Q1607">
        <v>6.8900000000000003E-2</v>
      </c>
      <c r="R1607">
        <v>0</v>
      </c>
      <c r="S1607">
        <v>0.49890000000000001</v>
      </c>
      <c r="T1607">
        <v>0.49890000000000001</v>
      </c>
      <c r="U1607">
        <v>7</v>
      </c>
      <c r="V1607">
        <v>0</v>
      </c>
      <c r="W1607">
        <v>0</v>
      </c>
      <c r="X1607">
        <v>1</v>
      </c>
      <c r="Y1607">
        <v>0.44180000000000003</v>
      </c>
      <c r="Z1607">
        <v>1</v>
      </c>
    </row>
    <row r="1608" spans="1:26" x14ac:dyDescent="0.2">
      <c r="A1608" t="s">
        <v>139</v>
      </c>
      <c r="B1608">
        <v>2016</v>
      </c>
      <c r="C1608" t="str">
        <f t="shared" si="25"/>
        <v>SGC2016</v>
      </c>
      <c r="D1608">
        <v>1.0231435347118789E-12</v>
      </c>
      <c r="E1608">
        <v>0.24531417088371801</v>
      </c>
      <c r="F1608">
        <v>2.4049221965421239</v>
      </c>
      <c r="G1608">
        <v>25.842800794452241</v>
      </c>
      <c r="H1608">
        <v>2.52087264065075</v>
      </c>
      <c r="I1608">
        <v>0.30241086192590122</v>
      </c>
      <c r="J1608">
        <v>0.16492313297062891</v>
      </c>
      <c r="K1608">
        <v>0.13980666323941751</v>
      </c>
      <c r="L1608">
        <v>0.36059378750632848</v>
      </c>
      <c r="M1608">
        <v>12</v>
      </c>
      <c r="N1608">
        <v>0</v>
      </c>
      <c r="O1608">
        <v>0</v>
      </c>
      <c r="P1608">
        <v>0.49890000000000001</v>
      </c>
      <c r="Q1608">
        <v>6.9599999999999995E-2</v>
      </c>
      <c r="R1608">
        <v>0</v>
      </c>
      <c r="S1608">
        <v>0.49890000000000001</v>
      </c>
      <c r="T1608">
        <v>0.49890000000000001</v>
      </c>
      <c r="U1608">
        <v>7</v>
      </c>
      <c r="V1608">
        <v>0</v>
      </c>
      <c r="W1608">
        <v>0</v>
      </c>
      <c r="X1608">
        <v>1</v>
      </c>
      <c r="Y1608">
        <v>0.42549999999999999</v>
      </c>
      <c r="Z1608">
        <v>1</v>
      </c>
    </row>
    <row r="1609" spans="1:26" x14ac:dyDescent="0.2">
      <c r="A1609" t="s">
        <v>139</v>
      </c>
      <c r="B1609">
        <v>2017</v>
      </c>
      <c r="C1609" t="str">
        <f t="shared" si="25"/>
        <v>SGC2017</v>
      </c>
      <c r="D1609">
        <v>1.150389401555133E-12</v>
      </c>
      <c r="E1609">
        <v>0.25168785550226769</v>
      </c>
      <c r="F1609">
        <v>2.478838164335003</v>
      </c>
      <c r="G1609">
        <v>25.80486849307734</v>
      </c>
      <c r="H1609">
        <v>2.2352473924369209</v>
      </c>
      <c r="I1609">
        <v>0.26397154539093098</v>
      </c>
      <c r="J1609">
        <v>-3.7221882560182773E-2</v>
      </c>
      <c r="K1609">
        <v>0.30063953686236938</v>
      </c>
      <c r="L1609">
        <v>0.40558894003167151</v>
      </c>
      <c r="M1609">
        <v>13</v>
      </c>
      <c r="N1609">
        <v>0</v>
      </c>
      <c r="O1609">
        <v>0</v>
      </c>
      <c r="P1609">
        <v>0.49890000000000001</v>
      </c>
      <c r="Q1609">
        <v>6.9599999999999995E-2</v>
      </c>
      <c r="R1609">
        <v>0</v>
      </c>
      <c r="S1609">
        <v>0.49890000000000001</v>
      </c>
      <c r="T1609">
        <v>0.49890000000000001</v>
      </c>
      <c r="U1609">
        <v>7</v>
      </c>
      <c r="V1609">
        <v>0</v>
      </c>
      <c r="W1609">
        <v>0</v>
      </c>
      <c r="X1609">
        <v>1</v>
      </c>
      <c r="Y1609">
        <v>0.4355</v>
      </c>
      <c r="Z1609">
        <v>1</v>
      </c>
    </row>
    <row r="1610" spans="1:26" x14ac:dyDescent="0.2">
      <c r="A1610" t="s">
        <v>139</v>
      </c>
      <c r="B1610">
        <v>2018</v>
      </c>
      <c r="C1610" t="str">
        <f t="shared" si="25"/>
        <v>SGC2018</v>
      </c>
      <c r="D1610">
        <v>8.7043053604887385E-13</v>
      </c>
      <c r="E1610">
        <v>0.22572791947956339</v>
      </c>
      <c r="F1610">
        <v>3.285960525828139</v>
      </c>
      <c r="G1610">
        <v>25.813728096374732</v>
      </c>
      <c r="H1610">
        <v>2.4159654106400028</v>
      </c>
      <c r="I1610">
        <v>0.37351812722947519</v>
      </c>
      <c r="J1610">
        <v>8.8989657420237567E-3</v>
      </c>
      <c r="K1610">
        <v>7.8487733731756631E-2</v>
      </c>
      <c r="L1610">
        <v>0.4181461127062634</v>
      </c>
      <c r="M1610">
        <v>14</v>
      </c>
      <c r="N1610">
        <v>0</v>
      </c>
      <c r="O1610">
        <v>0</v>
      </c>
      <c r="P1610">
        <v>0.7097</v>
      </c>
      <c r="Q1610">
        <v>8.4000000000000005E-2</v>
      </c>
      <c r="R1610">
        <v>0</v>
      </c>
      <c r="S1610">
        <v>0.49890000000000001</v>
      </c>
      <c r="T1610">
        <v>0.49890000000000001</v>
      </c>
      <c r="U1610">
        <v>7</v>
      </c>
      <c r="V1610">
        <v>0</v>
      </c>
      <c r="W1610">
        <v>0</v>
      </c>
      <c r="X1610">
        <v>1</v>
      </c>
      <c r="Y1610">
        <v>0.44550000000000001</v>
      </c>
      <c r="Z1610">
        <v>1</v>
      </c>
    </row>
    <row r="1611" spans="1:26" x14ac:dyDescent="0.2">
      <c r="A1611" t="s">
        <v>139</v>
      </c>
      <c r="B1611">
        <v>2019</v>
      </c>
      <c r="C1611" t="str">
        <f t="shared" si="25"/>
        <v>SGC2019</v>
      </c>
      <c r="D1611">
        <v>1.03748022992142E-12</v>
      </c>
      <c r="E1611">
        <v>0.27177808554000038</v>
      </c>
      <c r="F1611">
        <v>4.5782218678153708</v>
      </c>
      <c r="G1611">
        <v>25.901526659702149</v>
      </c>
      <c r="H1611">
        <v>1.5632699820579421</v>
      </c>
      <c r="I1611">
        <v>0.3228958186401214</v>
      </c>
      <c r="J1611">
        <v>9.1768177727564085E-2</v>
      </c>
      <c r="K1611">
        <v>0.2345423011589072</v>
      </c>
      <c r="L1611">
        <v>0.34619254606780131</v>
      </c>
      <c r="M1611">
        <v>15</v>
      </c>
      <c r="N1611">
        <v>0</v>
      </c>
      <c r="O1611">
        <v>1</v>
      </c>
      <c r="P1611">
        <v>0.7097</v>
      </c>
      <c r="Q1611">
        <v>0.2666</v>
      </c>
      <c r="R1611">
        <v>0</v>
      </c>
      <c r="S1611">
        <v>0.49890000000000001</v>
      </c>
      <c r="T1611">
        <v>0.49890000000000001</v>
      </c>
      <c r="U1611">
        <v>7</v>
      </c>
      <c r="V1611">
        <v>0</v>
      </c>
      <c r="W1611">
        <v>0.2857142857142857</v>
      </c>
      <c r="X1611">
        <v>1</v>
      </c>
      <c r="Y1611">
        <v>0.4325</v>
      </c>
      <c r="Z1611">
        <v>1</v>
      </c>
    </row>
    <row r="1612" spans="1:26" x14ac:dyDescent="0.2">
      <c r="A1612" t="s">
        <v>139</v>
      </c>
      <c r="B1612">
        <v>2020</v>
      </c>
      <c r="C1612" t="str">
        <f t="shared" si="25"/>
        <v>SGC2020</v>
      </c>
      <c r="D1612">
        <v>6.9915923107022966E-13</v>
      </c>
      <c r="E1612">
        <v>0.26030653941136161</v>
      </c>
      <c r="F1612">
        <v>3.5990520049023371</v>
      </c>
      <c r="G1612">
        <v>26.070980651163261</v>
      </c>
      <c r="H1612">
        <v>2.0689698819091982</v>
      </c>
      <c r="I1612">
        <v>0.43561683318547673</v>
      </c>
      <c r="J1612">
        <v>0.1846578414029012</v>
      </c>
      <c r="K1612">
        <v>0.1959466490464411</v>
      </c>
      <c r="L1612">
        <v>0.36945535903087628</v>
      </c>
      <c r="M1612">
        <v>16</v>
      </c>
      <c r="N1612">
        <v>0</v>
      </c>
      <c r="O1612">
        <v>1</v>
      </c>
      <c r="P1612">
        <v>0.7097</v>
      </c>
      <c r="Q1612">
        <v>0.2666</v>
      </c>
      <c r="R1612">
        <v>0</v>
      </c>
      <c r="S1612">
        <v>0.49890000000000001</v>
      </c>
      <c r="T1612">
        <v>0.49890000000000001</v>
      </c>
      <c r="U1612">
        <v>7</v>
      </c>
      <c r="V1612">
        <v>0</v>
      </c>
      <c r="W1612">
        <v>0.2857142857142857</v>
      </c>
      <c r="X1612">
        <v>1</v>
      </c>
      <c r="Y1612">
        <v>0.4425</v>
      </c>
      <c r="Z1612">
        <v>1</v>
      </c>
    </row>
    <row r="1613" spans="1:26" x14ac:dyDescent="0.2">
      <c r="A1613" t="s">
        <v>139</v>
      </c>
      <c r="B1613">
        <v>2021</v>
      </c>
      <c r="C1613" t="str">
        <f t="shared" si="25"/>
        <v>SGC2021</v>
      </c>
      <c r="D1613">
        <v>6.1997376238387471E-13</v>
      </c>
      <c r="E1613">
        <v>0.20963487507260231</v>
      </c>
      <c r="F1613">
        <v>1.9321202504563799</v>
      </c>
      <c r="G1613">
        <v>26.14510820691849</v>
      </c>
      <c r="H1613">
        <v>1.442503042642767</v>
      </c>
      <c r="I1613">
        <v>0.33075366837097392</v>
      </c>
      <c r="J1613">
        <v>7.6944167161982602E-2</v>
      </c>
      <c r="K1613">
        <v>7.4556786136590336E-2</v>
      </c>
      <c r="L1613">
        <v>0.40273278764215742</v>
      </c>
      <c r="M1613">
        <v>17</v>
      </c>
      <c r="N1613">
        <v>1</v>
      </c>
      <c r="O1613">
        <v>0</v>
      </c>
      <c r="P1613">
        <v>0.84909999999999997</v>
      </c>
      <c r="Q1613">
        <v>0.81579999999999997</v>
      </c>
      <c r="R1613">
        <v>0</v>
      </c>
      <c r="S1613">
        <v>0</v>
      </c>
      <c r="T1613">
        <v>0.76719999999999999</v>
      </c>
      <c r="U1613">
        <v>6</v>
      </c>
      <c r="V1613">
        <v>0</v>
      </c>
      <c r="W1613">
        <v>0.66666666666666652</v>
      </c>
      <c r="X1613">
        <v>1</v>
      </c>
      <c r="Y1613">
        <v>0.43540000000000001</v>
      </c>
      <c r="Z1613">
        <v>1</v>
      </c>
    </row>
    <row r="1614" spans="1:26" x14ac:dyDescent="0.2">
      <c r="A1614" t="s">
        <v>139</v>
      </c>
      <c r="B1614">
        <v>2022</v>
      </c>
      <c r="C1614" t="str">
        <f t="shared" si="25"/>
        <v>SGC2022</v>
      </c>
      <c r="D1614">
        <v>8.067027403488532E-13</v>
      </c>
      <c r="E1614">
        <v>0.28160312841763702</v>
      </c>
      <c r="F1614">
        <v>2.620552861329116</v>
      </c>
      <c r="G1614">
        <v>26.326401423187779</v>
      </c>
      <c r="H1614">
        <v>1.7822306349823049</v>
      </c>
      <c r="I1614">
        <v>0.22288208041926821</v>
      </c>
      <c r="J1614">
        <v>0.1987666256435123</v>
      </c>
      <c r="K1614">
        <v>0.20055846575934089</v>
      </c>
      <c r="L1614">
        <v>0.3924969266532698</v>
      </c>
      <c r="M1614">
        <v>18</v>
      </c>
      <c r="N1614">
        <v>1</v>
      </c>
      <c r="O1614">
        <v>0</v>
      </c>
      <c r="P1614">
        <v>0.84909999999999997</v>
      </c>
      <c r="Q1614">
        <v>0.8076000000000001</v>
      </c>
      <c r="R1614">
        <v>0</v>
      </c>
      <c r="S1614">
        <v>0</v>
      </c>
      <c r="T1614">
        <v>0.76719999999999999</v>
      </c>
      <c r="U1614">
        <v>6</v>
      </c>
      <c r="V1614">
        <v>0</v>
      </c>
      <c r="W1614">
        <v>0.66666666666666652</v>
      </c>
      <c r="X1614">
        <v>1</v>
      </c>
      <c r="Y1614">
        <v>0.44669999999999999</v>
      </c>
      <c r="Z1614">
        <v>1</v>
      </c>
    </row>
    <row r="1615" spans="1:26" x14ac:dyDescent="0.2">
      <c r="A1615" t="s">
        <v>139</v>
      </c>
      <c r="B1615">
        <v>2023</v>
      </c>
      <c r="C1615" t="str">
        <f t="shared" si="25"/>
        <v>SGC2023</v>
      </c>
      <c r="D1615">
        <v>167176185189.14941</v>
      </c>
      <c r="E1615">
        <v>0.17308995013235359</v>
      </c>
      <c r="F1615">
        <v>1.5343903743483229</v>
      </c>
      <c r="G1615">
        <v>26.41765971328115</v>
      </c>
      <c r="H1615">
        <v>2.689418258794734</v>
      </c>
      <c r="I1615">
        <v>0</v>
      </c>
      <c r="J1615">
        <v>9.5551938930003022E-2</v>
      </c>
      <c r="K1615">
        <v>0.27726963191386911</v>
      </c>
      <c r="L1615">
        <v>0.50066211675294725</v>
      </c>
      <c r="M1615">
        <v>19</v>
      </c>
      <c r="N1615">
        <v>0</v>
      </c>
      <c r="O1615">
        <v>0</v>
      </c>
      <c r="P1615">
        <v>0.84909999999999997</v>
      </c>
      <c r="Q1615">
        <v>0.8076000000000001</v>
      </c>
      <c r="R1615">
        <v>0</v>
      </c>
      <c r="S1615">
        <v>0</v>
      </c>
      <c r="T1615">
        <v>0.76719999999999999</v>
      </c>
      <c r="U1615">
        <v>6</v>
      </c>
      <c r="V1615">
        <v>0</v>
      </c>
      <c r="W1615">
        <v>0.66666666666666652</v>
      </c>
      <c r="X1615">
        <v>1</v>
      </c>
      <c r="Y1615">
        <v>0.44669999999999999</v>
      </c>
      <c r="Z1615">
        <v>1</v>
      </c>
    </row>
    <row r="1616" spans="1:26" x14ac:dyDescent="0.2">
      <c r="A1616" t="s">
        <v>140</v>
      </c>
      <c r="B1616">
        <v>2012</v>
      </c>
      <c r="C1616" t="str">
        <f t="shared" si="25"/>
        <v>SHA2012</v>
      </c>
      <c r="D1616">
        <v>1.090643610049184E-13</v>
      </c>
      <c r="E1616">
        <v>7.299353510180745E-2</v>
      </c>
      <c r="F1616">
        <v>0.77152109898159638</v>
      </c>
      <c r="G1616">
        <v>26.224725510763399</v>
      </c>
      <c r="H1616" t="e">
        <v>#N/A</v>
      </c>
      <c r="I1616">
        <v>0.63385589963991174</v>
      </c>
      <c r="J1616">
        <v>0</v>
      </c>
      <c r="K1616">
        <v>0.13425523511098869</v>
      </c>
      <c r="L1616">
        <v>0.26750562432681102</v>
      </c>
      <c r="M1616">
        <v>3</v>
      </c>
      <c r="N1616">
        <v>0</v>
      </c>
      <c r="O1616">
        <v>0</v>
      </c>
      <c r="P1616">
        <v>0.79620000000000002</v>
      </c>
      <c r="Q1616">
        <v>5.3499999999999999E-2</v>
      </c>
      <c r="R1616">
        <v>0</v>
      </c>
      <c r="S1616">
        <v>0</v>
      </c>
      <c r="T1616">
        <v>0.51</v>
      </c>
      <c r="U1616">
        <v>5</v>
      </c>
      <c r="V1616">
        <v>0</v>
      </c>
      <c r="W1616">
        <v>0</v>
      </c>
      <c r="X1616">
        <v>0</v>
      </c>
      <c r="Y1616">
        <v>0.42099999999999999</v>
      </c>
      <c r="Z1616">
        <v>1</v>
      </c>
    </row>
    <row r="1617" spans="1:26" x14ac:dyDescent="0.2">
      <c r="A1617" t="s">
        <v>140</v>
      </c>
      <c r="B1617">
        <v>2013</v>
      </c>
      <c r="C1617" t="str">
        <f t="shared" si="25"/>
        <v>SHA2013</v>
      </c>
      <c r="D1617">
        <v>1.2081719693115279E-13</v>
      </c>
      <c r="E1617">
        <v>5.8016051776457342E-2</v>
      </c>
      <c r="F1617">
        <v>0.77931424139555194</v>
      </c>
      <c r="G1617">
        <v>26.088248128089131</v>
      </c>
      <c r="H1617">
        <v>1.0071164423400021</v>
      </c>
      <c r="I1617">
        <v>0.55479217385470081</v>
      </c>
      <c r="J1617">
        <v>-0.1275739480193219</v>
      </c>
      <c r="K1617">
        <v>-0.16444416569422721</v>
      </c>
      <c r="L1617">
        <v>0.31892445527321178</v>
      </c>
      <c r="M1617">
        <v>4</v>
      </c>
      <c r="N1617">
        <v>0</v>
      </c>
      <c r="O1617">
        <v>0</v>
      </c>
      <c r="P1617">
        <v>0.79620000000000002</v>
      </c>
      <c r="Q1617">
        <v>5.5500000000000001E-2</v>
      </c>
      <c r="R1617">
        <v>0</v>
      </c>
      <c r="S1617">
        <v>0</v>
      </c>
      <c r="T1617">
        <v>0.3</v>
      </c>
      <c r="U1617">
        <v>5</v>
      </c>
      <c r="V1617">
        <v>0</v>
      </c>
      <c r="W1617">
        <v>0</v>
      </c>
      <c r="X1617">
        <v>1</v>
      </c>
      <c r="Y1617">
        <v>0.42820000000000003</v>
      </c>
      <c r="Z1617">
        <v>1</v>
      </c>
    </row>
    <row r="1618" spans="1:26" x14ac:dyDescent="0.2">
      <c r="A1618" t="s">
        <v>140</v>
      </c>
      <c r="B1618">
        <v>2014</v>
      </c>
      <c r="C1618" t="str">
        <f t="shared" si="25"/>
        <v>SHA2014</v>
      </c>
      <c r="D1618">
        <v>2.0926707555839099E-13</v>
      </c>
      <c r="E1618">
        <v>9.882441776833896E-2</v>
      </c>
      <c r="F1618">
        <v>0.80178478883452342</v>
      </c>
      <c r="G1618">
        <v>26.11885480659074</v>
      </c>
      <c r="H1618">
        <v>1.024344201867486</v>
      </c>
      <c r="I1618">
        <v>0.5332211636378601</v>
      </c>
      <c r="J1618">
        <v>3.1079878238439829E-2</v>
      </c>
      <c r="K1618">
        <v>5.6855783748132722E-2</v>
      </c>
      <c r="L1618">
        <v>0.29623790991394011</v>
      </c>
      <c r="M1618">
        <v>5</v>
      </c>
      <c r="N1618">
        <v>0</v>
      </c>
      <c r="O1618">
        <v>0</v>
      </c>
      <c r="P1618">
        <v>0.79620000000000002</v>
      </c>
      <c r="Q1618">
        <v>5.16E-2</v>
      </c>
      <c r="R1618">
        <v>0</v>
      </c>
      <c r="S1618">
        <v>0</v>
      </c>
      <c r="T1618">
        <v>0.3</v>
      </c>
      <c r="U1618">
        <v>5</v>
      </c>
      <c r="V1618">
        <v>0</v>
      </c>
      <c r="W1618">
        <v>0</v>
      </c>
      <c r="X1618">
        <v>1</v>
      </c>
      <c r="Y1618">
        <v>0.46270000000000011</v>
      </c>
      <c r="Z1618">
        <v>1</v>
      </c>
    </row>
    <row r="1619" spans="1:26" x14ac:dyDescent="0.2">
      <c r="A1619" t="s">
        <v>140</v>
      </c>
      <c r="B1619">
        <v>2015</v>
      </c>
      <c r="C1619" t="str">
        <f t="shared" si="25"/>
        <v>SHA2015</v>
      </c>
      <c r="D1619">
        <v>1.508940846670398E-13</v>
      </c>
      <c r="E1619">
        <v>0.12677616408813411</v>
      </c>
      <c r="F1619">
        <v>0.93050500550445947</v>
      </c>
      <c r="G1619">
        <v>26.797198918321509</v>
      </c>
      <c r="H1619">
        <v>1.084202069959747</v>
      </c>
      <c r="I1619">
        <v>0.4829765651172343</v>
      </c>
      <c r="J1619">
        <v>0.97061191590844786</v>
      </c>
      <c r="K1619">
        <v>-6.9968729275952213E-2</v>
      </c>
      <c r="L1619">
        <v>0.28571006037458158</v>
      </c>
      <c r="M1619">
        <v>6</v>
      </c>
      <c r="N1619">
        <v>0</v>
      </c>
      <c r="O1619">
        <v>0</v>
      </c>
      <c r="P1619">
        <v>0.41</v>
      </c>
      <c r="Q1619">
        <v>0.05</v>
      </c>
      <c r="R1619">
        <v>0</v>
      </c>
      <c r="S1619">
        <v>0</v>
      </c>
      <c r="T1619">
        <v>0.3</v>
      </c>
      <c r="U1619">
        <v>5</v>
      </c>
      <c r="V1619">
        <v>0</v>
      </c>
      <c r="W1619">
        <v>0</v>
      </c>
      <c r="X1619">
        <v>1</v>
      </c>
      <c r="Y1619">
        <v>0.46100000000000002</v>
      </c>
      <c r="Z1619">
        <v>1</v>
      </c>
    </row>
    <row r="1620" spans="1:26" x14ac:dyDescent="0.2">
      <c r="A1620" t="s">
        <v>140</v>
      </c>
      <c r="B1620">
        <v>2016</v>
      </c>
      <c r="C1620" t="str">
        <f t="shared" si="25"/>
        <v>SHA2016</v>
      </c>
      <c r="D1620">
        <v>1.6160843191758121E-13</v>
      </c>
      <c r="E1620">
        <v>0.15439223548241421</v>
      </c>
      <c r="F1620">
        <v>0.82647746523566912</v>
      </c>
      <c r="G1620">
        <v>26.943528919606599</v>
      </c>
      <c r="H1620">
        <v>1.5424707191444951</v>
      </c>
      <c r="I1620">
        <v>0.47366228149886208</v>
      </c>
      <c r="J1620">
        <v>0.15757812729670889</v>
      </c>
      <c r="K1620">
        <v>-0.14955688205099221</v>
      </c>
      <c r="L1620">
        <v>0.23037119317197491</v>
      </c>
      <c r="M1620">
        <v>7</v>
      </c>
      <c r="N1620">
        <v>0</v>
      </c>
      <c r="O1620">
        <v>0</v>
      </c>
      <c r="P1620">
        <v>0.41560000000000002</v>
      </c>
      <c r="Q1620">
        <v>5.5599999999999997E-2</v>
      </c>
      <c r="R1620">
        <v>0</v>
      </c>
      <c r="S1620">
        <v>0</v>
      </c>
      <c r="T1620">
        <v>0.3</v>
      </c>
      <c r="U1620">
        <v>5</v>
      </c>
      <c r="V1620">
        <v>0</v>
      </c>
      <c r="W1620">
        <v>0</v>
      </c>
      <c r="X1620">
        <v>1</v>
      </c>
      <c r="Y1620">
        <v>0.46500000000000002</v>
      </c>
      <c r="Z1620">
        <v>1</v>
      </c>
    </row>
    <row r="1621" spans="1:26" x14ac:dyDescent="0.2">
      <c r="A1621" t="s">
        <v>140</v>
      </c>
      <c r="B1621">
        <v>2017</v>
      </c>
      <c r="C1621" t="str">
        <f t="shared" si="25"/>
        <v>SHA2017</v>
      </c>
      <c r="D1621">
        <v>7.7471780633453128E-14</v>
      </c>
      <c r="E1621">
        <v>0.1034490087256098</v>
      </c>
      <c r="F1621">
        <v>0.81744129533499366</v>
      </c>
      <c r="G1621">
        <v>27.241223252432981</v>
      </c>
      <c r="H1621">
        <v>1.988926480086284</v>
      </c>
      <c r="I1621">
        <v>0.492857341008612</v>
      </c>
      <c r="J1621">
        <v>0.34675006767132871</v>
      </c>
      <c r="K1621">
        <v>-0.15462314005589739</v>
      </c>
      <c r="L1621">
        <v>0.20424290619892621</v>
      </c>
      <c r="M1621">
        <v>8</v>
      </c>
      <c r="N1621">
        <v>0</v>
      </c>
      <c r="O1621">
        <v>0</v>
      </c>
      <c r="P1621">
        <v>0.24560000000000001</v>
      </c>
      <c r="Q1621">
        <v>4.5499999999999999E-2</v>
      </c>
      <c r="R1621">
        <v>0</v>
      </c>
      <c r="S1621">
        <v>0</v>
      </c>
      <c r="T1621">
        <v>0.24560000000000001</v>
      </c>
      <c r="U1621">
        <v>5</v>
      </c>
      <c r="V1621">
        <v>0</v>
      </c>
      <c r="W1621">
        <v>0</v>
      </c>
      <c r="X1621">
        <v>1</v>
      </c>
      <c r="Y1621">
        <v>0.47499999999999998</v>
      </c>
      <c r="Z1621">
        <v>1</v>
      </c>
    </row>
    <row r="1622" spans="1:26" x14ac:dyDescent="0.2">
      <c r="A1622" t="s">
        <v>140</v>
      </c>
      <c r="B1622">
        <v>2018</v>
      </c>
      <c r="C1622" t="str">
        <f t="shared" si="25"/>
        <v>SHA2018</v>
      </c>
      <c r="D1622">
        <v>6.6235441815204742E-14</v>
      </c>
      <c r="E1622">
        <v>0.10199909526536299</v>
      </c>
      <c r="F1622">
        <v>0.73599825910382655</v>
      </c>
      <c r="G1622">
        <v>27.323450433044709</v>
      </c>
      <c r="H1622">
        <v>1.516821533038792</v>
      </c>
      <c r="I1622">
        <v>0.52256102661022119</v>
      </c>
      <c r="J1622">
        <v>8.5702432357291247E-2</v>
      </c>
      <c r="K1622">
        <v>-4.9873702135112372E-2</v>
      </c>
      <c r="L1622">
        <v>0.19383030389119499</v>
      </c>
      <c r="M1622">
        <v>9</v>
      </c>
      <c r="N1622">
        <v>0</v>
      </c>
      <c r="O1622">
        <v>0</v>
      </c>
      <c r="P1622">
        <v>0.23580000000000001</v>
      </c>
      <c r="Q1622">
        <v>8.6099999999999996E-2</v>
      </c>
      <c r="R1622">
        <v>0</v>
      </c>
      <c r="S1622">
        <v>0</v>
      </c>
      <c r="T1622">
        <v>0.14979999999999999</v>
      </c>
      <c r="U1622">
        <v>5</v>
      </c>
      <c r="V1622">
        <v>0</v>
      </c>
      <c r="W1622">
        <v>0.2</v>
      </c>
      <c r="X1622">
        <v>1</v>
      </c>
      <c r="Y1622">
        <v>0.48</v>
      </c>
      <c r="Z1622">
        <v>1</v>
      </c>
    </row>
    <row r="1623" spans="1:26" x14ac:dyDescent="0.2">
      <c r="A1623" t="s">
        <v>140</v>
      </c>
      <c r="B1623">
        <v>2019</v>
      </c>
      <c r="C1623" t="str">
        <f t="shared" si="25"/>
        <v>SHA2019</v>
      </c>
      <c r="D1623">
        <v>4.732521160008366E-14</v>
      </c>
      <c r="E1623">
        <v>8.3967843207873955E-2</v>
      </c>
      <c r="F1623">
        <v>0.716615442247863</v>
      </c>
      <c r="G1623">
        <v>27.417144688774808</v>
      </c>
      <c r="H1623">
        <v>1.4715327265642391</v>
      </c>
      <c r="I1623">
        <v>0.5449132256932262</v>
      </c>
      <c r="J1623">
        <v>9.8223918910927535E-2</v>
      </c>
      <c r="K1623">
        <v>2.048148798765197E-2</v>
      </c>
      <c r="L1623">
        <v>0.1698541987554831</v>
      </c>
      <c r="M1623">
        <v>10</v>
      </c>
      <c r="N1623">
        <v>0</v>
      </c>
      <c r="O1623">
        <v>1</v>
      </c>
      <c r="P1623">
        <v>0.2359</v>
      </c>
      <c r="Q1623">
        <v>8.6099999999999996E-2</v>
      </c>
      <c r="R1623">
        <v>0</v>
      </c>
      <c r="S1623">
        <v>0</v>
      </c>
      <c r="T1623">
        <v>0.14979999999999999</v>
      </c>
      <c r="U1623">
        <v>5</v>
      </c>
      <c r="V1623">
        <v>1</v>
      </c>
      <c r="W1623">
        <v>0.2</v>
      </c>
      <c r="X1623">
        <v>1</v>
      </c>
      <c r="Y1623">
        <v>0.4622</v>
      </c>
      <c r="Z1623">
        <v>1</v>
      </c>
    </row>
    <row r="1624" spans="1:26" x14ac:dyDescent="0.2">
      <c r="A1624" t="s">
        <v>140</v>
      </c>
      <c r="B1624">
        <v>2020</v>
      </c>
      <c r="C1624" t="str">
        <f t="shared" si="25"/>
        <v>SHA2020</v>
      </c>
      <c r="D1624">
        <v>3.1769840082751569E-14</v>
      </c>
      <c r="E1624">
        <v>6.5771906887341872E-2</v>
      </c>
      <c r="F1624">
        <v>0.72695461142025919</v>
      </c>
      <c r="G1624">
        <v>27.514948263428209</v>
      </c>
      <c r="H1624">
        <v>1.4392377038292461</v>
      </c>
      <c r="I1624">
        <v>0.56990460152697098</v>
      </c>
      <c r="J1624">
        <v>0.1027461565375252</v>
      </c>
      <c r="K1624">
        <v>7.8364192654168108E-2</v>
      </c>
      <c r="L1624">
        <v>0.14285856507780409</v>
      </c>
      <c r="M1624">
        <v>11</v>
      </c>
      <c r="N1624">
        <v>0</v>
      </c>
      <c r="O1624">
        <v>1</v>
      </c>
      <c r="P1624">
        <v>0.2359</v>
      </c>
      <c r="Q1624">
        <v>8.6099999999999996E-2</v>
      </c>
      <c r="R1624">
        <v>0</v>
      </c>
      <c r="S1624">
        <v>0</v>
      </c>
      <c r="T1624">
        <v>0.14979999999999999</v>
      </c>
      <c r="U1624">
        <v>5</v>
      </c>
      <c r="V1624">
        <v>0</v>
      </c>
      <c r="W1624">
        <v>0.2</v>
      </c>
      <c r="X1624">
        <v>1</v>
      </c>
      <c r="Y1624">
        <v>0.46360000000000001</v>
      </c>
      <c r="Z1624">
        <v>1</v>
      </c>
    </row>
    <row r="1625" spans="1:26" x14ac:dyDescent="0.2">
      <c r="A1625" t="s">
        <v>140</v>
      </c>
      <c r="B1625">
        <v>2021</v>
      </c>
      <c r="C1625" t="str">
        <f t="shared" si="25"/>
        <v>SHA2021</v>
      </c>
      <c r="D1625">
        <v>2.0112938726919459E-14</v>
      </c>
      <c r="E1625">
        <v>4.4608435627779462E-2</v>
      </c>
      <c r="F1625">
        <v>0.88754463917902926</v>
      </c>
      <c r="G1625">
        <v>27.57151771733599</v>
      </c>
      <c r="H1625">
        <v>1.4146203028365021</v>
      </c>
      <c r="I1625">
        <v>0.57516866754681095</v>
      </c>
      <c r="J1625">
        <v>5.8200108380731308E-2</v>
      </c>
      <c r="K1625">
        <v>-6.1559953674713903E-2</v>
      </c>
      <c r="L1625">
        <v>0.15939366667165999</v>
      </c>
      <c r="M1625">
        <v>12</v>
      </c>
      <c r="N1625">
        <v>0</v>
      </c>
      <c r="O1625">
        <v>0</v>
      </c>
      <c r="P1625">
        <v>0.2359</v>
      </c>
      <c r="Q1625">
        <v>0.13</v>
      </c>
      <c r="R1625">
        <v>0</v>
      </c>
      <c r="S1625">
        <v>0</v>
      </c>
      <c r="T1625">
        <v>0.14979999999999999</v>
      </c>
      <c r="U1625">
        <v>5</v>
      </c>
      <c r="V1625">
        <v>0</v>
      </c>
      <c r="W1625">
        <v>0.4</v>
      </c>
      <c r="X1625">
        <v>1</v>
      </c>
      <c r="Y1625">
        <v>0.42549999999999999</v>
      </c>
      <c r="Z1625">
        <v>1</v>
      </c>
    </row>
    <row r="1626" spans="1:26" x14ac:dyDescent="0.2">
      <c r="A1626" t="s">
        <v>140</v>
      </c>
      <c r="B1626">
        <v>2022</v>
      </c>
      <c r="C1626" t="str">
        <f t="shared" si="25"/>
        <v>SHA2022</v>
      </c>
      <c r="D1626">
        <v>1.696782763916002E-14</v>
      </c>
      <c r="E1626">
        <v>4.4083133285691703E-2</v>
      </c>
      <c r="F1626">
        <v>0.73494913787985072</v>
      </c>
      <c r="G1626">
        <v>27.651461300145051</v>
      </c>
      <c r="H1626">
        <v>1.3420921403959569</v>
      </c>
      <c r="I1626">
        <v>0.60714629985553037</v>
      </c>
      <c r="J1626">
        <v>8.3225953385589482E-2</v>
      </c>
      <c r="K1626">
        <v>-2.4324800491674479E-2</v>
      </c>
      <c r="L1626">
        <v>0.15719681316186951</v>
      </c>
      <c r="M1626">
        <v>13</v>
      </c>
      <c r="N1626">
        <v>0</v>
      </c>
      <c r="O1626">
        <v>0</v>
      </c>
      <c r="P1626">
        <v>0.2359</v>
      </c>
      <c r="Q1626">
        <v>0.13</v>
      </c>
      <c r="R1626">
        <v>0</v>
      </c>
      <c r="S1626">
        <v>0</v>
      </c>
      <c r="T1626">
        <v>0.14979999999999999</v>
      </c>
      <c r="U1626">
        <v>5</v>
      </c>
      <c r="V1626">
        <v>0</v>
      </c>
      <c r="W1626">
        <v>0.4</v>
      </c>
      <c r="X1626">
        <v>1</v>
      </c>
      <c r="Y1626">
        <v>0.43700000000000011</v>
      </c>
      <c r="Z1626">
        <v>1</v>
      </c>
    </row>
    <row r="1627" spans="1:26" x14ac:dyDescent="0.2">
      <c r="A1627" t="s">
        <v>140</v>
      </c>
      <c r="B1627">
        <v>2023</v>
      </c>
      <c r="C1627" t="str">
        <f t="shared" si="25"/>
        <v>SHA2023</v>
      </c>
      <c r="D1627">
        <v>-1501096262194.625</v>
      </c>
      <c r="E1627">
        <v>2.684435833155964E-2</v>
      </c>
      <c r="F1627">
        <v>0.69780097590591839</v>
      </c>
      <c r="G1627">
        <v>27.643175388154361</v>
      </c>
      <c r="H1627">
        <v>1.296650876945892</v>
      </c>
      <c r="I1627">
        <v>0.5441528138043219</v>
      </c>
      <c r="J1627">
        <v>-8.2516784392565601E-3</v>
      </c>
      <c r="K1627">
        <v>-2.4754479347600292E-2</v>
      </c>
      <c r="L1627">
        <v>0.14418574352831429</v>
      </c>
      <c r="M1627">
        <v>14</v>
      </c>
      <c r="N1627">
        <v>0</v>
      </c>
      <c r="O1627">
        <v>0</v>
      </c>
      <c r="P1627">
        <v>0.2359</v>
      </c>
      <c r="Q1627">
        <v>0.13</v>
      </c>
      <c r="R1627">
        <v>0</v>
      </c>
      <c r="S1627">
        <v>0</v>
      </c>
      <c r="T1627">
        <v>0.14979999999999999</v>
      </c>
      <c r="U1627">
        <v>5</v>
      </c>
      <c r="V1627">
        <v>0</v>
      </c>
      <c r="W1627">
        <v>0.4</v>
      </c>
      <c r="X1627">
        <v>1</v>
      </c>
      <c r="Y1627">
        <v>0.43700000000000011</v>
      </c>
      <c r="Z1627">
        <v>1</v>
      </c>
    </row>
    <row r="1628" spans="1:26" x14ac:dyDescent="0.2">
      <c r="A1628" t="s">
        <v>141</v>
      </c>
      <c r="B1628">
        <v>2012</v>
      </c>
      <c r="C1628" t="str">
        <f t="shared" si="25"/>
        <v>SHI2012</v>
      </c>
      <c r="D1628">
        <v>4.8884436878215097E-15</v>
      </c>
      <c r="E1628">
        <v>3.4414442209076433E-2</v>
      </c>
      <c r="F1628">
        <v>0.83185306238108259</v>
      </c>
      <c r="G1628">
        <v>28.10989172936176</v>
      </c>
      <c r="H1628">
        <v>0.96697865646744163</v>
      </c>
      <c r="I1628">
        <v>0.73523360882470234</v>
      </c>
      <c r="J1628">
        <v>0.10024659910375421</v>
      </c>
      <c r="K1628">
        <v>9.5320316611945927E-2</v>
      </c>
      <c r="L1628">
        <v>0.24623855788153839</v>
      </c>
      <c r="M1628">
        <v>14</v>
      </c>
      <c r="N1628">
        <v>0</v>
      </c>
      <c r="O1628">
        <v>0</v>
      </c>
      <c r="P1628">
        <v>0.7410000000000001</v>
      </c>
      <c r="Q1628">
        <v>0.52880000000000005</v>
      </c>
      <c r="R1628">
        <v>0.23</v>
      </c>
      <c r="S1628">
        <v>0</v>
      </c>
      <c r="T1628">
        <v>0.23</v>
      </c>
      <c r="U1628">
        <v>8</v>
      </c>
      <c r="V1628">
        <v>0</v>
      </c>
      <c r="W1628">
        <v>0</v>
      </c>
      <c r="X1628">
        <v>1</v>
      </c>
      <c r="Y1628">
        <v>0.4642</v>
      </c>
      <c r="Z1628">
        <v>1</v>
      </c>
    </row>
    <row r="1629" spans="1:26" x14ac:dyDescent="0.2">
      <c r="A1629" t="s">
        <v>141</v>
      </c>
      <c r="B1629">
        <v>2013</v>
      </c>
      <c r="C1629" t="str">
        <f t="shared" si="25"/>
        <v>SHI2013</v>
      </c>
      <c r="D1629">
        <v>3.5209431025143279E-15</v>
      </c>
      <c r="E1629">
        <v>1.9648368733541751E-2</v>
      </c>
      <c r="F1629">
        <v>0.82140696287188797</v>
      </c>
      <c r="G1629">
        <v>27.984342261187351</v>
      </c>
      <c r="H1629">
        <v>1.03974376498145</v>
      </c>
      <c r="I1629">
        <v>0.73559721503636366</v>
      </c>
      <c r="J1629">
        <v>-0.1179878681821311</v>
      </c>
      <c r="K1629">
        <v>2.527427295848016E-2</v>
      </c>
      <c r="L1629">
        <v>0.23316573357653891</v>
      </c>
      <c r="M1629">
        <v>15</v>
      </c>
      <c r="N1629">
        <v>0</v>
      </c>
      <c r="O1629">
        <v>0</v>
      </c>
      <c r="P1629">
        <v>0.5109999999999999</v>
      </c>
      <c r="Q1629">
        <v>0.5292</v>
      </c>
      <c r="R1629">
        <v>0</v>
      </c>
      <c r="S1629">
        <v>0</v>
      </c>
      <c r="T1629">
        <v>0</v>
      </c>
      <c r="U1629">
        <v>8</v>
      </c>
      <c r="V1629">
        <v>0</v>
      </c>
      <c r="W1629">
        <v>0</v>
      </c>
      <c r="X1629">
        <v>1</v>
      </c>
      <c r="Y1629">
        <v>0.46860000000000002</v>
      </c>
      <c r="Z1629">
        <v>1</v>
      </c>
    </row>
    <row r="1630" spans="1:26" x14ac:dyDescent="0.2">
      <c r="A1630" t="s">
        <v>141</v>
      </c>
      <c r="B1630">
        <v>2014</v>
      </c>
      <c r="C1630" t="str">
        <f t="shared" si="25"/>
        <v>SHI2014</v>
      </c>
      <c r="D1630">
        <v>1.167806324987152E-14</v>
      </c>
      <c r="E1630">
        <v>7.5619137592216237E-2</v>
      </c>
      <c r="F1630">
        <v>0.88283533405555847</v>
      </c>
      <c r="G1630">
        <v>28.147144751959171</v>
      </c>
      <c r="H1630">
        <v>1.057810042835716</v>
      </c>
      <c r="I1630">
        <v>0.7351438980309547</v>
      </c>
      <c r="J1630">
        <v>0.1768042370368712</v>
      </c>
      <c r="K1630">
        <v>-4.2351649630925402E-3</v>
      </c>
      <c r="L1630">
        <v>0.22149593398158859</v>
      </c>
      <c r="M1630">
        <v>16</v>
      </c>
      <c r="N1630">
        <v>0</v>
      </c>
      <c r="O1630">
        <v>0</v>
      </c>
      <c r="P1630">
        <v>0.57340000000000002</v>
      </c>
      <c r="Q1630">
        <v>0.37409999999999999</v>
      </c>
      <c r="R1630">
        <v>0</v>
      </c>
      <c r="S1630">
        <v>0</v>
      </c>
      <c r="T1630">
        <v>0.16719999999999999</v>
      </c>
      <c r="U1630">
        <v>7</v>
      </c>
      <c r="V1630">
        <v>0</v>
      </c>
      <c r="W1630">
        <v>0</v>
      </c>
      <c r="X1630">
        <v>1</v>
      </c>
      <c r="Y1630">
        <v>0.47289999999999999</v>
      </c>
      <c r="Z1630">
        <v>1</v>
      </c>
    </row>
    <row r="1631" spans="1:26" x14ac:dyDescent="0.2">
      <c r="A1631" t="s">
        <v>141</v>
      </c>
      <c r="B1631">
        <v>2015</v>
      </c>
      <c r="C1631" t="str">
        <f t="shared" si="25"/>
        <v>SHI2015</v>
      </c>
      <c r="D1631">
        <v>2.3117641025653699E-14</v>
      </c>
      <c r="E1631">
        <v>0.1074123065620569</v>
      </c>
      <c r="F1631">
        <v>0.96934983310463607</v>
      </c>
      <c r="G1631">
        <v>28.21096928433548</v>
      </c>
      <c r="H1631">
        <v>1.0912945333549211</v>
      </c>
      <c r="I1631">
        <v>0.61562267301924944</v>
      </c>
      <c r="J1631">
        <v>6.5905350472601265E-2</v>
      </c>
      <c r="K1631">
        <v>-5.3930378131768937E-2</v>
      </c>
      <c r="L1631">
        <v>0.25447218498734558</v>
      </c>
      <c r="M1631">
        <v>17</v>
      </c>
      <c r="N1631">
        <v>0</v>
      </c>
      <c r="O1631">
        <v>0</v>
      </c>
      <c r="P1631">
        <v>0.39739999999999998</v>
      </c>
      <c r="Q1631">
        <v>0.33450000000000002</v>
      </c>
      <c r="R1631">
        <v>6.8099999999999994E-2</v>
      </c>
      <c r="S1631">
        <v>0</v>
      </c>
      <c r="T1631">
        <v>6.8099999999999994E-2</v>
      </c>
      <c r="U1631">
        <v>6</v>
      </c>
      <c r="V1631">
        <v>0</v>
      </c>
      <c r="W1631">
        <v>0</v>
      </c>
      <c r="X1631">
        <v>1</v>
      </c>
      <c r="Y1631">
        <v>0.45850000000000002</v>
      </c>
      <c r="Z1631">
        <v>1</v>
      </c>
    </row>
    <row r="1632" spans="1:26" x14ac:dyDescent="0.2">
      <c r="A1632" t="s">
        <v>141</v>
      </c>
      <c r="B1632">
        <v>2016</v>
      </c>
      <c r="C1632" t="str">
        <f t="shared" si="25"/>
        <v>SHI2016</v>
      </c>
      <c r="D1632">
        <v>2.2687013066678219E-14</v>
      </c>
      <c r="E1632">
        <v>0.12257739987806041</v>
      </c>
      <c r="F1632">
        <v>0.84150018473646671</v>
      </c>
      <c r="G1632">
        <v>28.389265042438819</v>
      </c>
      <c r="H1632">
        <v>1.212660620455704</v>
      </c>
      <c r="I1632">
        <v>0.60493544241867681</v>
      </c>
      <c r="J1632">
        <v>0.1951787527681674</v>
      </c>
      <c r="K1632">
        <v>1.5357727462949959E-2</v>
      </c>
      <c r="L1632">
        <v>0.19327710889526839</v>
      </c>
      <c r="M1632">
        <v>18</v>
      </c>
      <c r="N1632">
        <v>0</v>
      </c>
      <c r="O1632">
        <v>0</v>
      </c>
      <c r="P1632">
        <v>0.34799999999999998</v>
      </c>
      <c r="Q1632">
        <v>0.3508</v>
      </c>
      <c r="R1632">
        <v>0</v>
      </c>
      <c r="S1632">
        <v>0</v>
      </c>
      <c r="T1632">
        <v>0</v>
      </c>
      <c r="U1632">
        <v>6</v>
      </c>
      <c r="V1632">
        <v>0</v>
      </c>
      <c r="W1632">
        <v>0</v>
      </c>
      <c r="X1632">
        <v>1</v>
      </c>
      <c r="Y1632">
        <v>0.47910000000000003</v>
      </c>
      <c r="Z1632">
        <v>1</v>
      </c>
    </row>
    <row r="1633" spans="1:26" x14ac:dyDescent="0.2">
      <c r="A1633" t="s">
        <v>141</v>
      </c>
      <c r="B1633">
        <v>2017</v>
      </c>
      <c r="C1633" t="str">
        <f t="shared" si="25"/>
        <v>SHI2017</v>
      </c>
      <c r="D1633">
        <v>1.189570272409571E-14</v>
      </c>
      <c r="E1633">
        <v>0.11501337015257181</v>
      </c>
      <c r="F1633">
        <v>0.84875036687091576</v>
      </c>
      <c r="G1633">
        <v>28.722080121661449</v>
      </c>
      <c r="H1633">
        <v>1.322472793873708</v>
      </c>
      <c r="I1633">
        <v>0.69204824835764722</v>
      </c>
      <c r="J1633">
        <v>0.39488933059936648</v>
      </c>
      <c r="K1633">
        <v>-0.1026695335110593</v>
      </c>
      <c r="L1633">
        <v>0.20430396326007999</v>
      </c>
      <c r="M1633">
        <v>19</v>
      </c>
      <c r="N1633">
        <v>0</v>
      </c>
      <c r="O1633">
        <v>0</v>
      </c>
      <c r="P1633">
        <v>0.32740000000000002</v>
      </c>
      <c r="Q1633">
        <v>0.32409999999999989</v>
      </c>
      <c r="R1633">
        <v>0</v>
      </c>
      <c r="S1633">
        <v>0</v>
      </c>
      <c r="T1633">
        <v>0</v>
      </c>
      <c r="U1633">
        <v>6</v>
      </c>
      <c r="V1633">
        <v>1</v>
      </c>
      <c r="W1633">
        <v>0.1666666666666666</v>
      </c>
      <c r="X1633">
        <v>1</v>
      </c>
      <c r="Y1633">
        <v>0.46729999999999999</v>
      </c>
      <c r="Z1633">
        <v>1</v>
      </c>
    </row>
    <row r="1634" spans="1:26" x14ac:dyDescent="0.2">
      <c r="A1634" t="s">
        <v>141</v>
      </c>
      <c r="B1634">
        <v>2018</v>
      </c>
      <c r="C1634" t="str">
        <f t="shared" si="25"/>
        <v>SHI2018</v>
      </c>
      <c r="D1634">
        <v>8.6801832373314468E-15</v>
      </c>
      <c r="E1634">
        <v>9.6870547214508079E-2</v>
      </c>
      <c r="F1634">
        <v>0.84280651799890105</v>
      </c>
      <c r="G1634">
        <v>28.89218394864092</v>
      </c>
      <c r="H1634">
        <v>1.2317671776347781</v>
      </c>
      <c r="I1634">
        <v>0.68373349510987413</v>
      </c>
      <c r="J1634">
        <v>0.18542792433187591</v>
      </c>
      <c r="K1634">
        <v>3.44232731075792E-2</v>
      </c>
      <c r="L1634">
        <v>0.2215981650373838</v>
      </c>
      <c r="M1634">
        <v>20</v>
      </c>
      <c r="N1634">
        <v>0</v>
      </c>
      <c r="O1634">
        <v>0</v>
      </c>
      <c r="P1634">
        <v>0.2596</v>
      </c>
      <c r="Q1634">
        <v>0.26090000000000002</v>
      </c>
      <c r="R1634">
        <v>0</v>
      </c>
      <c r="S1634">
        <v>0</v>
      </c>
      <c r="T1634">
        <v>0</v>
      </c>
      <c r="U1634">
        <v>6</v>
      </c>
      <c r="V1634">
        <v>1</v>
      </c>
      <c r="W1634">
        <v>0.1666666666666666</v>
      </c>
      <c r="X1634">
        <v>1</v>
      </c>
      <c r="Y1634">
        <v>0.50249999999999995</v>
      </c>
      <c r="Z1634">
        <v>1</v>
      </c>
    </row>
    <row r="1635" spans="1:26" x14ac:dyDescent="0.2">
      <c r="A1635" t="s">
        <v>141</v>
      </c>
      <c r="B1635">
        <v>2019</v>
      </c>
      <c r="C1635" t="str">
        <f t="shared" si="25"/>
        <v>SHI2019</v>
      </c>
      <c r="D1635">
        <v>6.4114624788355472E-15</v>
      </c>
      <c r="E1635">
        <v>8.2956752358419039E-2</v>
      </c>
      <c r="F1635">
        <v>0.87413421362785915</v>
      </c>
      <c r="G1635">
        <v>29.032508520123621</v>
      </c>
      <c r="H1635">
        <v>1.2158592606168099</v>
      </c>
      <c r="I1635">
        <v>0.68612002493011037</v>
      </c>
      <c r="J1635">
        <v>0.15064720552493241</v>
      </c>
      <c r="K1635">
        <v>-4.9031902130753077E-2</v>
      </c>
      <c r="L1635">
        <v>0.1904956205580208</v>
      </c>
      <c r="M1635">
        <v>21</v>
      </c>
      <c r="N1635">
        <v>0</v>
      </c>
      <c r="O1635">
        <v>1</v>
      </c>
      <c r="P1635">
        <v>0.2767</v>
      </c>
      <c r="Q1635">
        <v>0.16059999999999999</v>
      </c>
      <c r="R1635">
        <v>0</v>
      </c>
      <c r="S1635">
        <v>0</v>
      </c>
      <c r="T1635">
        <v>0.1164</v>
      </c>
      <c r="U1635">
        <v>6</v>
      </c>
      <c r="V1635">
        <v>0</v>
      </c>
      <c r="W1635">
        <v>0.1666666666666666</v>
      </c>
      <c r="X1635">
        <v>1</v>
      </c>
      <c r="Y1635">
        <v>0.48709999999999998</v>
      </c>
      <c r="Z1635">
        <v>1</v>
      </c>
    </row>
    <row r="1636" spans="1:26" x14ac:dyDescent="0.2">
      <c r="A1636" t="s">
        <v>141</v>
      </c>
      <c r="B1636">
        <v>2020</v>
      </c>
      <c r="C1636" t="str">
        <f t="shared" si="25"/>
        <v>SHI2020</v>
      </c>
      <c r="D1636">
        <v>4.4107176710563672E-15</v>
      </c>
      <c r="E1636">
        <v>6.7668246501390333E-2</v>
      </c>
      <c r="F1636">
        <v>0.89243758480222679</v>
      </c>
      <c r="G1636">
        <v>29.13615975568635</v>
      </c>
      <c r="H1636">
        <v>1.169616642133319</v>
      </c>
      <c r="I1636">
        <v>0.70637181363232626</v>
      </c>
      <c r="J1636">
        <v>0.1092135332135111</v>
      </c>
      <c r="K1636">
        <v>5.911574084643708E-2</v>
      </c>
      <c r="L1636">
        <v>0.19445055116923621</v>
      </c>
      <c r="M1636">
        <v>22</v>
      </c>
      <c r="N1636">
        <v>0</v>
      </c>
      <c r="O1636">
        <v>1</v>
      </c>
      <c r="P1636">
        <v>0.25569999999999998</v>
      </c>
      <c r="Q1636">
        <v>0.1603</v>
      </c>
      <c r="R1636">
        <v>0</v>
      </c>
      <c r="S1636">
        <v>0</v>
      </c>
      <c r="T1636">
        <v>9.5899999999999999E-2</v>
      </c>
      <c r="U1636">
        <v>6</v>
      </c>
      <c r="V1636">
        <v>0</v>
      </c>
      <c r="W1636">
        <v>0.1666666666666666</v>
      </c>
      <c r="X1636">
        <v>1</v>
      </c>
      <c r="Y1636">
        <v>0.47199999999999998</v>
      </c>
      <c r="Z1636">
        <v>1</v>
      </c>
    </row>
    <row r="1637" spans="1:26" x14ac:dyDescent="0.2">
      <c r="A1637" t="s">
        <v>141</v>
      </c>
      <c r="B1637">
        <v>2021</v>
      </c>
      <c r="C1637" t="str">
        <f t="shared" si="25"/>
        <v>SHI2021</v>
      </c>
      <c r="D1637">
        <v>3.9166860298436273E-15</v>
      </c>
      <c r="E1637">
        <v>0.1001777295506302</v>
      </c>
      <c r="F1637">
        <v>1.03538041398972</v>
      </c>
      <c r="G1637">
        <v>29.407227793911989</v>
      </c>
      <c r="H1637">
        <v>1.1535145182075039</v>
      </c>
      <c r="I1637">
        <v>0.76903597818067193</v>
      </c>
      <c r="J1637">
        <v>0.31136429024885109</v>
      </c>
      <c r="K1637">
        <v>-3.7115460684812619E-2</v>
      </c>
      <c r="L1637">
        <v>0.15280952986478519</v>
      </c>
      <c r="M1637">
        <v>23</v>
      </c>
      <c r="N1637">
        <v>0</v>
      </c>
      <c r="O1637">
        <v>0</v>
      </c>
      <c r="P1637">
        <v>0.67970000000000008</v>
      </c>
      <c r="Q1637">
        <v>0.1018</v>
      </c>
      <c r="R1637">
        <v>0</v>
      </c>
      <c r="S1637">
        <v>0</v>
      </c>
      <c r="T1637">
        <v>9.5899999999999999E-2</v>
      </c>
      <c r="U1637">
        <v>6</v>
      </c>
      <c r="V1637">
        <v>0</v>
      </c>
      <c r="W1637">
        <v>0.1666666666666666</v>
      </c>
      <c r="X1637">
        <v>1</v>
      </c>
      <c r="Y1637">
        <v>0.44359999999999999</v>
      </c>
      <c r="Z1637">
        <v>1</v>
      </c>
    </row>
    <row r="1638" spans="1:26" x14ac:dyDescent="0.2">
      <c r="A1638" t="s">
        <v>141</v>
      </c>
      <c r="B1638">
        <v>2022</v>
      </c>
      <c r="C1638" t="str">
        <f t="shared" si="25"/>
        <v>SHI2022</v>
      </c>
      <c r="D1638">
        <v>1.8029164616394568E-15</v>
      </c>
      <c r="E1638">
        <v>4.9422427330369688E-2</v>
      </c>
      <c r="F1638">
        <v>1.0626575323009471</v>
      </c>
      <c r="G1638">
        <v>29.623105279714071</v>
      </c>
      <c r="H1638">
        <v>1.1462931079263869</v>
      </c>
      <c r="I1638">
        <v>0.73257457638960255</v>
      </c>
      <c r="J1638">
        <v>0.24105949580230579</v>
      </c>
      <c r="K1638">
        <v>-2.0542886532778401E-2</v>
      </c>
      <c r="L1638">
        <v>0.19357382134935699</v>
      </c>
      <c r="M1638">
        <v>24</v>
      </c>
      <c r="N1638">
        <v>0</v>
      </c>
      <c r="O1638">
        <v>0</v>
      </c>
      <c r="P1638">
        <v>0.36749999999999999</v>
      </c>
      <c r="Q1638">
        <v>0.1072</v>
      </c>
      <c r="R1638">
        <v>0</v>
      </c>
      <c r="S1638">
        <v>0</v>
      </c>
      <c r="T1638">
        <v>0.26050000000000001</v>
      </c>
      <c r="U1638">
        <v>6</v>
      </c>
      <c r="V1638">
        <v>0</v>
      </c>
      <c r="W1638">
        <v>0.1666666666666666</v>
      </c>
      <c r="X1638">
        <v>1</v>
      </c>
      <c r="Y1638">
        <v>0.46</v>
      </c>
      <c r="Z1638">
        <v>1</v>
      </c>
    </row>
    <row r="1639" spans="1:26" x14ac:dyDescent="0.2">
      <c r="A1639" t="s">
        <v>141</v>
      </c>
      <c r="B1639">
        <v>2023</v>
      </c>
      <c r="C1639" t="str">
        <f t="shared" si="25"/>
        <v>SHI2023</v>
      </c>
      <c r="D1639">
        <v>819557848559.07288</v>
      </c>
      <c r="E1639">
        <v>1.5523298187552541E-2</v>
      </c>
      <c r="F1639">
        <v>0.78827606505235537</v>
      </c>
      <c r="G1639">
        <v>29.656769810634149</v>
      </c>
      <c r="H1639">
        <v>1.175805397467204</v>
      </c>
      <c r="I1639">
        <v>0.49794032826591061</v>
      </c>
      <c r="J1639">
        <v>3.4146625121818319E-2</v>
      </c>
      <c r="K1639">
        <v>3.8660453507748743E-2</v>
      </c>
      <c r="L1639">
        <v>0.16413108954767769</v>
      </c>
      <c r="M1639">
        <v>25</v>
      </c>
      <c r="N1639">
        <v>0</v>
      </c>
      <c r="O1639">
        <v>0</v>
      </c>
      <c r="P1639">
        <v>0.36749999999999999</v>
      </c>
      <c r="Q1639">
        <v>0.1072</v>
      </c>
      <c r="R1639">
        <v>0</v>
      </c>
      <c r="S1639">
        <v>0</v>
      </c>
      <c r="T1639">
        <v>0.26050000000000001</v>
      </c>
      <c r="U1639">
        <v>6</v>
      </c>
      <c r="V1639">
        <v>0</v>
      </c>
      <c r="W1639">
        <v>0.1666666666666666</v>
      </c>
      <c r="X1639">
        <v>1</v>
      </c>
      <c r="Y1639">
        <v>0.46</v>
      </c>
      <c r="Z1639">
        <v>1</v>
      </c>
    </row>
    <row r="1640" spans="1:26" x14ac:dyDescent="0.2">
      <c r="A1640" t="s">
        <v>142</v>
      </c>
      <c r="B1640">
        <v>2012</v>
      </c>
      <c r="C1640" t="str">
        <f t="shared" si="25"/>
        <v>SJ12012</v>
      </c>
      <c r="D1640">
        <v>3.247388703927558E-13</v>
      </c>
      <c r="E1640">
        <v>0.1200305194831362</v>
      </c>
      <c r="F1640">
        <v>0.8861466198649417</v>
      </c>
      <c r="G1640">
        <v>25.971409486104509</v>
      </c>
      <c r="H1640">
        <v>1.1949290886790169</v>
      </c>
      <c r="I1640">
        <v>0.48538502827022878</v>
      </c>
      <c r="J1640">
        <v>0.228523918838031</v>
      </c>
      <c r="K1640">
        <v>-0.10451283004571101</v>
      </c>
      <c r="L1640">
        <v>0.34122276540766661</v>
      </c>
      <c r="M1640">
        <v>12</v>
      </c>
      <c r="N1640">
        <v>0</v>
      </c>
      <c r="O1640">
        <v>0</v>
      </c>
      <c r="P1640">
        <v>0.45540000000000003</v>
      </c>
      <c r="Q1640">
        <v>9.849999999999999E-2</v>
      </c>
      <c r="R1640">
        <v>0</v>
      </c>
      <c r="S1640">
        <v>0.1714</v>
      </c>
      <c r="T1640">
        <v>0.39739999999999998</v>
      </c>
      <c r="U1640">
        <v>6</v>
      </c>
      <c r="V1640">
        <v>0</v>
      </c>
      <c r="W1640">
        <v>0.1666666666666666</v>
      </c>
      <c r="X1640">
        <v>0</v>
      </c>
      <c r="Y1640">
        <v>0.39439999999999997</v>
      </c>
      <c r="Z1640">
        <v>1</v>
      </c>
    </row>
    <row r="1641" spans="1:26" x14ac:dyDescent="0.2">
      <c r="A1641" t="s">
        <v>142</v>
      </c>
      <c r="B1641">
        <v>2013</v>
      </c>
      <c r="C1641" t="str">
        <f t="shared" si="25"/>
        <v>SJ12013</v>
      </c>
      <c r="D1641">
        <v>1.49488848596503E-13</v>
      </c>
      <c r="E1641">
        <v>8.1425940350288439E-2</v>
      </c>
      <c r="F1641">
        <v>0.95859609371940491</v>
      </c>
      <c r="G1641">
        <v>26.18071265912268</v>
      </c>
      <c r="H1641">
        <v>1.1669080383800421</v>
      </c>
      <c r="I1641">
        <v>0.56948820531548161</v>
      </c>
      <c r="J1641">
        <v>0.23281869924531759</v>
      </c>
      <c r="K1641">
        <v>-7.9196598556793868E-2</v>
      </c>
      <c r="L1641">
        <v>0.29253001525830652</v>
      </c>
      <c r="M1641">
        <v>13</v>
      </c>
      <c r="N1641">
        <v>0</v>
      </c>
      <c r="O1641">
        <v>0</v>
      </c>
      <c r="P1641">
        <v>0.39729999999999999</v>
      </c>
      <c r="Q1641">
        <v>0.10539999999999999</v>
      </c>
      <c r="R1641">
        <v>0</v>
      </c>
      <c r="S1641">
        <v>0.1714</v>
      </c>
      <c r="T1641">
        <v>0.39729999999999999</v>
      </c>
      <c r="U1641">
        <v>6</v>
      </c>
      <c r="V1641">
        <v>0</v>
      </c>
      <c r="W1641">
        <v>0.1666666666666666</v>
      </c>
      <c r="X1641">
        <v>1</v>
      </c>
      <c r="Y1641">
        <v>0.40450000000000003</v>
      </c>
      <c r="Z1641">
        <v>1</v>
      </c>
    </row>
    <row r="1642" spans="1:26" x14ac:dyDescent="0.2">
      <c r="A1642" t="s">
        <v>142</v>
      </c>
      <c r="B1642">
        <v>2014</v>
      </c>
      <c r="C1642" t="str">
        <f t="shared" si="25"/>
        <v>SJ12014</v>
      </c>
      <c r="D1642">
        <v>1.3576447058974041E-13</v>
      </c>
      <c r="E1642">
        <v>9.7435436449255744E-2</v>
      </c>
      <c r="F1642">
        <v>0.99600082058812145</v>
      </c>
      <c r="G1642">
        <v>26.43269576686496</v>
      </c>
      <c r="H1642">
        <v>1.104584424978545</v>
      </c>
      <c r="I1642">
        <v>0.57961897096278514</v>
      </c>
      <c r="J1642">
        <v>0.28657430395654798</v>
      </c>
      <c r="K1642">
        <v>-8.9636909129195905E-2</v>
      </c>
      <c r="L1642">
        <v>0.2283126056574537</v>
      </c>
      <c r="M1642">
        <v>14</v>
      </c>
      <c r="N1642">
        <v>0</v>
      </c>
      <c r="O1642">
        <v>0</v>
      </c>
      <c r="P1642">
        <v>0.45519999999999999</v>
      </c>
      <c r="Q1642">
        <v>0.4889</v>
      </c>
      <c r="R1642">
        <v>0</v>
      </c>
      <c r="S1642">
        <v>0.1714</v>
      </c>
      <c r="T1642">
        <v>0.40510000000000013</v>
      </c>
      <c r="U1642">
        <v>7</v>
      </c>
      <c r="V1642">
        <v>0</v>
      </c>
      <c r="W1642">
        <v>0.14285714285714279</v>
      </c>
      <c r="X1642">
        <v>1</v>
      </c>
      <c r="Y1642">
        <v>0.4083</v>
      </c>
      <c r="Z1642">
        <v>1</v>
      </c>
    </row>
    <row r="1643" spans="1:26" x14ac:dyDescent="0.2">
      <c r="A1643" t="s">
        <v>142</v>
      </c>
      <c r="B1643">
        <v>2015</v>
      </c>
      <c r="C1643" t="str">
        <f t="shared" si="25"/>
        <v>SJ12015</v>
      </c>
      <c r="D1643">
        <v>9.9705478969135595E-14</v>
      </c>
      <c r="E1643">
        <v>0.115734496273316</v>
      </c>
      <c r="F1643">
        <v>1.0171487620024451</v>
      </c>
      <c r="G1643">
        <v>26.723291773378659</v>
      </c>
      <c r="H1643">
        <v>1.238335156293797</v>
      </c>
      <c r="I1643">
        <v>0.65243634644329718</v>
      </c>
      <c r="J1643">
        <v>0</v>
      </c>
      <c r="K1643">
        <v>2.6917100772984381E-2</v>
      </c>
      <c r="L1643">
        <v>0.23895984863579431</v>
      </c>
      <c r="M1643">
        <v>15</v>
      </c>
      <c r="N1643">
        <v>0</v>
      </c>
      <c r="O1643">
        <v>0</v>
      </c>
      <c r="P1643">
        <v>0.39269999999999988</v>
      </c>
      <c r="Q1643">
        <v>0.1091</v>
      </c>
      <c r="R1643">
        <v>0</v>
      </c>
      <c r="S1643">
        <v>0.1694</v>
      </c>
      <c r="T1643">
        <v>0.39269999999999988</v>
      </c>
      <c r="U1643">
        <v>7</v>
      </c>
      <c r="V1643">
        <v>0</v>
      </c>
      <c r="W1643">
        <v>0.2857142857142857</v>
      </c>
      <c r="X1643">
        <v>1</v>
      </c>
      <c r="Y1643">
        <v>0.38140000000000002</v>
      </c>
      <c r="Z1643">
        <v>1</v>
      </c>
    </row>
    <row r="1644" spans="1:26" x14ac:dyDescent="0.2">
      <c r="A1644" t="s">
        <v>142</v>
      </c>
      <c r="B1644">
        <v>2016</v>
      </c>
      <c r="C1644" t="str">
        <f t="shared" si="25"/>
        <v>SJ12016</v>
      </c>
      <c r="D1644">
        <v>4.8362171880539362E-14</v>
      </c>
      <c r="E1644">
        <v>0.16971280915644521</v>
      </c>
      <c r="F1644">
        <v>1.0755875602386511</v>
      </c>
      <c r="G1644">
        <v>27.321994029063291</v>
      </c>
      <c r="H1644" t="e">
        <v>#N/A</v>
      </c>
      <c r="I1644">
        <v>0.79079001155512996</v>
      </c>
      <c r="J1644">
        <v>1.1963695656123989</v>
      </c>
      <c r="K1644">
        <v>-7.3039288417461018E-2</v>
      </c>
      <c r="L1644">
        <v>0.27648326942672408</v>
      </c>
      <c r="M1644">
        <v>16</v>
      </c>
      <c r="N1644">
        <v>0</v>
      </c>
      <c r="O1644">
        <v>0</v>
      </c>
      <c r="P1644">
        <v>0.39269999999999988</v>
      </c>
      <c r="Q1644">
        <v>0.1246</v>
      </c>
      <c r="R1644">
        <v>0</v>
      </c>
      <c r="S1644">
        <v>0.1694</v>
      </c>
      <c r="T1644">
        <v>0.39269999999999988</v>
      </c>
      <c r="U1644">
        <v>7</v>
      </c>
      <c r="V1644">
        <v>0</v>
      </c>
      <c r="W1644">
        <v>0.2857142857142857</v>
      </c>
      <c r="X1644">
        <v>1</v>
      </c>
      <c r="Y1644">
        <v>0.38750000000000001</v>
      </c>
      <c r="Z1644">
        <v>1</v>
      </c>
    </row>
    <row r="1645" spans="1:26" x14ac:dyDescent="0.2">
      <c r="A1645" t="s">
        <v>142</v>
      </c>
      <c r="B1645">
        <v>2017</v>
      </c>
      <c r="C1645" t="str">
        <f t="shared" si="25"/>
        <v>SJ12017</v>
      </c>
      <c r="D1645">
        <v>2.6539455319878869E-14</v>
      </c>
      <c r="E1645">
        <v>7.8476905308924053E-2</v>
      </c>
      <c r="F1645">
        <v>0.99068739836668662</v>
      </c>
      <c r="G1645">
        <v>27.510097573218449</v>
      </c>
      <c r="H1645">
        <v>1.0666947769344779</v>
      </c>
      <c r="I1645">
        <v>0.70033659532015491</v>
      </c>
      <c r="J1645">
        <v>7.5361138845017051E-2</v>
      </c>
      <c r="K1645">
        <v>-5.2882286569346362E-2</v>
      </c>
      <c r="L1645">
        <v>0.24238376300228881</v>
      </c>
      <c r="M1645">
        <v>17</v>
      </c>
      <c r="N1645">
        <v>0</v>
      </c>
      <c r="O1645">
        <v>0</v>
      </c>
      <c r="P1645">
        <v>0.39269999999999988</v>
      </c>
      <c r="Q1645">
        <v>7.9500000000000001E-2</v>
      </c>
      <c r="R1645">
        <v>0</v>
      </c>
      <c r="S1645">
        <v>0.1694</v>
      </c>
      <c r="T1645">
        <v>0.39269999999999988</v>
      </c>
      <c r="U1645">
        <v>7</v>
      </c>
      <c r="V1645">
        <v>0</v>
      </c>
      <c r="W1645">
        <v>0.2857142857142857</v>
      </c>
      <c r="X1645">
        <v>1</v>
      </c>
      <c r="Y1645">
        <v>0.39750000000000002</v>
      </c>
      <c r="Z1645">
        <v>1</v>
      </c>
    </row>
    <row r="1646" spans="1:26" x14ac:dyDescent="0.2">
      <c r="A1646" t="s">
        <v>142</v>
      </c>
      <c r="B1646">
        <v>2018</v>
      </c>
      <c r="C1646" t="str">
        <f t="shared" si="25"/>
        <v>SJ12018</v>
      </c>
      <c r="D1646">
        <v>2.6960881931491869E-14</v>
      </c>
      <c r="E1646">
        <v>8.8953373361459434E-2</v>
      </c>
      <c r="F1646">
        <v>1.001568499626176</v>
      </c>
      <c r="G1646">
        <v>27.582754121493458</v>
      </c>
      <c r="H1646">
        <v>1.0863816298115501</v>
      </c>
      <c r="I1646">
        <v>0.71119175810983681</v>
      </c>
      <c r="J1646">
        <v>-1.1429569817547841E-2</v>
      </c>
      <c r="K1646">
        <v>-3.5609080949509681E-2</v>
      </c>
      <c r="L1646">
        <v>0.21880628608860209</v>
      </c>
      <c r="M1646">
        <v>18</v>
      </c>
      <c r="N1646">
        <v>0</v>
      </c>
      <c r="O1646">
        <v>0</v>
      </c>
      <c r="P1646">
        <v>0.42599999999999999</v>
      </c>
      <c r="Q1646">
        <v>0.1038</v>
      </c>
      <c r="R1646">
        <v>0</v>
      </c>
      <c r="S1646">
        <v>9.9900000000000003E-2</v>
      </c>
      <c r="T1646">
        <v>0.42599999999999999</v>
      </c>
      <c r="U1646">
        <v>8</v>
      </c>
      <c r="V1646">
        <v>0</v>
      </c>
      <c r="W1646">
        <v>0.25</v>
      </c>
      <c r="X1646">
        <v>1</v>
      </c>
      <c r="Y1646">
        <v>0.38729999999999998</v>
      </c>
      <c r="Z1646">
        <v>1</v>
      </c>
    </row>
    <row r="1647" spans="1:26" x14ac:dyDescent="0.2">
      <c r="A1647" t="s">
        <v>142</v>
      </c>
      <c r="B1647">
        <v>2019</v>
      </c>
      <c r="C1647" t="str">
        <f t="shared" si="25"/>
        <v>SJ12019</v>
      </c>
      <c r="D1647">
        <v>2.8309810072327521E-14</v>
      </c>
      <c r="E1647">
        <v>8.7481406230628625E-2</v>
      </c>
      <c r="F1647">
        <v>1.183476614861465</v>
      </c>
      <c r="G1647">
        <v>27.571258732137231</v>
      </c>
      <c r="H1647">
        <v>1.1227961577856931</v>
      </c>
      <c r="I1647">
        <v>0.69516366839845301</v>
      </c>
      <c r="J1647">
        <v>2.602675744170568E-2</v>
      </c>
      <c r="K1647">
        <v>7.2330954536818952E-3</v>
      </c>
      <c r="L1647">
        <v>0.1875084357239879</v>
      </c>
      <c r="M1647">
        <v>19</v>
      </c>
      <c r="N1647">
        <v>0</v>
      </c>
      <c r="O1647">
        <v>1</v>
      </c>
      <c r="P1647">
        <v>0.69299999999999995</v>
      </c>
      <c r="Q1647">
        <v>9.6600000000000005E-2</v>
      </c>
      <c r="R1647">
        <v>0</v>
      </c>
      <c r="S1647">
        <v>9.9900000000000003E-2</v>
      </c>
      <c r="T1647">
        <v>0.69299999999999995</v>
      </c>
      <c r="U1647">
        <v>8</v>
      </c>
      <c r="V1647">
        <v>0</v>
      </c>
      <c r="W1647">
        <v>0.25</v>
      </c>
      <c r="X1647">
        <v>1</v>
      </c>
      <c r="Y1647">
        <v>0.39069999999999999</v>
      </c>
      <c r="Z1647">
        <v>1</v>
      </c>
    </row>
    <row r="1648" spans="1:26" x14ac:dyDescent="0.2">
      <c r="A1648" t="s">
        <v>142</v>
      </c>
      <c r="B1648">
        <v>2020</v>
      </c>
      <c r="C1648" t="str">
        <f t="shared" si="25"/>
        <v>SJ12020</v>
      </c>
      <c r="D1648">
        <v>2.0013034850817291E-14</v>
      </c>
      <c r="E1648">
        <v>6.4038517453743476E-2</v>
      </c>
      <c r="F1648">
        <v>1.105978691934925</v>
      </c>
      <c r="G1648">
        <v>27.59695255792257</v>
      </c>
      <c r="H1648">
        <v>1.1059676661029449</v>
      </c>
      <c r="I1648">
        <v>0.69795204769569719</v>
      </c>
      <c r="J1648">
        <v>7.6861468073019523E-4</v>
      </c>
      <c r="K1648">
        <v>2.7911140637612748E-3</v>
      </c>
      <c r="L1648">
        <v>0.1571206888086383</v>
      </c>
      <c r="M1648">
        <v>20</v>
      </c>
      <c r="N1648">
        <v>0</v>
      </c>
      <c r="O1648">
        <v>1</v>
      </c>
      <c r="P1648">
        <v>0.66409999999999991</v>
      </c>
      <c r="Q1648">
        <v>1.2699999999999999E-2</v>
      </c>
      <c r="R1648">
        <v>0</v>
      </c>
      <c r="S1648">
        <v>9.5199999999999993E-2</v>
      </c>
      <c r="T1648">
        <v>0.66409999999999991</v>
      </c>
      <c r="U1648">
        <v>6</v>
      </c>
      <c r="V1648">
        <v>0</v>
      </c>
      <c r="W1648">
        <v>0.33333333333333331</v>
      </c>
      <c r="X1648">
        <v>1</v>
      </c>
      <c r="Y1648">
        <v>0.39539999999999997</v>
      </c>
      <c r="Z1648">
        <v>1</v>
      </c>
    </row>
    <row r="1649" spans="1:26" x14ac:dyDescent="0.2">
      <c r="A1649" t="s">
        <v>142</v>
      </c>
      <c r="B1649">
        <v>2021</v>
      </c>
      <c r="C1649" t="str">
        <f t="shared" si="25"/>
        <v>SJ12021</v>
      </c>
      <c r="D1649">
        <v>1.366889442291282E-14</v>
      </c>
      <c r="E1649">
        <v>4.3951913826916683E-2</v>
      </c>
      <c r="F1649">
        <v>1.047348801838031</v>
      </c>
      <c r="G1649">
        <v>27.59772087737031</v>
      </c>
      <c r="H1649">
        <v>1.042278385126117</v>
      </c>
      <c r="I1649">
        <v>0.69918915568721829</v>
      </c>
      <c r="J1649">
        <v>4.397031714886479E-2</v>
      </c>
      <c r="K1649">
        <v>1.2032187277411059E-2</v>
      </c>
      <c r="L1649">
        <v>0.17639651114122359</v>
      </c>
      <c r="M1649">
        <v>21</v>
      </c>
      <c r="N1649">
        <v>0</v>
      </c>
      <c r="O1649">
        <v>0</v>
      </c>
      <c r="P1649">
        <v>0.69330000000000003</v>
      </c>
      <c r="Q1649">
        <v>1.44E-2</v>
      </c>
      <c r="R1649">
        <v>0</v>
      </c>
      <c r="S1649">
        <v>9.9900000000000003E-2</v>
      </c>
      <c r="T1649">
        <v>0.69330000000000003</v>
      </c>
      <c r="U1649">
        <v>6</v>
      </c>
      <c r="V1649">
        <v>0</v>
      </c>
      <c r="W1649">
        <v>0.33333333333333331</v>
      </c>
      <c r="X1649">
        <v>1</v>
      </c>
      <c r="Y1649">
        <v>0.41539999999999999</v>
      </c>
      <c r="Z1649">
        <v>1</v>
      </c>
    </row>
    <row r="1650" spans="1:26" x14ac:dyDescent="0.2">
      <c r="A1650" t="s">
        <v>142</v>
      </c>
      <c r="B1650">
        <v>2022</v>
      </c>
      <c r="C1650" t="str">
        <f t="shared" si="25"/>
        <v>SJ12022</v>
      </c>
      <c r="D1650">
        <v>1.5721815065836299E-14</v>
      </c>
      <c r="E1650">
        <v>5.2284663248921621E-2</v>
      </c>
      <c r="F1650">
        <v>1.0614938948106689</v>
      </c>
      <c r="G1650">
        <v>27.640751934576809</v>
      </c>
      <c r="H1650">
        <v>1.04008250128124</v>
      </c>
      <c r="I1650">
        <v>0.696363197715126</v>
      </c>
      <c r="J1650">
        <v>0.14509016379312351</v>
      </c>
      <c r="K1650">
        <v>-3.2584876989230377E-2</v>
      </c>
      <c r="L1650">
        <v>0.16541466946865821</v>
      </c>
      <c r="M1650">
        <v>22</v>
      </c>
      <c r="N1650">
        <v>0</v>
      </c>
      <c r="O1650">
        <v>0</v>
      </c>
      <c r="P1650">
        <v>0.69330000000000003</v>
      </c>
      <c r="Q1650">
        <v>1.7999999999999999E-2</v>
      </c>
      <c r="R1650">
        <v>0</v>
      </c>
      <c r="S1650">
        <v>9.9900000000000003E-2</v>
      </c>
      <c r="T1650">
        <v>0.69330000000000003</v>
      </c>
      <c r="U1650">
        <v>5</v>
      </c>
      <c r="V1650">
        <v>0</v>
      </c>
      <c r="W1650">
        <v>0.4</v>
      </c>
      <c r="X1650">
        <v>1</v>
      </c>
      <c r="Y1650">
        <v>0.43099999999999999</v>
      </c>
      <c r="Z1650">
        <v>1</v>
      </c>
    </row>
    <row r="1651" spans="1:26" x14ac:dyDescent="0.2">
      <c r="A1651" t="s">
        <v>143</v>
      </c>
      <c r="B1651">
        <v>2012</v>
      </c>
      <c r="C1651" t="str">
        <f t="shared" si="25"/>
        <v>SLS2012</v>
      </c>
      <c r="D1651">
        <v>1.0684136637078891E-12</v>
      </c>
      <c r="E1651">
        <v>0.43368665371779141</v>
      </c>
      <c r="F1651">
        <v>1.0958576915485581</v>
      </c>
      <c r="G1651">
        <v>26.261513969467359</v>
      </c>
      <c r="H1651">
        <v>1.3497944444200309</v>
      </c>
      <c r="I1651">
        <v>0.37368331778008529</v>
      </c>
      <c r="J1651">
        <v>2.5957708944211118E-2</v>
      </c>
      <c r="K1651">
        <v>0.21954666671807491</v>
      </c>
      <c r="L1651">
        <v>0.25737214695000799</v>
      </c>
      <c r="M1651">
        <v>15</v>
      </c>
      <c r="N1651">
        <v>0</v>
      </c>
      <c r="O1651">
        <v>0</v>
      </c>
      <c r="P1651">
        <v>0.89890000000000003</v>
      </c>
      <c r="Q1651">
        <v>0.2802</v>
      </c>
      <c r="R1651">
        <v>0</v>
      </c>
      <c r="S1651">
        <v>0.47460000000000002</v>
      </c>
      <c r="T1651">
        <v>0.62460000000000004</v>
      </c>
      <c r="U1651">
        <v>5</v>
      </c>
      <c r="V1651">
        <v>0</v>
      </c>
      <c r="W1651">
        <v>0.2</v>
      </c>
      <c r="X1651">
        <v>0</v>
      </c>
      <c r="Y1651">
        <v>0.48149999999999998</v>
      </c>
      <c r="Z1651">
        <v>1</v>
      </c>
    </row>
    <row r="1652" spans="1:26" x14ac:dyDescent="0.2">
      <c r="A1652" t="s">
        <v>143</v>
      </c>
      <c r="B1652">
        <v>2013</v>
      </c>
      <c r="C1652" t="str">
        <f t="shared" si="25"/>
        <v>SLS2013</v>
      </c>
      <c r="D1652">
        <v>7.909668675829026E-13</v>
      </c>
      <c r="E1652">
        <v>0.28275940001675809</v>
      </c>
      <c r="F1652">
        <v>1.0090440162000549</v>
      </c>
      <c r="G1652">
        <v>26.259142479906821</v>
      </c>
      <c r="H1652">
        <v>1.915133154746111</v>
      </c>
      <c r="I1652">
        <v>0.29051712209693731</v>
      </c>
      <c r="J1652">
        <v>-2.3686797967986668E-3</v>
      </c>
      <c r="K1652">
        <v>0.27263142062094592</v>
      </c>
      <c r="L1652">
        <v>0.3473761142027339</v>
      </c>
      <c r="M1652">
        <v>16</v>
      </c>
      <c r="N1652">
        <v>0</v>
      </c>
      <c r="O1652">
        <v>0</v>
      </c>
      <c r="P1652">
        <v>0.78430000000000011</v>
      </c>
      <c r="Q1652">
        <v>2.5899999999999999E-2</v>
      </c>
      <c r="R1652">
        <v>0</v>
      </c>
      <c r="S1652">
        <v>0.36</v>
      </c>
      <c r="T1652">
        <v>0.51</v>
      </c>
      <c r="U1652">
        <v>5</v>
      </c>
      <c r="V1652">
        <v>0</v>
      </c>
      <c r="W1652">
        <v>0.2</v>
      </c>
      <c r="X1652">
        <v>0</v>
      </c>
      <c r="Y1652">
        <v>0.47749999999999998</v>
      </c>
      <c r="Z1652">
        <v>1</v>
      </c>
    </row>
    <row r="1653" spans="1:26" x14ac:dyDescent="0.2">
      <c r="A1653" t="s">
        <v>143</v>
      </c>
      <c r="B1653">
        <v>2014</v>
      </c>
      <c r="C1653" t="str">
        <f t="shared" si="25"/>
        <v>SLS2014</v>
      </c>
      <c r="D1653">
        <v>2.9019455022021508E-13</v>
      </c>
      <c r="E1653">
        <v>0.1034866332536679</v>
      </c>
      <c r="F1653">
        <v>1.1569959637696841</v>
      </c>
      <c r="G1653">
        <v>26.217047838581319</v>
      </c>
      <c r="H1653">
        <v>2.161972384214971</v>
      </c>
      <c r="I1653">
        <v>0.31809448618092728</v>
      </c>
      <c r="J1653">
        <v>-4.1220963840377663E-2</v>
      </c>
      <c r="K1653">
        <v>-2.3176984551574891E-2</v>
      </c>
      <c r="L1653">
        <v>0.32599884939290091</v>
      </c>
      <c r="M1653">
        <v>17</v>
      </c>
      <c r="N1653">
        <v>0</v>
      </c>
      <c r="O1653">
        <v>0</v>
      </c>
      <c r="P1653">
        <v>0.68430000000000002</v>
      </c>
      <c r="Q1653">
        <v>1.12E-2</v>
      </c>
      <c r="R1653">
        <v>0</v>
      </c>
      <c r="S1653">
        <v>0.26</v>
      </c>
      <c r="T1653">
        <v>0.41</v>
      </c>
      <c r="U1653">
        <v>5</v>
      </c>
      <c r="V1653">
        <v>0</v>
      </c>
      <c r="W1653">
        <v>0.2</v>
      </c>
      <c r="X1653">
        <v>0</v>
      </c>
      <c r="Y1653">
        <v>0.49450000000000011</v>
      </c>
      <c r="Z1653">
        <v>1</v>
      </c>
    </row>
    <row r="1654" spans="1:26" x14ac:dyDescent="0.2">
      <c r="A1654" t="s">
        <v>143</v>
      </c>
      <c r="B1654">
        <v>2015</v>
      </c>
      <c r="C1654" t="str">
        <f t="shared" si="25"/>
        <v>SLS2015</v>
      </c>
      <c r="D1654">
        <v>1.142659198585006E-12</v>
      </c>
      <c r="E1654">
        <v>0.39805793984389448</v>
      </c>
      <c r="F1654">
        <v>1.578818770754038</v>
      </c>
      <c r="G1654">
        <v>26.294354271439691</v>
      </c>
      <c r="H1654">
        <v>2.0548894225751848</v>
      </c>
      <c r="I1654">
        <v>0.24584017301440941</v>
      </c>
      <c r="J1654">
        <v>0</v>
      </c>
      <c r="K1654">
        <v>0.31992963900379878</v>
      </c>
      <c r="L1654">
        <v>0.36537299205001739</v>
      </c>
      <c r="M1654">
        <v>18</v>
      </c>
      <c r="N1654">
        <v>0</v>
      </c>
      <c r="O1654">
        <v>0</v>
      </c>
      <c r="P1654">
        <v>0.42430000000000001</v>
      </c>
      <c r="Q1654">
        <v>2.1000000000000001E-2</v>
      </c>
      <c r="R1654">
        <v>0</v>
      </c>
      <c r="S1654">
        <v>0</v>
      </c>
      <c r="T1654">
        <v>0.15</v>
      </c>
      <c r="U1654">
        <v>5</v>
      </c>
      <c r="V1654">
        <v>0</v>
      </c>
      <c r="W1654">
        <v>0</v>
      </c>
      <c r="X1654">
        <v>0</v>
      </c>
      <c r="Y1654">
        <v>0.46250000000000002</v>
      </c>
      <c r="Z1654">
        <v>0.8</v>
      </c>
    </row>
    <row r="1655" spans="1:26" x14ac:dyDescent="0.2">
      <c r="A1655" t="s">
        <v>143</v>
      </c>
      <c r="B1655">
        <v>2016</v>
      </c>
      <c r="C1655" t="str">
        <f t="shared" si="25"/>
        <v>SLS2016</v>
      </c>
      <c r="D1655">
        <v>0</v>
      </c>
      <c r="E1655">
        <v>0</v>
      </c>
      <c r="F1655">
        <v>2.090884795947447</v>
      </c>
      <c r="G1655">
        <v>26.73222894166161</v>
      </c>
      <c r="H1655" t="e">
        <v>#N/A</v>
      </c>
      <c r="I1655">
        <v>0.33885628879632068</v>
      </c>
      <c r="J1655">
        <v>2.481538616385671</v>
      </c>
      <c r="K1655">
        <v>0</v>
      </c>
      <c r="L1655">
        <v>0.69445424153835122</v>
      </c>
      <c r="M1655">
        <v>19</v>
      </c>
      <c r="N1655">
        <v>0</v>
      </c>
      <c r="O1655">
        <v>0</v>
      </c>
      <c r="P1655">
        <v>0.42430000000000001</v>
      </c>
      <c r="Q1655">
        <v>2.52E-2</v>
      </c>
      <c r="R1655">
        <v>0</v>
      </c>
      <c r="S1655">
        <v>0</v>
      </c>
      <c r="T1655">
        <v>0.15</v>
      </c>
      <c r="U1655">
        <v>5</v>
      </c>
      <c r="V1655">
        <v>0</v>
      </c>
      <c r="W1655">
        <v>0.2</v>
      </c>
      <c r="X1655">
        <v>0</v>
      </c>
      <c r="Y1655">
        <v>0.5</v>
      </c>
      <c r="Z1655">
        <v>0.8</v>
      </c>
    </row>
    <row r="1656" spans="1:26" x14ac:dyDescent="0.2">
      <c r="A1656" t="s">
        <v>143</v>
      </c>
      <c r="B1656">
        <v>2017</v>
      </c>
      <c r="C1656" t="str">
        <f t="shared" si="25"/>
        <v>SLS2017</v>
      </c>
      <c r="D1656">
        <v>1.949197974496703E-13</v>
      </c>
      <c r="E1656">
        <v>0.3879020841053295</v>
      </c>
      <c r="F1656">
        <v>2.1105186448219579</v>
      </c>
      <c r="G1656">
        <v>27.54182859866021</v>
      </c>
      <c r="H1656">
        <v>1.664528000909965</v>
      </c>
      <c r="I1656">
        <v>0.540380950404871</v>
      </c>
      <c r="J1656">
        <v>0.53666112940294863</v>
      </c>
      <c r="K1656">
        <v>-0.1033742301179804</v>
      </c>
      <c r="L1656">
        <v>0.40546683948928691</v>
      </c>
      <c r="M1656">
        <v>20</v>
      </c>
      <c r="N1656">
        <v>0</v>
      </c>
      <c r="O1656">
        <v>0</v>
      </c>
      <c r="P1656">
        <v>0.42430000000000001</v>
      </c>
      <c r="Q1656">
        <v>2.1000000000000001E-2</v>
      </c>
      <c r="R1656">
        <v>0</v>
      </c>
      <c r="S1656">
        <v>0</v>
      </c>
      <c r="T1656">
        <v>0.15</v>
      </c>
      <c r="U1656">
        <v>6</v>
      </c>
      <c r="V1656">
        <v>0</v>
      </c>
      <c r="W1656">
        <v>0.1666666666666666</v>
      </c>
      <c r="X1656">
        <v>0</v>
      </c>
      <c r="Y1656">
        <v>0.48780000000000001</v>
      </c>
      <c r="Z1656">
        <v>0.66666666666666663</v>
      </c>
    </row>
    <row r="1657" spans="1:26" x14ac:dyDescent="0.2">
      <c r="A1657" t="s">
        <v>143</v>
      </c>
      <c r="B1657">
        <v>2018</v>
      </c>
      <c r="C1657" t="str">
        <f t="shared" si="25"/>
        <v>SLS2018</v>
      </c>
      <c r="D1657">
        <v>5.8685081298936615E-14</v>
      </c>
      <c r="E1657">
        <v>0.24244408008255</v>
      </c>
      <c r="F1657">
        <v>1.0095091097065989</v>
      </c>
      <c r="G1657">
        <v>27.971440563568748</v>
      </c>
      <c r="H1657">
        <v>1.164357383224722</v>
      </c>
      <c r="I1657">
        <v>0.65978111723017541</v>
      </c>
      <c r="J1657">
        <v>-7.388928051035526E-2</v>
      </c>
      <c r="K1657">
        <v>3.0764135886134511E-2</v>
      </c>
      <c r="L1657">
        <v>0.44584959960824011</v>
      </c>
      <c r="M1657">
        <v>21</v>
      </c>
      <c r="N1657">
        <v>0</v>
      </c>
      <c r="O1657">
        <v>0</v>
      </c>
      <c r="P1657">
        <v>0.42430000000000001</v>
      </c>
      <c r="Q1657">
        <v>2.1000000000000001E-2</v>
      </c>
      <c r="R1657">
        <v>0</v>
      </c>
      <c r="S1657">
        <v>0</v>
      </c>
      <c r="T1657">
        <v>0.15</v>
      </c>
      <c r="U1657">
        <v>5</v>
      </c>
      <c r="V1657">
        <v>0</v>
      </c>
      <c r="W1657">
        <v>0.2</v>
      </c>
      <c r="X1657">
        <v>0</v>
      </c>
      <c r="Y1657">
        <v>0.50670000000000004</v>
      </c>
      <c r="Z1657">
        <v>0.6</v>
      </c>
    </row>
    <row r="1658" spans="1:26" x14ac:dyDescent="0.2">
      <c r="A1658" t="s">
        <v>143</v>
      </c>
      <c r="B1658">
        <v>2019</v>
      </c>
      <c r="C1658" t="str">
        <f t="shared" si="25"/>
        <v>SLS2019</v>
      </c>
      <c r="D1658">
        <v>3.7321655572021613E-14</v>
      </c>
      <c r="E1658">
        <v>0.1254574538212084</v>
      </c>
      <c r="F1658">
        <v>0.93172458803036928</v>
      </c>
      <c r="G1658">
        <v>27.89467907956859</v>
      </c>
      <c r="H1658">
        <v>1.071576417776442</v>
      </c>
      <c r="I1658">
        <v>0.61276943476652246</v>
      </c>
      <c r="J1658">
        <v>-0.1336526893260549</v>
      </c>
      <c r="K1658">
        <v>0.12157048999550191</v>
      </c>
      <c r="L1658">
        <v>0.50220415297113852</v>
      </c>
      <c r="M1658">
        <v>22</v>
      </c>
      <c r="N1658">
        <v>0</v>
      </c>
      <c r="O1658">
        <v>1</v>
      </c>
      <c r="P1658">
        <v>0.42430000000000001</v>
      </c>
      <c r="Q1658">
        <v>2.1000000000000001E-2</v>
      </c>
      <c r="R1658">
        <v>0</v>
      </c>
      <c r="S1658">
        <v>0</v>
      </c>
      <c r="T1658">
        <v>0.15</v>
      </c>
      <c r="U1658">
        <v>5</v>
      </c>
      <c r="V1658">
        <v>0</v>
      </c>
      <c r="W1658">
        <v>0.2</v>
      </c>
      <c r="X1658">
        <v>0</v>
      </c>
      <c r="Y1658">
        <v>0.51670000000000005</v>
      </c>
      <c r="Z1658">
        <v>0.6</v>
      </c>
    </row>
    <row r="1659" spans="1:26" x14ac:dyDescent="0.2">
      <c r="A1659" t="s">
        <v>143</v>
      </c>
      <c r="B1659">
        <v>2020</v>
      </c>
      <c r="C1659" t="str">
        <f t="shared" si="25"/>
        <v>SLS2020</v>
      </c>
      <c r="D1659">
        <v>9.3822595800017675E-14</v>
      </c>
      <c r="E1659">
        <v>0.2088849715230861</v>
      </c>
      <c r="F1659">
        <v>1.1169211486063571</v>
      </c>
      <c r="G1659">
        <v>27.75120968033573</v>
      </c>
      <c r="H1659">
        <v>1.2137903051914241</v>
      </c>
      <c r="I1659">
        <v>0.49347897215118902</v>
      </c>
      <c r="J1659">
        <v>5.7797076921987538E-2</v>
      </c>
      <c r="K1659">
        <v>0.14903969611424581</v>
      </c>
      <c r="L1659">
        <v>0.57983441321694806</v>
      </c>
      <c r="M1659">
        <v>23</v>
      </c>
      <c r="N1659">
        <v>0</v>
      </c>
      <c r="O1659">
        <v>1</v>
      </c>
      <c r="P1659">
        <v>0.42430000000000001</v>
      </c>
      <c r="Q1659">
        <v>2.1000000000000001E-2</v>
      </c>
      <c r="R1659">
        <v>0</v>
      </c>
      <c r="S1659">
        <v>0</v>
      </c>
      <c r="T1659">
        <v>0.15</v>
      </c>
      <c r="U1659">
        <v>5</v>
      </c>
      <c r="V1659">
        <v>0</v>
      </c>
      <c r="W1659">
        <v>0.2</v>
      </c>
      <c r="X1659">
        <v>0</v>
      </c>
      <c r="Y1659">
        <v>0.52200000000000002</v>
      </c>
      <c r="Z1659">
        <v>0.6</v>
      </c>
    </row>
    <row r="1660" spans="1:26" x14ac:dyDescent="0.2">
      <c r="A1660" t="s">
        <v>143</v>
      </c>
      <c r="B1660">
        <v>2021</v>
      </c>
      <c r="C1660" t="str">
        <f t="shared" si="25"/>
        <v>SLS2021</v>
      </c>
      <c r="D1660">
        <v>1.1511683075848751E-13</v>
      </c>
      <c r="E1660">
        <v>0.24941121539389069</v>
      </c>
      <c r="F1660">
        <v>1.734064181196848</v>
      </c>
      <c r="G1660">
        <v>27.807398196625631</v>
      </c>
      <c r="H1660">
        <v>1.3036306744706381</v>
      </c>
      <c r="I1660">
        <v>0.44941745509852848</v>
      </c>
      <c r="J1660">
        <v>0.15649611360588869</v>
      </c>
      <c r="K1660">
        <v>8.898995039652477E-2</v>
      </c>
      <c r="L1660">
        <v>0.51419148688147731</v>
      </c>
      <c r="M1660">
        <v>24</v>
      </c>
      <c r="N1660">
        <v>0</v>
      </c>
      <c r="O1660">
        <v>0</v>
      </c>
      <c r="P1660">
        <v>0.42430000000000001</v>
      </c>
      <c r="Q1660">
        <v>2.1000000000000001E-2</v>
      </c>
      <c r="R1660">
        <v>0</v>
      </c>
      <c r="S1660">
        <v>0</v>
      </c>
      <c r="T1660">
        <v>0.15</v>
      </c>
      <c r="U1660">
        <v>5</v>
      </c>
      <c r="V1660">
        <v>0</v>
      </c>
      <c r="W1660">
        <v>0.2</v>
      </c>
      <c r="X1660">
        <v>0</v>
      </c>
      <c r="Y1660">
        <v>0.52780000000000005</v>
      </c>
      <c r="Z1660">
        <v>0.8</v>
      </c>
    </row>
    <row r="1661" spans="1:26" x14ac:dyDescent="0.2">
      <c r="A1661" t="s">
        <v>143</v>
      </c>
      <c r="B1661">
        <v>2022</v>
      </c>
      <c r="C1661" t="str">
        <f t="shared" si="25"/>
        <v>SLS2022</v>
      </c>
      <c r="D1661">
        <v>9.8590718023046347E-14</v>
      </c>
      <c r="E1661">
        <v>0.24686844967763821</v>
      </c>
      <c r="F1661">
        <v>1.320660157915267</v>
      </c>
      <c r="G1661">
        <v>27.952793038830212</v>
      </c>
      <c r="H1661">
        <v>1.368733197625033</v>
      </c>
      <c r="I1661">
        <v>0.44904743362593269</v>
      </c>
      <c r="J1661">
        <v>-2.7266791103637059E-2</v>
      </c>
      <c r="K1661">
        <v>-2.157710450412359E-2</v>
      </c>
      <c r="L1661">
        <v>0.42579027534861141</v>
      </c>
      <c r="M1661">
        <v>25</v>
      </c>
      <c r="N1661">
        <v>0</v>
      </c>
      <c r="O1661">
        <v>0</v>
      </c>
      <c r="P1661">
        <v>0.52329999999999999</v>
      </c>
      <c r="Q1661">
        <v>0.1119</v>
      </c>
      <c r="R1661">
        <v>0</v>
      </c>
      <c r="S1661">
        <v>0</v>
      </c>
      <c r="T1661">
        <v>0.15</v>
      </c>
      <c r="U1661">
        <v>5</v>
      </c>
      <c r="V1661">
        <v>0</v>
      </c>
      <c r="W1661">
        <v>0.2</v>
      </c>
      <c r="X1661">
        <v>0</v>
      </c>
      <c r="Y1661">
        <v>0.53780000000000006</v>
      </c>
      <c r="Z1661">
        <v>0.6</v>
      </c>
    </row>
    <row r="1662" spans="1:26" x14ac:dyDescent="0.2">
      <c r="A1662" t="s">
        <v>143</v>
      </c>
      <c r="B1662">
        <v>2023</v>
      </c>
      <c r="C1662" t="str">
        <f t="shared" si="25"/>
        <v>SLS2023</v>
      </c>
      <c r="D1662">
        <v>1996874945837.053</v>
      </c>
      <c r="E1662">
        <v>0.40493379283664233</v>
      </c>
      <c r="F1662">
        <v>1.174469570544207</v>
      </c>
      <c r="G1662">
        <v>27.92514761008481</v>
      </c>
      <c r="H1662">
        <v>4.9821835828006611</v>
      </c>
      <c r="I1662">
        <v>3.7333629436656753E-2</v>
      </c>
      <c r="J1662">
        <v>0.26359136037703151</v>
      </c>
      <c r="K1662">
        <v>0.58026922253432012</v>
      </c>
      <c r="L1662">
        <v>0.40829896607123828</v>
      </c>
      <c r="M1662">
        <v>26</v>
      </c>
      <c r="N1662">
        <v>0</v>
      </c>
      <c r="O1662">
        <v>0</v>
      </c>
      <c r="P1662">
        <v>0.52329999999999999</v>
      </c>
      <c r="Q1662">
        <v>0.1119</v>
      </c>
      <c r="R1662">
        <v>0</v>
      </c>
      <c r="S1662">
        <v>0</v>
      </c>
      <c r="T1662">
        <v>0.15</v>
      </c>
      <c r="U1662">
        <v>5</v>
      </c>
      <c r="V1662">
        <v>0</v>
      </c>
      <c r="W1662">
        <v>0.2</v>
      </c>
      <c r="X1662">
        <v>0</v>
      </c>
      <c r="Y1662">
        <v>0.53780000000000006</v>
      </c>
      <c r="Z1662">
        <v>0.6</v>
      </c>
    </row>
    <row r="1663" spans="1:26" x14ac:dyDescent="0.2">
      <c r="A1663" t="s">
        <v>144</v>
      </c>
      <c r="B1663">
        <v>2012</v>
      </c>
      <c r="C1663" t="str">
        <f t="shared" si="25"/>
        <v>SMB2012</v>
      </c>
      <c r="D1663">
        <v>4.1045533175304932E-14</v>
      </c>
      <c r="E1663">
        <v>0.10195714492220111</v>
      </c>
      <c r="F1663">
        <v>0.97480341496314116</v>
      </c>
      <c r="G1663">
        <v>27.563708939161572</v>
      </c>
      <c r="H1663">
        <v>0.53871231726832003</v>
      </c>
      <c r="I1663">
        <v>0.62363006071490623</v>
      </c>
      <c r="J1663">
        <v>-7.85742971536465E-2</v>
      </c>
      <c r="K1663">
        <v>0.12869136760945121</v>
      </c>
      <c r="L1663">
        <v>0.73948002381527289</v>
      </c>
      <c r="M1663">
        <v>4</v>
      </c>
      <c r="N1663">
        <v>0</v>
      </c>
      <c r="O1663">
        <v>0</v>
      </c>
      <c r="P1663">
        <v>0.42899999999999999</v>
      </c>
      <c r="Q1663">
        <v>0</v>
      </c>
      <c r="R1663">
        <v>5.3099999999999987E-2</v>
      </c>
      <c r="S1663">
        <v>0.37590000000000001</v>
      </c>
      <c r="T1663">
        <v>0.42899999999999999</v>
      </c>
      <c r="U1663">
        <v>5</v>
      </c>
      <c r="V1663">
        <v>0</v>
      </c>
      <c r="W1663">
        <v>0.2</v>
      </c>
      <c r="X1663">
        <v>0</v>
      </c>
      <c r="Y1663">
        <v>0.51900000000000002</v>
      </c>
      <c r="Z1663">
        <v>1</v>
      </c>
    </row>
    <row r="1664" spans="1:26" x14ac:dyDescent="0.2">
      <c r="A1664" t="s">
        <v>144</v>
      </c>
      <c r="B1664">
        <v>2013</v>
      </c>
      <c r="C1664" t="str">
        <f t="shared" si="25"/>
        <v>SMB2013</v>
      </c>
      <c r="D1664">
        <v>5.8927432269810551E-14</v>
      </c>
      <c r="E1664">
        <v>0.1162050666683979</v>
      </c>
      <c r="F1664">
        <v>0.99276354046268567</v>
      </c>
      <c r="G1664">
        <v>27.465647903948781</v>
      </c>
      <c r="H1664">
        <v>0.63231943936156565</v>
      </c>
      <c r="I1664">
        <v>0.57019468691620523</v>
      </c>
      <c r="J1664">
        <v>-9.5906493994739606E-2</v>
      </c>
      <c r="K1664">
        <v>0.15716297186618039</v>
      </c>
      <c r="L1664">
        <v>0.70787658116204299</v>
      </c>
      <c r="M1664">
        <v>5</v>
      </c>
      <c r="N1664">
        <v>1</v>
      </c>
      <c r="O1664">
        <v>0</v>
      </c>
      <c r="P1664">
        <v>0.42899999999999999</v>
      </c>
      <c r="Q1664">
        <v>0</v>
      </c>
      <c r="R1664">
        <v>5.3099999999999987E-2</v>
      </c>
      <c r="S1664">
        <v>0.37590000000000001</v>
      </c>
      <c r="T1664">
        <v>0.42899999999999999</v>
      </c>
      <c r="U1664">
        <v>5</v>
      </c>
      <c r="V1664">
        <v>0</v>
      </c>
      <c r="W1664">
        <v>0.2</v>
      </c>
      <c r="X1664">
        <v>0</v>
      </c>
      <c r="Y1664">
        <v>0.51900000000000002</v>
      </c>
      <c r="Z1664">
        <v>1</v>
      </c>
    </row>
    <row r="1665" spans="1:26" x14ac:dyDescent="0.2">
      <c r="A1665" t="s">
        <v>144</v>
      </c>
      <c r="B1665">
        <v>2014</v>
      </c>
      <c r="C1665" t="str">
        <f t="shared" si="25"/>
        <v>SMB2014</v>
      </c>
      <c r="D1665">
        <v>1.1593314253317881E-13</v>
      </c>
      <c r="E1665">
        <v>0.1678300624364269</v>
      </c>
      <c r="F1665">
        <v>1.1143151745181039</v>
      </c>
      <c r="G1665">
        <v>27.3470897956499</v>
      </c>
      <c r="H1665">
        <v>0.61269323599734504</v>
      </c>
      <c r="I1665">
        <v>0.47997042142249868</v>
      </c>
      <c r="J1665">
        <v>-0.109343684980076</v>
      </c>
      <c r="K1665">
        <v>0.21643834531938341</v>
      </c>
      <c r="L1665">
        <v>0.70364346296159686</v>
      </c>
      <c r="M1665">
        <v>6</v>
      </c>
      <c r="N1665">
        <v>0</v>
      </c>
      <c r="O1665">
        <v>0</v>
      </c>
      <c r="P1665">
        <v>0.42899999999999999</v>
      </c>
      <c r="Q1665">
        <v>8.199999999999999E-3</v>
      </c>
      <c r="R1665">
        <v>5.3099999999999987E-2</v>
      </c>
      <c r="S1665">
        <v>0.37590000000000001</v>
      </c>
      <c r="T1665">
        <v>0.42899999999999999</v>
      </c>
      <c r="U1665">
        <v>5</v>
      </c>
      <c r="V1665">
        <v>0</v>
      </c>
      <c r="W1665">
        <v>0.2</v>
      </c>
      <c r="X1665">
        <v>0</v>
      </c>
      <c r="Y1665">
        <v>0.51900000000000002</v>
      </c>
      <c r="Z1665">
        <v>1</v>
      </c>
    </row>
    <row r="1666" spans="1:26" x14ac:dyDescent="0.2">
      <c r="A1666" t="s">
        <v>144</v>
      </c>
      <c r="B1666">
        <v>2015</v>
      </c>
      <c r="C1666" t="str">
        <f t="shared" si="25"/>
        <v>SMB2015</v>
      </c>
      <c r="D1666">
        <v>1.6020627616151039E-13</v>
      </c>
      <c r="E1666">
        <v>0.19523669556750831</v>
      </c>
      <c r="F1666">
        <v>1.228925767737596</v>
      </c>
      <c r="G1666">
        <v>27.282314705301062</v>
      </c>
      <c r="H1666">
        <v>0.71554939660294126</v>
      </c>
      <c r="I1666">
        <v>0.4210023415941031</v>
      </c>
      <c r="J1666">
        <v>-6.2721757404042178E-2</v>
      </c>
      <c r="K1666">
        <v>0.23151116657487911</v>
      </c>
      <c r="L1666">
        <v>0.66716097168295729</v>
      </c>
      <c r="M1666">
        <v>7</v>
      </c>
      <c r="N1666">
        <v>0</v>
      </c>
      <c r="O1666">
        <v>0</v>
      </c>
      <c r="P1666">
        <v>0.42899999999999999</v>
      </c>
      <c r="Q1666">
        <v>8.199999999999999E-3</v>
      </c>
      <c r="R1666">
        <v>5.3099999999999987E-2</v>
      </c>
      <c r="S1666">
        <v>0.37590000000000001</v>
      </c>
      <c r="T1666">
        <v>0.42899999999999999</v>
      </c>
      <c r="U1666">
        <v>5</v>
      </c>
      <c r="V1666">
        <v>0</v>
      </c>
      <c r="W1666">
        <v>0.2</v>
      </c>
      <c r="X1666">
        <v>0</v>
      </c>
      <c r="Y1666">
        <v>0.51900000000000002</v>
      </c>
      <c r="Z1666">
        <v>1</v>
      </c>
    </row>
    <row r="1667" spans="1:26" x14ac:dyDescent="0.2">
      <c r="A1667" t="s">
        <v>144</v>
      </c>
      <c r="B1667">
        <v>2016</v>
      </c>
      <c r="C1667" t="str">
        <f t="shared" ref="C1667:C1730" si="26">A1667&amp;B1667</f>
        <v>SMB2016</v>
      </c>
      <c r="D1667">
        <v>2.4794072063305689E-13</v>
      </c>
      <c r="E1667">
        <v>0.23268871379543671</v>
      </c>
      <c r="F1667">
        <v>1.6956460919894289</v>
      </c>
      <c r="G1667">
        <v>27.195067192699948</v>
      </c>
      <c r="H1667">
        <v>0.76107651833336576</v>
      </c>
      <c r="I1667">
        <v>0.31096678623750618</v>
      </c>
      <c r="J1667">
        <v>-8.3549765422520128E-2</v>
      </c>
      <c r="K1667">
        <v>0.23062029006994231</v>
      </c>
      <c r="L1667">
        <v>0.60863414126870452</v>
      </c>
      <c r="M1667">
        <v>8</v>
      </c>
      <c r="N1667">
        <v>0</v>
      </c>
      <c r="O1667">
        <v>0</v>
      </c>
      <c r="P1667">
        <v>0.52090000000000003</v>
      </c>
      <c r="Q1667">
        <v>1.37E-2</v>
      </c>
      <c r="R1667">
        <v>5.3099999999999987E-2</v>
      </c>
      <c r="S1667">
        <v>5.3699999999999998E-2</v>
      </c>
      <c r="T1667">
        <v>0.52090000000000003</v>
      </c>
      <c r="U1667">
        <v>5</v>
      </c>
      <c r="V1667">
        <v>0</v>
      </c>
      <c r="W1667">
        <v>0.2</v>
      </c>
      <c r="X1667">
        <v>0</v>
      </c>
      <c r="Y1667">
        <v>0.52180000000000004</v>
      </c>
      <c r="Z1667">
        <v>1</v>
      </c>
    </row>
    <row r="1668" spans="1:26" x14ac:dyDescent="0.2">
      <c r="A1668" t="s">
        <v>144</v>
      </c>
      <c r="B1668">
        <v>2017</v>
      </c>
      <c r="C1668" t="str">
        <f t="shared" si="26"/>
        <v>SMB2017</v>
      </c>
      <c r="D1668">
        <v>2.2118603848893299E-13</v>
      </c>
      <c r="E1668">
        <v>0.26666306000500029</v>
      </c>
      <c r="F1668">
        <v>1.5867156578343511</v>
      </c>
      <c r="G1668">
        <v>27.354631114030809</v>
      </c>
      <c r="H1668">
        <v>1.0467434708750181</v>
      </c>
      <c r="I1668">
        <v>0.37084131034864359</v>
      </c>
      <c r="J1668">
        <v>0.17299923949686441</v>
      </c>
      <c r="K1668">
        <v>0.29517494200716871</v>
      </c>
      <c r="L1668">
        <v>0.63030172310989763</v>
      </c>
      <c r="M1668">
        <v>9</v>
      </c>
      <c r="N1668">
        <v>0</v>
      </c>
      <c r="O1668">
        <v>0</v>
      </c>
      <c r="P1668">
        <v>0.5544</v>
      </c>
      <c r="Q1668">
        <v>1.49E-2</v>
      </c>
      <c r="R1668">
        <v>5.3099999999999987E-2</v>
      </c>
      <c r="S1668">
        <v>5.3699999999999998E-2</v>
      </c>
      <c r="T1668">
        <v>0.5544</v>
      </c>
      <c r="U1668">
        <v>5</v>
      </c>
      <c r="V1668">
        <v>0</v>
      </c>
      <c r="W1668">
        <v>0.4</v>
      </c>
      <c r="X1668">
        <v>0</v>
      </c>
      <c r="Y1668">
        <v>0.52079999999999993</v>
      </c>
      <c r="Z1668">
        <v>1</v>
      </c>
    </row>
    <row r="1669" spans="1:26" x14ac:dyDescent="0.2">
      <c r="A1669" t="s">
        <v>144</v>
      </c>
      <c r="B1669">
        <v>2018</v>
      </c>
      <c r="C1669" t="str">
        <f t="shared" si="26"/>
        <v>SMB2018</v>
      </c>
      <c r="D1669">
        <v>1.9898155324440001E-13</v>
      </c>
      <c r="E1669">
        <v>0.31581225911595262</v>
      </c>
      <c r="F1669">
        <v>1.6243480103898691</v>
      </c>
      <c r="G1669">
        <v>27.455256059741771</v>
      </c>
      <c r="H1669">
        <v>0.96958733355947568</v>
      </c>
      <c r="I1669">
        <v>0.47149385861430232</v>
      </c>
      <c r="J1669">
        <v>0.1058618057619445</v>
      </c>
      <c r="K1669">
        <v>0.24742795274908019</v>
      </c>
      <c r="L1669">
        <v>0.53170375217042554</v>
      </c>
      <c r="M1669">
        <v>10</v>
      </c>
      <c r="N1669">
        <v>1</v>
      </c>
      <c r="O1669">
        <v>0</v>
      </c>
      <c r="P1669">
        <v>0.55449999999999999</v>
      </c>
      <c r="Q1669">
        <v>2.2800000000000001E-2</v>
      </c>
      <c r="R1669">
        <v>5.3199999999999997E-2</v>
      </c>
      <c r="S1669">
        <v>5.3699999999999998E-2</v>
      </c>
      <c r="T1669">
        <v>0.55449999999999999</v>
      </c>
      <c r="U1669">
        <v>5</v>
      </c>
      <c r="V1669">
        <v>0</v>
      </c>
      <c r="W1669">
        <v>0.4</v>
      </c>
      <c r="X1669">
        <v>0</v>
      </c>
      <c r="Y1669">
        <v>0.51600000000000001</v>
      </c>
      <c r="Z1669">
        <v>1</v>
      </c>
    </row>
    <row r="1670" spans="1:26" x14ac:dyDescent="0.2">
      <c r="A1670" t="s">
        <v>144</v>
      </c>
      <c r="B1670">
        <v>2019</v>
      </c>
      <c r="C1670" t="str">
        <f t="shared" si="26"/>
        <v>SMB2019</v>
      </c>
      <c r="D1670">
        <v>3.2555701212692788E-13</v>
      </c>
      <c r="E1670">
        <v>0.43864113158221679</v>
      </c>
      <c r="F1670">
        <v>1.882720669585966</v>
      </c>
      <c r="G1670">
        <v>27.404716051723689</v>
      </c>
      <c r="H1670">
        <v>0.86869587725178798</v>
      </c>
      <c r="I1670">
        <v>0.40811864395766301</v>
      </c>
      <c r="J1670">
        <v>-4.9284108347148588E-2</v>
      </c>
      <c r="K1670">
        <v>0.32855655274631268</v>
      </c>
      <c r="L1670">
        <v>0.55245868437700174</v>
      </c>
      <c r="M1670">
        <v>11</v>
      </c>
      <c r="N1670">
        <v>1</v>
      </c>
      <c r="O1670">
        <v>1</v>
      </c>
      <c r="P1670">
        <v>0.55459999999999998</v>
      </c>
      <c r="Q1670">
        <v>1.41E-2</v>
      </c>
      <c r="R1670">
        <v>5.3199999999999997E-2</v>
      </c>
      <c r="S1670">
        <v>5.3699999999999998E-2</v>
      </c>
      <c r="T1670">
        <v>0.55459999999999998</v>
      </c>
      <c r="U1670">
        <v>5</v>
      </c>
      <c r="V1670">
        <v>0</v>
      </c>
      <c r="W1670">
        <v>0.4</v>
      </c>
      <c r="X1670">
        <v>0</v>
      </c>
      <c r="Y1670">
        <v>0.52600000000000002</v>
      </c>
      <c r="Z1670">
        <v>1</v>
      </c>
    </row>
    <row r="1671" spans="1:26" x14ac:dyDescent="0.2">
      <c r="A1671" t="s">
        <v>144</v>
      </c>
      <c r="B1671">
        <v>2020</v>
      </c>
      <c r="C1671" t="str">
        <f t="shared" si="26"/>
        <v>SMB2020</v>
      </c>
      <c r="D1671">
        <v>2.456399111939685E-13</v>
      </c>
      <c r="E1671">
        <v>0.32068016954988748</v>
      </c>
      <c r="F1671">
        <v>1.93939155890853</v>
      </c>
      <c r="G1671">
        <v>27.4129517745213</v>
      </c>
      <c r="H1671">
        <v>0.90084038003543232</v>
      </c>
      <c r="I1671">
        <v>0.38408537656236891</v>
      </c>
      <c r="J1671">
        <v>8.2697296555263033E-3</v>
      </c>
      <c r="K1671">
        <v>0.27730105950780581</v>
      </c>
      <c r="L1671">
        <v>0.47519889360754508</v>
      </c>
      <c r="M1671">
        <v>12</v>
      </c>
      <c r="N1671">
        <v>1</v>
      </c>
      <c r="O1671">
        <v>1</v>
      </c>
      <c r="P1671">
        <v>0.55449999999999999</v>
      </c>
      <c r="Q1671">
        <v>1.5699999999999999E-2</v>
      </c>
      <c r="R1671">
        <v>5.3199999999999997E-2</v>
      </c>
      <c r="S1671">
        <v>5.3699999999999998E-2</v>
      </c>
      <c r="T1671">
        <v>0.55449999999999999</v>
      </c>
      <c r="U1671">
        <v>5</v>
      </c>
      <c r="V1671">
        <v>0</v>
      </c>
      <c r="W1671">
        <v>0.4</v>
      </c>
      <c r="X1671">
        <v>0</v>
      </c>
      <c r="Y1671">
        <v>0.53600000000000003</v>
      </c>
      <c r="Z1671">
        <v>1</v>
      </c>
    </row>
    <row r="1672" spans="1:26" x14ac:dyDescent="0.2">
      <c r="A1672" t="s">
        <v>144</v>
      </c>
      <c r="B1672">
        <v>2021</v>
      </c>
      <c r="C1672" t="str">
        <f t="shared" si="26"/>
        <v>SMB2021</v>
      </c>
      <c r="D1672">
        <v>1.8070782182948679E-13</v>
      </c>
      <c r="E1672">
        <v>0.28639403612098241</v>
      </c>
      <c r="F1672">
        <v>1.7687112245891901</v>
      </c>
      <c r="G1672">
        <v>27.566054077606069</v>
      </c>
      <c r="H1672">
        <v>1.1690382117112481</v>
      </c>
      <c r="I1672">
        <v>0.40871323935606829</v>
      </c>
      <c r="J1672">
        <v>0.1654442013811428</v>
      </c>
      <c r="K1672">
        <v>0.3199340319139814</v>
      </c>
      <c r="L1672">
        <v>0.40678534405278172</v>
      </c>
      <c r="M1672">
        <v>13</v>
      </c>
      <c r="N1672">
        <v>1</v>
      </c>
      <c r="O1672">
        <v>0</v>
      </c>
      <c r="P1672">
        <v>0.50129999999999997</v>
      </c>
      <c r="Q1672">
        <v>1.67E-2</v>
      </c>
      <c r="R1672">
        <v>0</v>
      </c>
      <c r="S1672">
        <v>5.3699999999999998E-2</v>
      </c>
      <c r="T1672">
        <v>0.50129999999999997</v>
      </c>
      <c r="U1672">
        <v>5</v>
      </c>
      <c r="V1672">
        <v>0</v>
      </c>
      <c r="W1672">
        <v>0.4</v>
      </c>
      <c r="X1672">
        <v>0</v>
      </c>
      <c r="Y1672">
        <v>0.54600000000000004</v>
      </c>
      <c r="Z1672">
        <v>1</v>
      </c>
    </row>
    <row r="1673" spans="1:26" x14ac:dyDescent="0.2">
      <c r="A1673" t="s">
        <v>144</v>
      </c>
      <c r="B1673">
        <v>2022</v>
      </c>
      <c r="C1673" t="str">
        <f t="shared" si="26"/>
        <v>SMB2022</v>
      </c>
      <c r="D1673">
        <v>1.9294359417197799E-13</v>
      </c>
      <c r="E1673">
        <v>0.30449525157568003</v>
      </c>
      <c r="F1673">
        <v>1.7358146685431219</v>
      </c>
      <c r="G1673">
        <v>27.609282659730741</v>
      </c>
      <c r="H1673">
        <v>1.3739876284036789</v>
      </c>
      <c r="I1673">
        <v>0.37997536077351962</v>
      </c>
      <c r="J1673">
        <v>4.4176547667488457E-2</v>
      </c>
      <c r="K1673">
        <v>0.1468060072229295</v>
      </c>
      <c r="L1673">
        <v>0.35885575119242541</v>
      </c>
      <c r="M1673">
        <v>14</v>
      </c>
      <c r="N1673">
        <v>1</v>
      </c>
      <c r="O1673">
        <v>0</v>
      </c>
      <c r="P1673">
        <v>0.55459999999999998</v>
      </c>
      <c r="Q1673">
        <v>1.7299999999999999E-2</v>
      </c>
      <c r="R1673">
        <v>5.3199999999999997E-2</v>
      </c>
      <c r="S1673">
        <v>5.3699999999999998E-2</v>
      </c>
      <c r="T1673">
        <v>0.55459999999999998</v>
      </c>
      <c r="U1673">
        <v>5</v>
      </c>
      <c r="V1673">
        <v>0</v>
      </c>
      <c r="W1673">
        <v>0.4</v>
      </c>
      <c r="X1673">
        <v>0</v>
      </c>
      <c r="Y1673">
        <v>0.55600000000000005</v>
      </c>
      <c r="Z1673">
        <v>1</v>
      </c>
    </row>
    <row r="1674" spans="1:26" x14ac:dyDescent="0.2">
      <c r="A1674" t="s">
        <v>144</v>
      </c>
      <c r="B1674">
        <v>2023</v>
      </c>
      <c r="C1674" t="str">
        <f t="shared" si="26"/>
        <v>SMB2023</v>
      </c>
      <c r="D1674">
        <v>3965253447343.2051</v>
      </c>
      <c r="E1674">
        <v>0.17382036086749411</v>
      </c>
      <c r="F1674">
        <v>1.213226775927488</v>
      </c>
      <c r="G1674">
        <v>27.64745211440124</v>
      </c>
      <c r="H1674">
        <v>1.619991182542428</v>
      </c>
      <c r="I1674">
        <v>0.12689771977578609</v>
      </c>
      <c r="J1674">
        <v>3.8907265651674461E-2</v>
      </c>
      <c r="K1674">
        <v>0.17951668610996091</v>
      </c>
      <c r="L1674">
        <v>0.30727026781942363</v>
      </c>
      <c r="M1674">
        <v>15</v>
      </c>
      <c r="N1674">
        <v>0</v>
      </c>
      <c r="O1674">
        <v>0</v>
      </c>
      <c r="P1674">
        <v>0.55459999999999998</v>
      </c>
      <c r="Q1674">
        <v>1.7299999999999999E-2</v>
      </c>
      <c r="R1674">
        <v>5.3199999999999997E-2</v>
      </c>
      <c r="S1674">
        <v>5.3699999999999998E-2</v>
      </c>
      <c r="T1674">
        <v>0.55459999999999998</v>
      </c>
      <c r="U1674">
        <v>5</v>
      </c>
      <c r="V1674">
        <v>0</v>
      </c>
      <c r="W1674">
        <v>0.4</v>
      </c>
      <c r="X1674">
        <v>0</v>
      </c>
      <c r="Y1674">
        <v>0.55600000000000005</v>
      </c>
      <c r="Z1674">
        <v>1</v>
      </c>
    </row>
    <row r="1675" spans="1:26" x14ac:dyDescent="0.2">
      <c r="A1675" t="s">
        <v>145</v>
      </c>
      <c r="B1675">
        <v>2012</v>
      </c>
      <c r="C1675" t="str">
        <f t="shared" si="26"/>
        <v>SMT2012</v>
      </c>
      <c r="D1675">
        <v>1.71008141026493E-12</v>
      </c>
      <c r="E1675">
        <v>0.1397112950790628</v>
      </c>
      <c r="F1675">
        <v>0.59424285566543056</v>
      </c>
      <c r="G1675">
        <v>24.74081750001173</v>
      </c>
      <c r="H1675">
        <v>2.3784295727531481</v>
      </c>
      <c r="I1675">
        <v>0.31987962512065221</v>
      </c>
      <c r="J1675">
        <v>0.23071829646125261</v>
      </c>
      <c r="K1675">
        <v>-8.0600773770936079E-2</v>
      </c>
      <c r="L1675">
        <v>0.1399992239942501</v>
      </c>
      <c r="M1675">
        <v>6</v>
      </c>
      <c r="N1675">
        <v>0</v>
      </c>
      <c r="O1675">
        <v>0</v>
      </c>
      <c r="P1675">
        <v>0.32540000000000002</v>
      </c>
      <c r="Q1675">
        <v>6.0400000000000002E-2</v>
      </c>
      <c r="R1675">
        <v>0</v>
      </c>
      <c r="S1675">
        <v>0</v>
      </c>
      <c r="T1675">
        <v>0.32540000000000002</v>
      </c>
      <c r="U1675">
        <v>5</v>
      </c>
      <c r="V1675">
        <v>0</v>
      </c>
      <c r="W1675">
        <v>0.2</v>
      </c>
      <c r="X1675">
        <v>0</v>
      </c>
      <c r="Y1675">
        <v>0.48699999999999999</v>
      </c>
      <c r="Z1675">
        <v>1</v>
      </c>
    </row>
    <row r="1676" spans="1:26" x14ac:dyDescent="0.2">
      <c r="A1676" t="s">
        <v>145</v>
      </c>
      <c r="B1676">
        <v>2013</v>
      </c>
      <c r="C1676" t="str">
        <f t="shared" si="26"/>
        <v>SMT2013</v>
      </c>
      <c r="D1676">
        <v>9.4487136177205397E-13</v>
      </c>
      <c r="E1676">
        <v>0.19025200978962151</v>
      </c>
      <c r="F1676">
        <v>1.062001608238835</v>
      </c>
      <c r="G1676">
        <v>25.244736254007499</v>
      </c>
      <c r="H1676">
        <v>2.361466303816</v>
      </c>
      <c r="I1676">
        <v>0.54323471949483182</v>
      </c>
      <c r="J1676">
        <v>0.65519487972380253</v>
      </c>
      <c r="K1676">
        <v>3.3158703790370947E-2</v>
      </c>
      <c r="L1676">
        <v>8.1302928887379375E-2</v>
      </c>
      <c r="M1676">
        <v>7</v>
      </c>
      <c r="N1676">
        <v>0</v>
      </c>
      <c r="O1676">
        <v>0</v>
      </c>
      <c r="P1676">
        <v>0.32540000000000002</v>
      </c>
      <c r="Q1676">
        <v>8.1699999999999995E-2</v>
      </c>
      <c r="R1676">
        <v>0</v>
      </c>
      <c r="S1676">
        <v>0</v>
      </c>
      <c r="T1676">
        <v>0.32540000000000002</v>
      </c>
      <c r="U1676">
        <v>5</v>
      </c>
      <c r="V1676">
        <v>0</v>
      </c>
      <c r="W1676">
        <v>0.2</v>
      </c>
      <c r="X1676">
        <v>0</v>
      </c>
      <c r="Y1676">
        <v>0.49700000000000011</v>
      </c>
      <c r="Z1676">
        <v>1</v>
      </c>
    </row>
    <row r="1677" spans="1:26" x14ac:dyDescent="0.2">
      <c r="A1677" t="s">
        <v>145</v>
      </c>
      <c r="B1677">
        <v>2014</v>
      </c>
      <c r="C1677" t="str">
        <f t="shared" si="26"/>
        <v>SMT2014</v>
      </c>
      <c r="D1677">
        <v>8.2507896239078031E-13</v>
      </c>
      <c r="E1677">
        <v>0.2349500664520946</v>
      </c>
      <c r="F1677">
        <v>1.3964923529794599</v>
      </c>
      <c r="G1677">
        <v>25.4703997330652</v>
      </c>
      <c r="H1677">
        <v>1.566683738475755</v>
      </c>
      <c r="I1677">
        <v>0.59526198490693827</v>
      </c>
      <c r="J1677">
        <v>0.25315388178753362</v>
      </c>
      <c r="K1677">
        <v>-0.13536284244298549</v>
      </c>
      <c r="L1677">
        <v>0.1020599500247409</v>
      </c>
      <c r="M1677">
        <v>8</v>
      </c>
      <c r="N1677">
        <v>0</v>
      </c>
      <c r="O1677">
        <v>0</v>
      </c>
      <c r="P1677">
        <v>0.54780000000000006</v>
      </c>
      <c r="Q1677">
        <v>0.114</v>
      </c>
      <c r="R1677">
        <v>0.17</v>
      </c>
      <c r="S1677">
        <v>0</v>
      </c>
      <c r="T1677">
        <v>0.42309999999999998</v>
      </c>
      <c r="U1677">
        <v>5</v>
      </c>
      <c r="V1677">
        <v>0</v>
      </c>
      <c r="W1677">
        <v>0.2</v>
      </c>
      <c r="X1677">
        <v>0</v>
      </c>
      <c r="Y1677">
        <v>0.50180000000000002</v>
      </c>
      <c r="Z1677">
        <v>1</v>
      </c>
    </row>
    <row r="1678" spans="1:26" x14ac:dyDescent="0.2">
      <c r="A1678" t="s">
        <v>145</v>
      </c>
      <c r="B1678">
        <v>2015</v>
      </c>
      <c r="C1678" t="str">
        <f t="shared" si="26"/>
        <v>SMT2015</v>
      </c>
      <c r="D1678">
        <v>6.7251076558791265E-13</v>
      </c>
      <c r="E1678">
        <v>0.21418064776126849</v>
      </c>
      <c r="F1678">
        <v>1.370064087907068</v>
      </c>
      <c r="G1678">
        <v>25.707088481470819</v>
      </c>
      <c r="H1678">
        <v>1.4546047214533071</v>
      </c>
      <c r="I1678">
        <v>0.54147218419013565</v>
      </c>
      <c r="J1678">
        <v>0.26704668609353249</v>
      </c>
      <c r="K1678">
        <v>1.7615114630509379E-2</v>
      </c>
      <c r="L1678">
        <v>0.11878121760393009</v>
      </c>
      <c r="M1678">
        <v>9</v>
      </c>
      <c r="N1678">
        <v>0</v>
      </c>
      <c r="O1678">
        <v>0</v>
      </c>
      <c r="P1678">
        <v>0.54780000000000006</v>
      </c>
      <c r="Q1678">
        <v>0.11</v>
      </c>
      <c r="R1678">
        <v>0.17</v>
      </c>
      <c r="S1678">
        <v>0</v>
      </c>
      <c r="T1678">
        <v>0.42309999999999998</v>
      </c>
      <c r="U1678">
        <v>5</v>
      </c>
      <c r="V1678">
        <v>0</v>
      </c>
      <c r="W1678">
        <v>0.2</v>
      </c>
      <c r="X1678">
        <v>0</v>
      </c>
      <c r="Y1678">
        <v>0.51180000000000003</v>
      </c>
      <c r="Z1678">
        <v>1</v>
      </c>
    </row>
    <row r="1679" spans="1:26" x14ac:dyDescent="0.2">
      <c r="A1679" t="s">
        <v>145</v>
      </c>
      <c r="B1679">
        <v>2016</v>
      </c>
      <c r="C1679" t="str">
        <f t="shared" si="26"/>
        <v>SMT2016</v>
      </c>
      <c r="D1679">
        <v>3.7432846583284978E-13</v>
      </c>
      <c r="E1679">
        <v>0.1564086557196063</v>
      </c>
      <c r="F1679">
        <v>1.1928427961203909</v>
      </c>
      <c r="G1679">
        <v>25.948897709430419</v>
      </c>
      <c r="H1679">
        <v>1.598430053156995</v>
      </c>
      <c r="I1679">
        <v>0.5549024973269201</v>
      </c>
      <c r="J1679">
        <v>0.27355121167671581</v>
      </c>
      <c r="K1679">
        <v>-6.7370437308093695E-2</v>
      </c>
      <c r="L1679">
        <v>0.14663343158679809</v>
      </c>
      <c r="M1679">
        <v>10</v>
      </c>
      <c r="N1679">
        <v>0</v>
      </c>
      <c r="O1679">
        <v>0</v>
      </c>
      <c r="P1679">
        <v>0.62780000000000002</v>
      </c>
      <c r="Q1679">
        <v>0.1221</v>
      </c>
      <c r="R1679">
        <v>0.2316</v>
      </c>
      <c r="S1679">
        <v>0</v>
      </c>
      <c r="T1679">
        <v>0.49630000000000002</v>
      </c>
      <c r="U1679">
        <v>5</v>
      </c>
      <c r="V1679">
        <v>0</v>
      </c>
      <c r="W1679">
        <v>0.2</v>
      </c>
      <c r="X1679">
        <v>0</v>
      </c>
      <c r="Y1679">
        <v>0.49359999999999998</v>
      </c>
      <c r="Z1679">
        <v>1</v>
      </c>
    </row>
    <row r="1680" spans="1:26" x14ac:dyDescent="0.2">
      <c r="A1680" t="s">
        <v>145</v>
      </c>
      <c r="B1680">
        <v>2017</v>
      </c>
      <c r="C1680" t="str">
        <f t="shared" si="26"/>
        <v>SMT2017</v>
      </c>
      <c r="D1680">
        <v>3.079204192130768E-13</v>
      </c>
      <c r="E1680">
        <v>0.14524890840534571</v>
      </c>
      <c r="F1680">
        <v>1.122149288402126</v>
      </c>
      <c r="G1680">
        <v>26.02220535286439</v>
      </c>
      <c r="H1680">
        <v>1.512448734015154</v>
      </c>
      <c r="I1680">
        <v>0.57574613854756396</v>
      </c>
      <c r="J1680">
        <v>7.6061529262304806E-2</v>
      </c>
      <c r="K1680">
        <v>0.15677060779325649</v>
      </c>
      <c r="L1680">
        <v>0.142830674587341</v>
      </c>
      <c r="M1680">
        <v>11</v>
      </c>
      <c r="N1680">
        <v>0</v>
      </c>
      <c r="O1680">
        <v>0</v>
      </c>
      <c r="P1680">
        <v>0.6774</v>
      </c>
      <c r="Q1680">
        <v>0.1338</v>
      </c>
      <c r="R1680">
        <v>0.27950000000000003</v>
      </c>
      <c r="S1680">
        <v>0</v>
      </c>
      <c r="T1680">
        <v>0.5464</v>
      </c>
      <c r="U1680">
        <v>4</v>
      </c>
      <c r="V1680">
        <v>0</v>
      </c>
      <c r="W1680">
        <v>0.25</v>
      </c>
      <c r="X1680">
        <v>0</v>
      </c>
      <c r="Y1680">
        <v>0.48670000000000002</v>
      </c>
      <c r="Z1680">
        <v>1</v>
      </c>
    </row>
    <row r="1681" spans="1:26" x14ac:dyDescent="0.2">
      <c r="A1681" t="s">
        <v>145</v>
      </c>
      <c r="B1681">
        <v>2018</v>
      </c>
      <c r="C1681" t="str">
        <f t="shared" si="26"/>
        <v>SMT2018</v>
      </c>
      <c r="D1681">
        <v>2.7473816210779067E-13</v>
      </c>
      <c r="E1681">
        <v>0.14502354434846981</v>
      </c>
      <c r="F1681">
        <v>1.1989598065489859</v>
      </c>
      <c r="G1681">
        <v>26.090365423179861</v>
      </c>
      <c r="H1681">
        <v>1.443976939739283</v>
      </c>
      <c r="I1681">
        <v>0.59413443321285331</v>
      </c>
      <c r="J1681">
        <v>7.0536655904833712E-2</v>
      </c>
      <c r="K1681">
        <v>-0.16951264172329999</v>
      </c>
      <c r="L1681">
        <v>0.1185721642180842</v>
      </c>
      <c r="M1681">
        <v>12</v>
      </c>
      <c r="N1681">
        <v>0</v>
      </c>
      <c r="O1681">
        <v>0</v>
      </c>
      <c r="P1681">
        <v>0.60299999999999998</v>
      </c>
      <c r="Q1681">
        <v>0.13739999999999999</v>
      </c>
      <c r="R1681">
        <v>0.2893</v>
      </c>
      <c r="S1681">
        <v>0</v>
      </c>
      <c r="T1681">
        <v>0.46870000000000012</v>
      </c>
      <c r="U1681">
        <v>5</v>
      </c>
      <c r="V1681">
        <v>0</v>
      </c>
      <c r="W1681">
        <v>0.2</v>
      </c>
      <c r="X1681">
        <v>0</v>
      </c>
      <c r="Y1681">
        <v>0.49669999999999997</v>
      </c>
      <c r="Z1681">
        <v>1</v>
      </c>
    </row>
    <row r="1682" spans="1:26" x14ac:dyDescent="0.2">
      <c r="A1682" t="s">
        <v>145</v>
      </c>
      <c r="B1682">
        <v>2019</v>
      </c>
      <c r="C1682" t="str">
        <f t="shared" si="26"/>
        <v>SMT2019</v>
      </c>
      <c r="D1682">
        <v>-1.8883263146694479E-13</v>
      </c>
      <c r="E1682">
        <v>-0.11703050442995699</v>
      </c>
      <c r="F1682">
        <v>1.297919787310974</v>
      </c>
      <c r="G1682">
        <v>26.087273617166201</v>
      </c>
      <c r="H1682">
        <v>1.4397945715628691</v>
      </c>
      <c r="I1682">
        <v>0.6553828010592514</v>
      </c>
      <c r="J1682">
        <v>-3.087031303551369E-3</v>
      </c>
      <c r="K1682">
        <v>-8.8277126828326058E-2</v>
      </c>
      <c r="L1682">
        <v>0.1207509754640599</v>
      </c>
      <c r="M1682">
        <v>13</v>
      </c>
      <c r="N1682">
        <v>0</v>
      </c>
      <c r="O1682">
        <v>1</v>
      </c>
      <c r="P1682">
        <v>0.69310000000000005</v>
      </c>
      <c r="Q1682">
        <v>0.13059999999999999</v>
      </c>
      <c r="R1682">
        <v>0.2893</v>
      </c>
      <c r="S1682">
        <v>0</v>
      </c>
      <c r="T1682">
        <v>0.46870000000000012</v>
      </c>
      <c r="U1682">
        <v>5</v>
      </c>
      <c r="V1682">
        <v>0</v>
      </c>
      <c r="W1682">
        <v>0</v>
      </c>
      <c r="X1682">
        <v>0</v>
      </c>
      <c r="Y1682">
        <v>0.45829999999999999</v>
      </c>
      <c r="Z1682">
        <v>1</v>
      </c>
    </row>
    <row r="1683" spans="1:26" x14ac:dyDescent="0.2">
      <c r="A1683" t="s">
        <v>145</v>
      </c>
      <c r="B1683">
        <v>2020</v>
      </c>
      <c r="C1683" t="str">
        <f t="shared" si="26"/>
        <v>SMT2020</v>
      </c>
      <c r="D1683">
        <v>1.025183446746108E-13</v>
      </c>
      <c r="E1683">
        <v>5.4824357044470799E-2</v>
      </c>
      <c r="F1683">
        <v>0.93872318178098157</v>
      </c>
      <c r="G1683">
        <v>25.982657955538631</v>
      </c>
      <c r="H1683">
        <v>1.2911093820328741</v>
      </c>
      <c r="I1683">
        <v>0.6402895843506371</v>
      </c>
      <c r="J1683">
        <v>-9.9329381647382919E-2</v>
      </c>
      <c r="K1683">
        <v>0.49351194917624808</v>
      </c>
      <c r="L1683">
        <v>0.28522096731189739</v>
      </c>
      <c r="M1683">
        <v>14</v>
      </c>
      <c r="N1683">
        <v>0</v>
      </c>
      <c r="O1683">
        <v>1</v>
      </c>
      <c r="P1683">
        <v>0.63210000000000011</v>
      </c>
      <c r="Q1683">
        <v>0.1225</v>
      </c>
      <c r="R1683">
        <v>0.21920000000000001</v>
      </c>
      <c r="S1683">
        <v>0</v>
      </c>
      <c r="T1683">
        <v>0.46870000000000012</v>
      </c>
      <c r="U1683">
        <v>5</v>
      </c>
      <c r="V1683">
        <v>0</v>
      </c>
      <c r="W1683">
        <v>0</v>
      </c>
      <c r="X1683">
        <v>0</v>
      </c>
      <c r="Y1683">
        <v>0.45329999999999998</v>
      </c>
      <c r="Z1683">
        <v>1</v>
      </c>
    </row>
    <row r="1684" spans="1:26" x14ac:dyDescent="0.2">
      <c r="A1684" t="s">
        <v>145</v>
      </c>
      <c r="B1684">
        <v>2021</v>
      </c>
      <c r="C1684" t="str">
        <f t="shared" si="26"/>
        <v>SMT2021</v>
      </c>
      <c r="D1684">
        <v>3.4451603402716858E-14</v>
      </c>
      <c r="E1684">
        <v>3.117975272579698E-2</v>
      </c>
      <c r="F1684">
        <v>1.054629244114347</v>
      </c>
      <c r="G1684">
        <v>26.25793027312837</v>
      </c>
      <c r="H1684">
        <v>1.1110279043241029</v>
      </c>
      <c r="I1684">
        <v>0.72009478097166202</v>
      </c>
      <c r="J1684">
        <v>0.31688923814715059</v>
      </c>
      <c r="K1684">
        <v>-0.1037545955576531</v>
      </c>
      <c r="L1684">
        <v>0.19749552930016301</v>
      </c>
      <c r="M1684">
        <v>15</v>
      </c>
      <c r="N1684">
        <v>0</v>
      </c>
      <c r="O1684">
        <v>0</v>
      </c>
      <c r="P1684">
        <v>0.5121</v>
      </c>
      <c r="Q1684">
        <v>2.5999999999999999E-2</v>
      </c>
      <c r="R1684">
        <v>0.5121</v>
      </c>
      <c r="S1684">
        <v>0</v>
      </c>
      <c r="T1684">
        <v>0.5121</v>
      </c>
      <c r="U1684">
        <v>6</v>
      </c>
      <c r="V1684">
        <v>0</v>
      </c>
      <c r="W1684">
        <v>0</v>
      </c>
      <c r="X1684">
        <v>1</v>
      </c>
      <c r="Y1684">
        <v>0.37769999999999998</v>
      </c>
      <c r="Z1684">
        <v>1</v>
      </c>
    </row>
    <row r="1685" spans="1:26" x14ac:dyDescent="0.2">
      <c r="A1685" t="s">
        <v>145</v>
      </c>
      <c r="B1685">
        <v>2022</v>
      </c>
      <c r="C1685" t="str">
        <f t="shared" si="26"/>
        <v>SMT2022</v>
      </c>
      <c r="D1685">
        <v>1.6699920017123289E-14</v>
      </c>
      <c r="E1685">
        <v>7.8421167173587554E-3</v>
      </c>
      <c r="F1685">
        <v>0.81879996486272433</v>
      </c>
      <c r="G1685">
        <v>25.93381251882915</v>
      </c>
      <c r="H1685">
        <v>1.186743892370538</v>
      </c>
      <c r="I1685">
        <v>0.60988489971429616</v>
      </c>
      <c r="J1685">
        <v>-0.27683491843148472</v>
      </c>
      <c r="K1685">
        <v>-0.2044891650840869</v>
      </c>
      <c r="L1685">
        <v>0.28200066701810161</v>
      </c>
      <c r="M1685">
        <v>16</v>
      </c>
      <c r="N1685">
        <v>0</v>
      </c>
      <c r="O1685">
        <v>0</v>
      </c>
      <c r="P1685">
        <v>0.1221</v>
      </c>
      <c r="Q1685">
        <v>0.14729999999999999</v>
      </c>
      <c r="R1685">
        <v>0</v>
      </c>
      <c r="S1685">
        <v>0</v>
      </c>
      <c r="T1685">
        <v>0</v>
      </c>
      <c r="U1685">
        <v>5</v>
      </c>
      <c r="V1685">
        <v>0</v>
      </c>
      <c r="W1685">
        <v>0.2</v>
      </c>
      <c r="X1685">
        <v>1</v>
      </c>
      <c r="Y1685">
        <v>0.40670000000000001</v>
      </c>
      <c r="Z1685">
        <v>1</v>
      </c>
    </row>
    <row r="1686" spans="1:26" x14ac:dyDescent="0.2">
      <c r="A1686" t="s">
        <v>145</v>
      </c>
      <c r="B1686">
        <v>2023</v>
      </c>
      <c r="C1686" t="str">
        <f t="shared" si="26"/>
        <v>SMT2023</v>
      </c>
      <c r="D1686">
        <v>-8468200638.6757574</v>
      </c>
      <c r="E1686">
        <v>1.1364210049781651E-2</v>
      </c>
      <c r="F1686">
        <v>0.59041856995613318</v>
      </c>
      <c r="G1686">
        <v>25.795150505337489</v>
      </c>
      <c r="H1686">
        <v>1.338227213189447</v>
      </c>
      <c r="I1686">
        <v>0.39499959917617228</v>
      </c>
      <c r="J1686">
        <v>-0.1294777964981543</v>
      </c>
      <c r="K1686">
        <v>3.613855408046459E-2</v>
      </c>
      <c r="L1686">
        <v>0.29537929068320012</v>
      </c>
      <c r="M1686">
        <v>17</v>
      </c>
      <c r="N1686">
        <v>0</v>
      </c>
      <c r="O1686">
        <v>0</v>
      </c>
      <c r="P1686">
        <v>0.1221</v>
      </c>
      <c r="Q1686">
        <v>0.14729999999999999</v>
      </c>
      <c r="R1686">
        <v>0</v>
      </c>
      <c r="S1686">
        <v>0</v>
      </c>
      <c r="T1686">
        <v>0</v>
      </c>
      <c r="U1686">
        <v>5</v>
      </c>
      <c r="V1686">
        <v>0</v>
      </c>
      <c r="W1686">
        <v>0.2</v>
      </c>
      <c r="X1686">
        <v>1</v>
      </c>
      <c r="Y1686">
        <v>0.40670000000000001</v>
      </c>
      <c r="Z1686">
        <v>1</v>
      </c>
    </row>
    <row r="1687" spans="1:26" x14ac:dyDescent="0.2">
      <c r="A1687" t="s">
        <v>146</v>
      </c>
      <c r="B1687">
        <v>2012</v>
      </c>
      <c r="C1687" t="str">
        <f t="shared" si="26"/>
        <v>SPC2012</v>
      </c>
      <c r="D1687">
        <v>6.0429128668091583E-14</v>
      </c>
      <c r="E1687">
        <v>0.1041563632220827</v>
      </c>
      <c r="F1687">
        <v>1.059572453797617</v>
      </c>
      <c r="G1687">
        <v>26.896695113488871</v>
      </c>
      <c r="H1687">
        <v>1.0589568167812651</v>
      </c>
      <c r="I1687">
        <v>0.72161438262429167</v>
      </c>
      <c r="J1687">
        <v>-1.968789638554103E-2</v>
      </c>
      <c r="K1687">
        <v>6.3208252101820406E-2</v>
      </c>
      <c r="L1687">
        <v>0.13611560484696339</v>
      </c>
      <c r="M1687">
        <v>4</v>
      </c>
      <c r="N1687">
        <v>0</v>
      </c>
      <c r="O1687">
        <v>0</v>
      </c>
      <c r="P1687">
        <v>0.59329999999999994</v>
      </c>
      <c r="Q1687">
        <v>0</v>
      </c>
      <c r="R1687">
        <v>0</v>
      </c>
      <c r="S1687">
        <v>0.59329999999999994</v>
      </c>
      <c r="T1687">
        <v>0.59329999999999994</v>
      </c>
      <c r="U1687">
        <v>5</v>
      </c>
      <c r="V1687">
        <v>0</v>
      </c>
      <c r="W1687">
        <v>0.2</v>
      </c>
      <c r="X1687">
        <v>1</v>
      </c>
      <c r="Y1687">
        <v>0.47139999999999999</v>
      </c>
      <c r="Z1687">
        <v>0.8</v>
      </c>
    </row>
    <row r="1688" spans="1:26" x14ac:dyDescent="0.2">
      <c r="A1688" t="s">
        <v>146</v>
      </c>
      <c r="B1688">
        <v>2013</v>
      </c>
      <c r="C1688" t="str">
        <f t="shared" si="26"/>
        <v>SPC2013</v>
      </c>
      <c r="D1688">
        <v>7.4805071300853572E-14</v>
      </c>
      <c r="E1688">
        <v>0.1385101813742397</v>
      </c>
      <c r="F1688">
        <v>0.94132061946686563</v>
      </c>
      <c r="G1688">
        <v>26.97017218104412</v>
      </c>
      <c r="H1688">
        <v>1.1032024684542729</v>
      </c>
      <c r="I1688">
        <v>0.72110142360422336</v>
      </c>
      <c r="J1688">
        <v>7.6243855486136436E-2</v>
      </c>
      <c r="K1688">
        <v>7.0738726766303592E-2</v>
      </c>
      <c r="L1688">
        <v>8.4767479163075893E-2</v>
      </c>
      <c r="M1688">
        <v>5</v>
      </c>
      <c r="N1688">
        <v>0</v>
      </c>
      <c r="O1688">
        <v>0</v>
      </c>
      <c r="P1688">
        <v>0.59329999999999994</v>
      </c>
      <c r="Q1688">
        <v>0</v>
      </c>
      <c r="R1688">
        <v>0</v>
      </c>
      <c r="S1688">
        <v>0.59329999999999994</v>
      </c>
      <c r="T1688">
        <v>0.59329999999999994</v>
      </c>
      <c r="U1688">
        <v>5</v>
      </c>
      <c r="V1688">
        <v>0</v>
      </c>
      <c r="W1688">
        <v>0.2</v>
      </c>
      <c r="X1688">
        <v>1</v>
      </c>
      <c r="Y1688">
        <v>0.48</v>
      </c>
      <c r="Z1688">
        <v>0.8</v>
      </c>
    </row>
    <row r="1689" spans="1:26" x14ac:dyDescent="0.2">
      <c r="A1689" t="s">
        <v>146</v>
      </c>
      <c r="B1689">
        <v>2014</v>
      </c>
      <c r="C1689" t="str">
        <f t="shared" si="26"/>
        <v>SPC2014</v>
      </c>
      <c r="D1689">
        <v>9.2110951648896127E-14</v>
      </c>
      <c r="E1689">
        <v>0.1454998846272931</v>
      </c>
      <c r="F1689">
        <v>0.9881885633522044</v>
      </c>
      <c r="G1689">
        <v>26.925197604009039</v>
      </c>
      <c r="H1689">
        <v>1.1955368531113351</v>
      </c>
      <c r="I1689">
        <v>0.68745441829540577</v>
      </c>
      <c r="J1689">
        <v>-4.3438009970052982E-2</v>
      </c>
      <c r="K1689">
        <v>-3.093832061992883E-3</v>
      </c>
      <c r="L1689">
        <v>6.3201967251999308E-2</v>
      </c>
      <c r="M1689">
        <v>6</v>
      </c>
      <c r="N1689">
        <v>0</v>
      </c>
      <c r="O1689">
        <v>0</v>
      </c>
      <c r="P1689">
        <v>0.59329999999999994</v>
      </c>
      <c r="Q1689">
        <v>0</v>
      </c>
      <c r="R1689">
        <v>0</v>
      </c>
      <c r="S1689">
        <v>0.59329999999999994</v>
      </c>
      <c r="T1689">
        <v>0.59329999999999994</v>
      </c>
      <c r="U1689">
        <v>5</v>
      </c>
      <c r="V1689">
        <v>0</v>
      </c>
      <c r="W1689">
        <v>0.2</v>
      </c>
      <c r="X1689">
        <v>1</v>
      </c>
      <c r="Y1689">
        <v>0.49</v>
      </c>
      <c r="Z1689">
        <v>0.8</v>
      </c>
    </row>
    <row r="1690" spans="1:26" x14ac:dyDescent="0.2">
      <c r="A1690" t="s">
        <v>146</v>
      </c>
      <c r="B1690">
        <v>2015</v>
      </c>
      <c r="C1690" t="str">
        <f t="shared" si="26"/>
        <v>SPC2015</v>
      </c>
      <c r="D1690">
        <v>9.1658325753244545E-14</v>
      </c>
      <c r="E1690">
        <v>0.16671317931116009</v>
      </c>
      <c r="F1690">
        <v>1.0044575543862939</v>
      </c>
      <c r="G1690">
        <v>27.038589144696939</v>
      </c>
      <c r="H1690">
        <v>1.3115805577243851</v>
      </c>
      <c r="I1690">
        <v>0.69597307269656239</v>
      </c>
      <c r="J1690">
        <v>0.119437857794473</v>
      </c>
      <c r="K1690">
        <v>7.3387211991620488E-2</v>
      </c>
      <c r="L1690">
        <v>4.6316034387124408E-2</v>
      </c>
      <c r="M1690">
        <v>7</v>
      </c>
      <c r="N1690">
        <v>0</v>
      </c>
      <c r="O1690">
        <v>0</v>
      </c>
      <c r="P1690">
        <v>0.59329999999999994</v>
      </c>
      <c r="Q1690">
        <v>2.12E-2</v>
      </c>
      <c r="R1690">
        <v>0</v>
      </c>
      <c r="S1690">
        <v>0.59329999999999994</v>
      </c>
      <c r="T1690">
        <v>0.59329999999999994</v>
      </c>
      <c r="U1690">
        <v>5</v>
      </c>
      <c r="V1690">
        <v>0</v>
      </c>
      <c r="W1690">
        <v>0.4</v>
      </c>
      <c r="X1690">
        <v>1</v>
      </c>
      <c r="Y1690">
        <v>0.46110000000000001</v>
      </c>
      <c r="Z1690">
        <v>0.8</v>
      </c>
    </row>
    <row r="1691" spans="1:26" x14ac:dyDescent="0.2">
      <c r="A1691" t="s">
        <v>146</v>
      </c>
      <c r="B1691">
        <v>2016</v>
      </c>
      <c r="C1691" t="str">
        <f t="shared" si="26"/>
        <v>SPC2016</v>
      </c>
      <c r="D1691">
        <v>8.8097215667926523E-14</v>
      </c>
      <c r="E1691">
        <v>0.17330786222176159</v>
      </c>
      <c r="F1691">
        <v>1.0194016859013471</v>
      </c>
      <c r="G1691">
        <v>27.10651025492416</v>
      </c>
      <c r="H1691">
        <v>1.321812410236626</v>
      </c>
      <c r="I1691">
        <v>0.69914880227102827</v>
      </c>
      <c r="J1691">
        <v>7.028087093347124E-2</v>
      </c>
      <c r="K1691">
        <v>0.16447833328311701</v>
      </c>
      <c r="L1691">
        <v>3.3413408972924802E-2</v>
      </c>
      <c r="M1691">
        <v>8</v>
      </c>
      <c r="N1691">
        <v>0</v>
      </c>
      <c r="O1691">
        <v>0</v>
      </c>
      <c r="P1691">
        <v>0.59329999999999994</v>
      </c>
      <c r="Q1691">
        <v>1.9199999999999998E-2</v>
      </c>
      <c r="R1691">
        <v>0</v>
      </c>
      <c r="S1691">
        <v>0.59329999999999994</v>
      </c>
      <c r="T1691">
        <v>0.59329999999999994</v>
      </c>
      <c r="U1691">
        <v>5</v>
      </c>
      <c r="V1691">
        <v>0</v>
      </c>
      <c r="W1691">
        <v>0.4</v>
      </c>
      <c r="X1691">
        <v>1</v>
      </c>
      <c r="Y1691">
        <v>0.46560000000000001</v>
      </c>
      <c r="Z1691">
        <v>0.8</v>
      </c>
    </row>
    <row r="1692" spans="1:26" x14ac:dyDescent="0.2">
      <c r="A1692" t="s">
        <v>146</v>
      </c>
      <c r="B1692">
        <v>2017</v>
      </c>
      <c r="C1692" t="str">
        <f t="shared" si="26"/>
        <v>SPC2017</v>
      </c>
      <c r="D1692">
        <v>6.0240395253684555E-14</v>
      </c>
      <c r="E1692">
        <v>0.1887334368269</v>
      </c>
      <c r="F1692">
        <v>0.99892684597927017</v>
      </c>
      <c r="G1692">
        <v>27.409991760601159</v>
      </c>
      <c r="H1692">
        <v>1.3313555216827571</v>
      </c>
      <c r="I1692">
        <v>0.74411364092151322</v>
      </c>
      <c r="J1692">
        <v>0.35472317866145331</v>
      </c>
      <c r="K1692">
        <v>-3.4566954377172089E-2</v>
      </c>
      <c r="L1692">
        <v>3.2551127973934738E-2</v>
      </c>
      <c r="M1692">
        <v>9</v>
      </c>
      <c r="N1692">
        <v>0</v>
      </c>
      <c r="O1692">
        <v>0</v>
      </c>
      <c r="P1692">
        <v>0.59329999999999994</v>
      </c>
      <c r="Q1692">
        <v>2.5000000000000001E-3</v>
      </c>
      <c r="R1692">
        <v>0</v>
      </c>
      <c r="S1692">
        <v>0.59329999999999994</v>
      </c>
      <c r="T1692">
        <v>0.59329999999999994</v>
      </c>
      <c r="U1692">
        <v>5</v>
      </c>
      <c r="V1692">
        <v>0</v>
      </c>
      <c r="W1692">
        <v>0.4</v>
      </c>
      <c r="X1692">
        <v>1</v>
      </c>
      <c r="Y1692">
        <v>0.46629999999999999</v>
      </c>
      <c r="Z1692">
        <v>1</v>
      </c>
    </row>
    <row r="1693" spans="1:26" x14ac:dyDescent="0.2">
      <c r="A1693" t="s">
        <v>146</v>
      </c>
      <c r="B1693">
        <v>2018</v>
      </c>
      <c r="C1693" t="str">
        <f t="shared" si="26"/>
        <v>SPC2018</v>
      </c>
      <c r="D1693">
        <v>7.5030358067603128E-14</v>
      </c>
      <c r="E1693">
        <v>0.17999397807985529</v>
      </c>
      <c r="F1693">
        <v>0.93080788724235897</v>
      </c>
      <c r="G1693">
        <v>27.310957738002401</v>
      </c>
      <c r="H1693">
        <v>1.2692710547154169</v>
      </c>
      <c r="I1693">
        <v>0.6973244887465182</v>
      </c>
      <c r="J1693">
        <v>-9.8522847463618599E-2</v>
      </c>
      <c r="K1693">
        <v>-9.7317205670026288E-2</v>
      </c>
      <c r="L1693">
        <v>5.263107230422634E-2</v>
      </c>
      <c r="M1693">
        <v>10</v>
      </c>
      <c r="N1693">
        <v>0</v>
      </c>
      <c r="O1693">
        <v>0</v>
      </c>
      <c r="P1693">
        <v>0.65739999999999998</v>
      </c>
      <c r="Q1693">
        <v>2.5000000000000001E-3</v>
      </c>
      <c r="R1693">
        <v>6.4100000000000004E-2</v>
      </c>
      <c r="S1693">
        <v>0.59329999999999994</v>
      </c>
      <c r="T1693">
        <v>0.59329999999999994</v>
      </c>
      <c r="U1693">
        <v>5</v>
      </c>
      <c r="V1693">
        <v>0</v>
      </c>
      <c r="W1693">
        <v>0.4</v>
      </c>
      <c r="X1693">
        <v>1</v>
      </c>
      <c r="Y1693">
        <v>0.4763</v>
      </c>
      <c r="Z1693">
        <v>1</v>
      </c>
    </row>
    <row r="1694" spans="1:26" x14ac:dyDescent="0.2">
      <c r="A1694" t="s">
        <v>146</v>
      </c>
      <c r="B1694">
        <v>2019</v>
      </c>
      <c r="C1694" t="str">
        <f t="shared" si="26"/>
        <v>SPC2019</v>
      </c>
      <c r="D1694">
        <v>1.065430001912808E-13</v>
      </c>
      <c r="E1694">
        <v>0.17204890530839681</v>
      </c>
      <c r="F1694">
        <v>1.017558410603659</v>
      </c>
      <c r="G1694">
        <v>27.13672423035295</v>
      </c>
      <c r="H1694" t="e">
        <v>#N/A</v>
      </c>
      <c r="I1694">
        <v>0.6222516303682003</v>
      </c>
      <c r="J1694">
        <v>-0.15605046712844101</v>
      </c>
      <c r="K1694">
        <v>6.6011032784914936E-2</v>
      </c>
      <c r="L1694">
        <v>5.7655719284353979E-2</v>
      </c>
      <c r="M1694">
        <v>11</v>
      </c>
      <c r="N1694">
        <v>0</v>
      </c>
      <c r="O1694">
        <v>1</v>
      </c>
      <c r="P1694">
        <v>0.66209999999999991</v>
      </c>
      <c r="Q1694">
        <v>2.5000000000000001E-3</v>
      </c>
      <c r="R1694">
        <v>6.88E-2</v>
      </c>
      <c r="S1694">
        <v>0.59329999999999994</v>
      </c>
      <c r="T1694">
        <v>0.59329999999999994</v>
      </c>
      <c r="U1694">
        <v>5</v>
      </c>
      <c r="V1694">
        <v>0</v>
      </c>
      <c r="W1694">
        <v>0.4</v>
      </c>
      <c r="X1694">
        <v>1</v>
      </c>
      <c r="Y1694">
        <v>0.48630000000000001</v>
      </c>
      <c r="Z1694">
        <v>1</v>
      </c>
    </row>
    <row r="1695" spans="1:26" x14ac:dyDescent="0.2">
      <c r="A1695" t="s">
        <v>146</v>
      </c>
      <c r="B1695">
        <v>2020</v>
      </c>
      <c r="C1695" t="str">
        <f t="shared" si="26"/>
        <v>SPC2020</v>
      </c>
      <c r="D1695">
        <v>9.0201766026297865E-14</v>
      </c>
      <c r="E1695">
        <v>0.15580339863702219</v>
      </c>
      <c r="F1695">
        <v>0.94158562448241789</v>
      </c>
      <c r="G1695">
        <v>27.185463367708088</v>
      </c>
      <c r="H1695" t="e">
        <v>#N/A</v>
      </c>
      <c r="I1695">
        <v>0.62920416938074886</v>
      </c>
      <c r="J1695">
        <v>4.994642321192666E-2</v>
      </c>
      <c r="K1695">
        <v>3.5269477748968422E-2</v>
      </c>
      <c r="L1695">
        <v>5.6063403153849757E-2</v>
      </c>
      <c r="M1695">
        <v>12</v>
      </c>
      <c r="N1695">
        <v>0</v>
      </c>
      <c r="O1695">
        <v>1</v>
      </c>
      <c r="P1695">
        <v>0.66209999999999991</v>
      </c>
      <c r="Q1695">
        <v>4.0000000000000002E-4</v>
      </c>
      <c r="R1695">
        <v>6.88E-2</v>
      </c>
      <c r="S1695">
        <v>0.59329999999999994</v>
      </c>
      <c r="T1695">
        <v>0.59329999999999994</v>
      </c>
      <c r="U1695">
        <v>5</v>
      </c>
      <c r="V1695">
        <v>0</v>
      </c>
      <c r="W1695">
        <v>0.2</v>
      </c>
      <c r="X1695">
        <v>1</v>
      </c>
      <c r="Y1695">
        <v>0.50419999999999998</v>
      </c>
      <c r="Z1695">
        <v>1</v>
      </c>
    </row>
    <row r="1696" spans="1:26" x14ac:dyDescent="0.2">
      <c r="A1696" t="s">
        <v>146</v>
      </c>
      <c r="B1696">
        <v>2021</v>
      </c>
      <c r="C1696" t="str">
        <f t="shared" si="26"/>
        <v>SPC2021</v>
      </c>
      <c r="D1696">
        <v>6.7013954011199444E-14</v>
      </c>
      <c r="E1696">
        <v>0.1013443299897105</v>
      </c>
      <c r="F1696">
        <v>1.067386156423253</v>
      </c>
      <c r="G1696">
        <v>27.117200140678062</v>
      </c>
      <c r="H1696">
        <v>1.476372261727378</v>
      </c>
      <c r="I1696">
        <v>0.60443653433564926</v>
      </c>
      <c r="J1696">
        <v>-6.5985416668618679E-2</v>
      </c>
      <c r="K1696">
        <v>-4.8379768101943187E-2</v>
      </c>
      <c r="L1696">
        <v>5.8248493814913448E-2</v>
      </c>
      <c r="M1696">
        <v>13</v>
      </c>
      <c r="N1696">
        <v>0</v>
      </c>
      <c r="O1696">
        <v>0</v>
      </c>
      <c r="P1696">
        <v>0.67409999999999992</v>
      </c>
      <c r="Q1696">
        <v>1.4500000000000001E-2</v>
      </c>
      <c r="R1696">
        <v>8.0799999999999997E-2</v>
      </c>
      <c r="S1696">
        <v>0.59329999999999994</v>
      </c>
      <c r="T1696">
        <v>0.59329999999999994</v>
      </c>
      <c r="U1696">
        <v>5</v>
      </c>
      <c r="V1696">
        <v>0</v>
      </c>
      <c r="W1696">
        <v>0.2</v>
      </c>
      <c r="X1696">
        <v>1</v>
      </c>
      <c r="Y1696">
        <v>0.48909999999999998</v>
      </c>
      <c r="Z1696">
        <v>1</v>
      </c>
    </row>
    <row r="1697" spans="1:26" x14ac:dyDescent="0.2">
      <c r="A1697" t="s">
        <v>146</v>
      </c>
      <c r="B1697">
        <v>2022</v>
      </c>
      <c r="C1697" t="str">
        <f t="shared" si="26"/>
        <v>SPC2022</v>
      </c>
      <c r="D1697">
        <v>5.8108242184143327E-14</v>
      </c>
      <c r="E1697">
        <v>0.102097715853601</v>
      </c>
      <c r="F1697">
        <v>0.89402152529154155</v>
      </c>
      <c r="G1697">
        <v>27.20038844642697</v>
      </c>
      <c r="H1697">
        <v>1.5509222996479211</v>
      </c>
      <c r="I1697">
        <v>0.63000119642602759</v>
      </c>
      <c r="J1697">
        <v>8.6746429882300399E-2</v>
      </c>
      <c r="K1697">
        <v>-1.49625390729302E-2</v>
      </c>
      <c r="L1697">
        <v>5.2173046424116062E-2</v>
      </c>
      <c r="M1697">
        <v>14</v>
      </c>
      <c r="N1697">
        <v>0</v>
      </c>
      <c r="O1697">
        <v>0</v>
      </c>
      <c r="P1697">
        <v>0.67409999999999992</v>
      </c>
      <c r="Q1697">
        <v>1.4500000000000001E-2</v>
      </c>
      <c r="R1697">
        <v>8.0799999999999997E-2</v>
      </c>
      <c r="S1697">
        <v>0.59329999999999994</v>
      </c>
      <c r="T1697">
        <v>0.59329999999999994</v>
      </c>
      <c r="U1697">
        <v>5</v>
      </c>
      <c r="V1697">
        <v>0</v>
      </c>
      <c r="W1697">
        <v>0.2</v>
      </c>
      <c r="X1697">
        <v>1</v>
      </c>
      <c r="Y1697">
        <v>0.50729999999999997</v>
      </c>
      <c r="Z1697">
        <v>1</v>
      </c>
    </row>
    <row r="1698" spans="1:26" x14ac:dyDescent="0.2">
      <c r="A1698" t="s">
        <v>146</v>
      </c>
      <c r="B1698">
        <v>2023</v>
      </c>
      <c r="C1698" t="str">
        <f t="shared" si="26"/>
        <v>SPC2023</v>
      </c>
      <c r="D1698">
        <v>181692000930.7674</v>
      </c>
      <c r="E1698">
        <v>-8.0107714902226623E-2</v>
      </c>
      <c r="F1698">
        <v>0.47539740835228012</v>
      </c>
      <c r="G1698">
        <v>26.99904391047831</v>
      </c>
      <c r="H1698">
        <v>1.490687544000137</v>
      </c>
      <c r="I1698">
        <v>0.22182467396894601</v>
      </c>
      <c r="J1698">
        <v>-0.18236932014208981</v>
      </c>
      <c r="K1698">
        <v>0.18823793933530381</v>
      </c>
      <c r="L1698">
        <v>5.9500510304057279E-2</v>
      </c>
      <c r="M1698">
        <v>15</v>
      </c>
      <c r="N1698">
        <v>0</v>
      </c>
      <c r="O1698">
        <v>0</v>
      </c>
      <c r="P1698">
        <v>0.67409999999999992</v>
      </c>
      <c r="Q1698">
        <v>1.4500000000000001E-2</v>
      </c>
      <c r="R1698">
        <v>8.0799999999999997E-2</v>
      </c>
      <c r="S1698">
        <v>0.59329999999999994</v>
      </c>
      <c r="T1698">
        <v>0.59329999999999994</v>
      </c>
      <c r="U1698">
        <v>5</v>
      </c>
      <c r="V1698">
        <v>0</v>
      </c>
      <c r="W1698">
        <v>0.2</v>
      </c>
      <c r="X1698">
        <v>1</v>
      </c>
      <c r="Y1698">
        <v>0.50729999999999997</v>
      </c>
      <c r="Z1698">
        <v>1</v>
      </c>
    </row>
    <row r="1699" spans="1:26" x14ac:dyDescent="0.2">
      <c r="A1699" t="s">
        <v>147</v>
      </c>
      <c r="B1699">
        <v>2012</v>
      </c>
      <c r="C1699" t="str">
        <f t="shared" si="26"/>
        <v>SPM2012</v>
      </c>
      <c r="D1699">
        <v>5.2010264234373327E-14</v>
      </c>
      <c r="E1699">
        <v>9.8808795856588305E-2</v>
      </c>
      <c r="F1699">
        <v>0.80646015828809803</v>
      </c>
      <c r="G1699">
        <v>27.74047903287267</v>
      </c>
      <c r="H1699">
        <v>0.99262252235242776</v>
      </c>
      <c r="I1699">
        <v>0.412739997325</v>
      </c>
      <c r="J1699">
        <v>6.9531993340514964E-2</v>
      </c>
      <c r="K1699">
        <v>-8.3566141731083191E-2</v>
      </c>
      <c r="L1699">
        <v>0.3516505210191665</v>
      </c>
      <c r="M1699">
        <v>17</v>
      </c>
      <c r="N1699">
        <v>0</v>
      </c>
      <c r="O1699">
        <v>0</v>
      </c>
      <c r="P1699">
        <v>0.6873999999999999</v>
      </c>
      <c r="Q1699">
        <v>0.4803</v>
      </c>
      <c r="R1699">
        <v>0</v>
      </c>
      <c r="S1699">
        <v>0</v>
      </c>
      <c r="T1699">
        <v>7.4400000000000008E-2</v>
      </c>
      <c r="U1699">
        <v>5</v>
      </c>
      <c r="V1699">
        <v>0</v>
      </c>
      <c r="W1699">
        <v>0.2</v>
      </c>
      <c r="X1699">
        <v>0</v>
      </c>
      <c r="Y1699">
        <v>0.441</v>
      </c>
      <c r="Z1699">
        <v>1</v>
      </c>
    </row>
    <row r="1700" spans="1:26" x14ac:dyDescent="0.2">
      <c r="A1700" t="s">
        <v>147</v>
      </c>
      <c r="B1700">
        <v>2013</v>
      </c>
      <c r="C1700" t="str">
        <f t="shared" si="26"/>
        <v>SPM2013</v>
      </c>
      <c r="D1700">
        <v>1.4009628115473829E-14</v>
      </c>
      <c r="E1700">
        <v>2.6574361997859529E-2</v>
      </c>
      <c r="F1700">
        <v>0.74086497250784755</v>
      </c>
      <c r="G1700">
        <v>27.742374437892089</v>
      </c>
      <c r="H1700">
        <v>1.301139432159006</v>
      </c>
      <c r="I1700">
        <v>0.41071702548864358</v>
      </c>
      <c r="J1700">
        <v>1.8972024349501739E-3</v>
      </c>
      <c r="K1700">
        <v>-3.7301072670788922E-2</v>
      </c>
      <c r="L1700">
        <v>0.33909603583058451</v>
      </c>
      <c r="M1700">
        <v>18</v>
      </c>
      <c r="N1700">
        <v>0</v>
      </c>
      <c r="O1700">
        <v>0</v>
      </c>
      <c r="P1700">
        <v>0.60849999999999993</v>
      </c>
      <c r="Q1700">
        <v>0.47889999999999999</v>
      </c>
      <c r="R1700">
        <v>0</v>
      </c>
      <c r="S1700">
        <v>0</v>
      </c>
      <c r="T1700">
        <v>7.4400000000000008E-2</v>
      </c>
      <c r="U1700">
        <v>5</v>
      </c>
      <c r="V1700">
        <v>0</v>
      </c>
      <c r="W1700">
        <v>0.2</v>
      </c>
      <c r="X1700">
        <v>0</v>
      </c>
      <c r="Y1700">
        <v>0.45100000000000001</v>
      </c>
      <c r="Z1700">
        <v>1</v>
      </c>
    </row>
    <row r="1701" spans="1:26" x14ac:dyDescent="0.2">
      <c r="A1701" t="s">
        <v>147</v>
      </c>
      <c r="B1701">
        <v>2014</v>
      </c>
      <c r="C1701" t="str">
        <f t="shared" si="26"/>
        <v>SPM2014</v>
      </c>
      <c r="D1701">
        <v>2.659774398304691E-14</v>
      </c>
      <c r="E1701">
        <v>5.1436591171564197E-2</v>
      </c>
      <c r="F1701">
        <v>0.73609099733744832</v>
      </c>
      <c r="G1701">
        <v>27.7781880418813</v>
      </c>
      <c r="H1701">
        <v>2.7933228826116818</v>
      </c>
      <c r="I1701">
        <v>0.40091781356398382</v>
      </c>
      <c r="J1701">
        <v>3.6462635983966367E-2</v>
      </c>
      <c r="K1701">
        <v>-1.4710698431147719E-2</v>
      </c>
      <c r="L1701">
        <v>0.32304693371786258</v>
      </c>
      <c r="M1701">
        <v>19</v>
      </c>
      <c r="N1701">
        <v>0</v>
      </c>
      <c r="O1701">
        <v>0</v>
      </c>
      <c r="P1701">
        <v>0.60849999999999993</v>
      </c>
      <c r="Q1701">
        <v>0.47889999999999999</v>
      </c>
      <c r="R1701">
        <v>0</v>
      </c>
      <c r="S1701">
        <v>0</v>
      </c>
      <c r="T1701">
        <v>7.4400000000000008E-2</v>
      </c>
      <c r="U1701">
        <v>5</v>
      </c>
      <c r="V1701">
        <v>0</v>
      </c>
      <c r="W1701">
        <v>0.2</v>
      </c>
      <c r="X1701">
        <v>0</v>
      </c>
      <c r="Y1701">
        <v>0.46100000000000002</v>
      </c>
      <c r="Z1701">
        <v>1</v>
      </c>
    </row>
    <row r="1702" spans="1:26" x14ac:dyDescent="0.2">
      <c r="A1702" t="s">
        <v>147</v>
      </c>
      <c r="B1702">
        <v>2015</v>
      </c>
      <c r="C1702" t="str">
        <f t="shared" si="26"/>
        <v>SPM2015</v>
      </c>
      <c r="D1702">
        <v>1.4558613331163379E-14</v>
      </c>
      <c r="E1702">
        <v>2.740555197424319E-2</v>
      </c>
      <c r="F1702">
        <v>0.58863911428109716</v>
      </c>
      <c r="G1702">
        <v>27.778601791345238</v>
      </c>
      <c r="H1702">
        <v>2.922641224533451</v>
      </c>
      <c r="I1702">
        <v>0.38429180940829788</v>
      </c>
      <c r="J1702">
        <v>4.1383507006065301E-4</v>
      </c>
      <c r="K1702">
        <v>4.1255590601066663E-2</v>
      </c>
      <c r="L1702">
        <v>0.32005111189324892</v>
      </c>
      <c r="M1702">
        <v>20</v>
      </c>
      <c r="N1702">
        <v>0</v>
      </c>
      <c r="O1702">
        <v>0</v>
      </c>
      <c r="P1702">
        <v>0.74529999999999996</v>
      </c>
      <c r="Q1702">
        <v>0.4803</v>
      </c>
      <c r="R1702">
        <v>0</v>
      </c>
      <c r="S1702">
        <v>0</v>
      </c>
      <c r="T1702">
        <v>7.4400000000000008E-2</v>
      </c>
      <c r="U1702">
        <v>5</v>
      </c>
      <c r="V1702">
        <v>0</v>
      </c>
      <c r="W1702">
        <v>0.2</v>
      </c>
      <c r="X1702">
        <v>0</v>
      </c>
      <c r="Y1702">
        <v>0.48110000000000003</v>
      </c>
      <c r="Z1702">
        <v>1</v>
      </c>
    </row>
    <row r="1703" spans="1:26" x14ac:dyDescent="0.2">
      <c r="A1703" t="s">
        <v>147</v>
      </c>
      <c r="B1703">
        <v>2016</v>
      </c>
      <c r="C1703" t="str">
        <f t="shared" si="26"/>
        <v>SPM2016</v>
      </c>
      <c r="D1703">
        <v>5.404460856530776E-15</v>
      </c>
      <c r="E1703">
        <v>1.0930560908264801E-2</v>
      </c>
      <c r="F1703">
        <v>0.60334604252756252</v>
      </c>
      <c r="G1703">
        <v>27.81998471171536</v>
      </c>
      <c r="H1703">
        <v>3.2016822000686251</v>
      </c>
      <c r="I1703">
        <v>0.4027230236668683</v>
      </c>
      <c r="J1703">
        <v>4.2251128331437293E-2</v>
      </c>
      <c r="K1703">
        <v>5.2525526767630913E-2</v>
      </c>
      <c r="L1703">
        <v>0.30820813245742712</v>
      </c>
      <c r="M1703">
        <v>21</v>
      </c>
      <c r="N1703">
        <v>0</v>
      </c>
      <c r="O1703">
        <v>0</v>
      </c>
      <c r="P1703">
        <v>0.62549999999999994</v>
      </c>
      <c r="Q1703">
        <v>0.53189999999999993</v>
      </c>
      <c r="R1703">
        <v>0</v>
      </c>
      <c r="S1703">
        <v>0</v>
      </c>
      <c r="T1703">
        <v>7.5600000000000001E-2</v>
      </c>
      <c r="U1703">
        <v>5</v>
      </c>
      <c r="V1703">
        <v>0</v>
      </c>
      <c r="W1703">
        <v>0.2</v>
      </c>
      <c r="X1703">
        <v>0</v>
      </c>
      <c r="Y1703">
        <v>0.5</v>
      </c>
      <c r="Z1703">
        <v>1</v>
      </c>
    </row>
    <row r="1704" spans="1:26" x14ac:dyDescent="0.2">
      <c r="A1704" t="s">
        <v>147</v>
      </c>
      <c r="B1704">
        <v>2017</v>
      </c>
      <c r="C1704" t="str">
        <f t="shared" si="26"/>
        <v>SPM2017</v>
      </c>
      <c r="D1704">
        <v>1.7347374284791629E-14</v>
      </c>
      <c r="E1704">
        <v>2.0899108019750218E-2</v>
      </c>
      <c r="F1704">
        <v>0.40857856878149079</v>
      </c>
      <c r="G1704">
        <v>27.581194726306769</v>
      </c>
      <c r="H1704">
        <v>1.61332191899318</v>
      </c>
      <c r="I1704">
        <v>0.21029175535833569</v>
      </c>
      <c r="J1704">
        <v>-0.21241973164639161</v>
      </c>
      <c r="K1704">
        <v>-1.8645353177390269E-2</v>
      </c>
      <c r="L1704">
        <v>9.4989689651171896E-2</v>
      </c>
      <c r="M1704">
        <v>22</v>
      </c>
      <c r="N1704">
        <v>0</v>
      </c>
      <c r="O1704">
        <v>0</v>
      </c>
      <c r="P1704">
        <v>0.62470000000000003</v>
      </c>
      <c r="Q1704">
        <v>0.53170000000000006</v>
      </c>
      <c r="R1704">
        <v>0</v>
      </c>
      <c r="S1704">
        <v>0</v>
      </c>
      <c r="T1704">
        <v>7.5600000000000001E-2</v>
      </c>
      <c r="U1704">
        <v>5</v>
      </c>
      <c r="V1704">
        <v>0</v>
      </c>
      <c r="W1704">
        <v>0.2</v>
      </c>
      <c r="X1704">
        <v>0</v>
      </c>
      <c r="Y1704">
        <v>0.51</v>
      </c>
      <c r="Z1704">
        <v>1</v>
      </c>
    </row>
    <row r="1705" spans="1:26" x14ac:dyDescent="0.2">
      <c r="A1705" t="s">
        <v>147</v>
      </c>
      <c r="B1705">
        <v>2018</v>
      </c>
      <c r="C1705" t="str">
        <f t="shared" si="26"/>
        <v>SPM2018</v>
      </c>
      <c r="D1705">
        <v>1.138788679760586E-14</v>
      </c>
      <c r="E1705">
        <v>1.4404632615626901E-2</v>
      </c>
      <c r="F1705">
        <v>0.40354529029145753</v>
      </c>
      <c r="G1705">
        <v>27.6035274961786</v>
      </c>
      <c r="H1705">
        <v>4.1491600644226194</v>
      </c>
      <c r="I1705">
        <v>0.2308684479680766</v>
      </c>
      <c r="J1705">
        <v>2.258401300934243E-2</v>
      </c>
      <c r="K1705">
        <v>-1.313802276987118E-2</v>
      </c>
      <c r="L1705">
        <v>0.10484421370068971</v>
      </c>
      <c r="M1705">
        <v>23</v>
      </c>
      <c r="N1705">
        <v>0</v>
      </c>
      <c r="O1705">
        <v>0</v>
      </c>
      <c r="P1705">
        <v>0.70250000000000001</v>
      </c>
      <c r="Q1705">
        <v>0.54059999999999997</v>
      </c>
      <c r="R1705">
        <v>0</v>
      </c>
      <c r="S1705">
        <v>0</v>
      </c>
      <c r="T1705">
        <v>7.5600000000000001E-2</v>
      </c>
      <c r="U1705">
        <v>5</v>
      </c>
      <c r="V1705">
        <v>0</v>
      </c>
      <c r="W1705">
        <v>0.2</v>
      </c>
      <c r="X1705">
        <v>0</v>
      </c>
      <c r="Y1705">
        <v>0.52</v>
      </c>
      <c r="Z1705">
        <v>1</v>
      </c>
    </row>
    <row r="1706" spans="1:26" x14ac:dyDescent="0.2">
      <c r="A1706" t="s">
        <v>147</v>
      </c>
      <c r="B1706">
        <v>2019</v>
      </c>
      <c r="C1706" t="str">
        <f t="shared" si="26"/>
        <v>SPM2019</v>
      </c>
      <c r="D1706">
        <v>8.5705392904539176E-15</v>
      </c>
      <c r="E1706">
        <v>1.1830170622269969E-2</v>
      </c>
      <c r="F1706">
        <v>0.42701938912081222</v>
      </c>
      <c r="G1706">
        <v>27.65313925164028</v>
      </c>
      <c r="H1706">
        <v>3.136672228700061</v>
      </c>
      <c r="I1706">
        <v>0.25933311797160979</v>
      </c>
      <c r="J1706">
        <v>5.0863025335362133E-2</v>
      </c>
      <c r="K1706">
        <v>-2.9206814132997898E-2</v>
      </c>
      <c r="L1706">
        <v>0.10862721853167991</v>
      </c>
      <c r="M1706">
        <v>24</v>
      </c>
      <c r="N1706">
        <v>0</v>
      </c>
      <c r="O1706">
        <v>1</v>
      </c>
      <c r="P1706">
        <v>0.70250000000000001</v>
      </c>
      <c r="Q1706">
        <v>0.55740000000000001</v>
      </c>
      <c r="R1706">
        <v>0</v>
      </c>
      <c r="S1706">
        <v>0</v>
      </c>
      <c r="T1706">
        <v>7.5600000000000001E-2</v>
      </c>
      <c r="U1706">
        <v>5</v>
      </c>
      <c r="V1706">
        <v>0</v>
      </c>
      <c r="W1706">
        <v>0.2</v>
      </c>
      <c r="X1706">
        <v>0</v>
      </c>
      <c r="Y1706">
        <v>0.53</v>
      </c>
      <c r="Z1706">
        <v>1</v>
      </c>
    </row>
    <row r="1707" spans="1:26" x14ac:dyDescent="0.2">
      <c r="A1707" t="s">
        <v>147</v>
      </c>
      <c r="B1707">
        <v>2020</v>
      </c>
      <c r="C1707" t="str">
        <f t="shared" si="26"/>
        <v>SPM2020</v>
      </c>
      <c r="D1707">
        <v>7.4236920742142663E-15</v>
      </c>
      <c r="E1707">
        <v>1.077460103487927E-2</v>
      </c>
      <c r="F1707">
        <v>0.44882456400217119</v>
      </c>
      <c r="G1707">
        <v>27.68365210955443</v>
      </c>
      <c r="H1707">
        <v>3.3196982746955022</v>
      </c>
      <c r="I1707">
        <v>0.2737667953434556</v>
      </c>
      <c r="J1707">
        <v>3.0983146256347679E-2</v>
      </c>
      <c r="K1707">
        <v>-2.212038577342792E-3</v>
      </c>
      <c r="L1707">
        <v>0.126285460625679</v>
      </c>
      <c r="M1707">
        <v>25</v>
      </c>
      <c r="N1707">
        <v>0</v>
      </c>
      <c r="O1707">
        <v>1</v>
      </c>
      <c r="P1707">
        <v>0.72470000000000001</v>
      </c>
      <c r="Q1707">
        <v>0.55740000000000001</v>
      </c>
      <c r="R1707">
        <v>0</v>
      </c>
      <c r="S1707">
        <v>0</v>
      </c>
      <c r="T1707">
        <v>7.5600000000000001E-2</v>
      </c>
      <c r="U1707">
        <v>5</v>
      </c>
      <c r="V1707">
        <v>0</v>
      </c>
      <c r="W1707">
        <v>0.2</v>
      </c>
      <c r="X1707">
        <v>0</v>
      </c>
      <c r="Y1707">
        <v>0.54</v>
      </c>
      <c r="Z1707">
        <v>1</v>
      </c>
    </row>
    <row r="1708" spans="1:26" x14ac:dyDescent="0.2">
      <c r="A1708" t="s">
        <v>147</v>
      </c>
      <c r="B1708">
        <v>2021</v>
      </c>
      <c r="C1708" t="str">
        <f t="shared" si="26"/>
        <v>SPM2021</v>
      </c>
      <c r="D1708">
        <v>1.7695641295098481E-14</v>
      </c>
      <c r="E1708">
        <v>2.5702439430006281E-2</v>
      </c>
      <c r="F1708">
        <v>0.53006444081977988</v>
      </c>
      <c r="G1708">
        <v>27.6970475993622</v>
      </c>
      <c r="H1708">
        <v>3.0124097259062488</v>
      </c>
      <c r="I1708">
        <v>0.26452672003682293</v>
      </c>
      <c r="J1708">
        <v>1.3485611339110189E-2</v>
      </c>
      <c r="K1708">
        <v>9.5205891928840346E-3</v>
      </c>
      <c r="L1708">
        <v>0.12538447014194279</v>
      </c>
      <c r="M1708">
        <v>26</v>
      </c>
      <c r="N1708">
        <v>0</v>
      </c>
      <c r="O1708">
        <v>0</v>
      </c>
      <c r="P1708">
        <v>0.55910000000000004</v>
      </c>
      <c r="Q1708">
        <v>0.45229999999999998</v>
      </c>
      <c r="R1708">
        <v>0</v>
      </c>
      <c r="S1708">
        <v>0</v>
      </c>
      <c r="T1708">
        <v>0</v>
      </c>
      <c r="U1708">
        <v>5</v>
      </c>
      <c r="V1708">
        <v>0</v>
      </c>
      <c r="W1708">
        <v>0.2</v>
      </c>
      <c r="X1708">
        <v>0</v>
      </c>
      <c r="Y1708">
        <v>0.53220000000000001</v>
      </c>
      <c r="Z1708">
        <v>1</v>
      </c>
    </row>
    <row r="1709" spans="1:26" x14ac:dyDescent="0.2">
      <c r="A1709" t="s">
        <v>147</v>
      </c>
      <c r="B1709">
        <v>2022</v>
      </c>
      <c r="C1709" t="str">
        <f t="shared" si="26"/>
        <v>SPM2022</v>
      </c>
      <c r="D1709">
        <v>2.1048866735497199E-14</v>
      </c>
      <c r="E1709">
        <v>3.0027048289001261E-2</v>
      </c>
      <c r="F1709">
        <v>0.43403820742636551</v>
      </c>
      <c r="G1709">
        <v>27.69444241099205</v>
      </c>
      <c r="H1709">
        <v>3.1232655499139552</v>
      </c>
      <c r="I1709">
        <v>0.25310492692560882</v>
      </c>
      <c r="J1709">
        <v>-2.6017978119181611E-3</v>
      </c>
      <c r="K1709">
        <v>4.3028571109442047E-2</v>
      </c>
      <c r="L1709">
        <v>0.13284724892384531</v>
      </c>
      <c r="M1709">
        <v>27</v>
      </c>
      <c r="N1709">
        <v>0</v>
      </c>
      <c r="O1709">
        <v>0</v>
      </c>
      <c r="P1709">
        <v>0.70730000000000004</v>
      </c>
      <c r="Q1709">
        <v>0.45229999999999998</v>
      </c>
      <c r="R1709">
        <v>0</v>
      </c>
      <c r="S1709">
        <v>0</v>
      </c>
      <c r="T1709">
        <v>7.5600000000000001E-2</v>
      </c>
      <c r="U1709">
        <v>5</v>
      </c>
      <c r="V1709">
        <v>0</v>
      </c>
      <c r="W1709">
        <v>0.4</v>
      </c>
      <c r="X1709">
        <v>0</v>
      </c>
      <c r="Y1709">
        <v>0.52100000000000002</v>
      </c>
      <c r="Z1709">
        <v>1</v>
      </c>
    </row>
    <row r="1710" spans="1:26" x14ac:dyDescent="0.2">
      <c r="A1710" t="s">
        <v>147</v>
      </c>
      <c r="B1710">
        <v>2023</v>
      </c>
      <c r="C1710" t="str">
        <f t="shared" si="26"/>
        <v>SPM2023</v>
      </c>
      <c r="D1710">
        <v>-330169242305.55713</v>
      </c>
      <c r="E1710">
        <v>1.400573439159811E-2</v>
      </c>
      <c r="F1710">
        <v>0.32480534348523021</v>
      </c>
      <c r="G1710">
        <v>27.657053490650359</v>
      </c>
      <c r="H1710">
        <v>3.3880555768135849</v>
      </c>
      <c r="I1710">
        <v>0.15710334557974001</v>
      </c>
      <c r="J1710">
        <v>-3.669858502987533E-2</v>
      </c>
      <c r="K1710">
        <v>4.5349988883284321E-2</v>
      </c>
      <c r="L1710">
        <v>0.14223418375336411</v>
      </c>
      <c r="M1710">
        <v>28</v>
      </c>
      <c r="N1710">
        <v>0</v>
      </c>
      <c r="O1710">
        <v>0</v>
      </c>
      <c r="P1710">
        <v>0.70730000000000004</v>
      </c>
      <c r="Q1710">
        <v>0.45229999999999998</v>
      </c>
      <c r="R1710">
        <v>0</v>
      </c>
      <c r="S1710">
        <v>0</v>
      </c>
      <c r="T1710">
        <v>7.5600000000000001E-2</v>
      </c>
      <c r="U1710">
        <v>5</v>
      </c>
      <c r="V1710">
        <v>0</v>
      </c>
      <c r="W1710">
        <v>0.4</v>
      </c>
      <c r="X1710">
        <v>0</v>
      </c>
      <c r="Y1710">
        <v>0.52100000000000002</v>
      </c>
      <c r="Z1710">
        <v>1</v>
      </c>
    </row>
    <row r="1711" spans="1:26" x14ac:dyDescent="0.2">
      <c r="A1711" t="s">
        <v>148</v>
      </c>
      <c r="B1711">
        <v>2012</v>
      </c>
      <c r="C1711" t="str">
        <f t="shared" si="26"/>
        <v>SRC2012</v>
      </c>
      <c r="D1711">
        <v>1.698287423257203E-13</v>
      </c>
      <c r="E1711">
        <v>0.19296805250688009</v>
      </c>
      <c r="F1711">
        <v>0.96426437048573288</v>
      </c>
      <c r="G1711">
        <v>27.00320714907437</v>
      </c>
      <c r="H1711">
        <v>1.136161083386974</v>
      </c>
      <c r="I1711">
        <v>0.53024691801487411</v>
      </c>
      <c r="J1711">
        <v>-0.19059955326965269</v>
      </c>
      <c r="K1711">
        <v>0.36195902371039301</v>
      </c>
      <c r="L1711">
        <v>0.24720317630750249</v>
      </c>
      <c r="M1711">
        <v>20</v>
      </c>
      <c r="N1711">
        <v>0</v>
      </c>
      <c r="O1711">
        <v>0</v>
      </c>
      <c r="P1711">
        <v>0.51</v>
      </c>
      <c r="Q1711">
        <v>9.7999999999999997E-3</v>
      </c>
      <c r="R1711">
        <v>0</v>
      </c>
      <c r="S1711">
        <v>0.51</v>
      </c>
      <c r="T1711">
        <v>0.51</v>
      </c>
      <c r="U1711">
        <v>5</v>
      </c>
      <c r="V1711">
        <v>0</v>
      </c>
      <c r="W1711">
        <v>0.2</v>
      </c>
      <c r="X1711">
        <v>0</v>
      </c>
      <c r="Y1711">
        <v>0.49890000000000001</v>
      </c>
      <c r="Z1711">
        <v>1</v>
      </c>
    </row>
    <row r="1712" spans="1:26" x14ac:dyDescent="0.2">
      <c r="A1712" t="s">
        <v>148</v>
      </c>
      <c r="B1712">
        <v>2013</v>
      </c>
      <c r="C1712" t="str">
        <f t="shared" si="26"/>
        <v>SRC2013</v>
      </c>
      <c r="D1712">
        <v>2.4920322903130312E-13</v>
      </c>
      <c r="E1712">
        <v>0.23309642123551469</v>
      </c>
      <c r="F1712">
        <v>1.114942559022077</v>
      </c>
      <c r="G1712">
        <v>26.987213099333879</v>
      </c>
      <c r="H1712">
        <v>1.4365737363409781</v>
      </c>
      <c r="I1712">
        <v>0.43841462326379838</v>
      </c>
      <c r="J1712">
        <v>-2.54113438830047E-2</v>
      </c>
      <c r="K1712">
        <v>0.20158099880264879</v>
      </c>
      <c r="L1712">
        <v>0.16824041747246571</v>
      </c>
      <c r="M1712">
        <v>21</v>
      </c>
      <c r="N1712">
        <v>0</v>
      </c>
      <c r="O1712">
        <v>0</v>
      </c>
      <c r="P1712">
        <v>0.51</v>
      </c>
      <c r="Q1712">
        <v>9.7999999999999997E-3</v>
      </c>
      <c r="R1712">
        <v>0</v>
      </c>
      <c r="S1712">
        <v>0.51</v>
      </c>
      <c r="T1712">
        <v>0.51</v>
      </c>
      <c r="U1712">
        <v>5</v>
      </c>
      <c r="V1712">
        <v>0</v>
      </c>
      <c r="W1712">
        <v>0.2</v>
      </c>
      <c r="X1712">
        <v>0</v>
      </c>
      <c r="Y1712">
        <v>0.50890000000000002</v>
      </c>
      <c r="Z1712">
        <v>1</v>
      </c>
    </row>
    <row r="1713" spans="1:26" x14ac:dyDescent="0.2">
      <c r="A1713" t="s">
        <v>148</v>
      </c>
      <c r="B1713">
        <v>2014</v>
      </c>
      <c r="C1713" t="str">
        <f t="shared" si="26"/>
        <v>SRC2014</v>
      </c>
      <c r="D1713">
        <v>2.5290830829573409E-13</v>
      </c>
      <c r="E1713">
        <v>0.21347656916210819</v>
      </c>
      <c r="F1713">
        <v>1.571942677218761</v>
      </c>
      <c r="G1713">
        <v>26.979081464742819</v>
      </c>
      <c r="H1713">
        <v>2.227931983470266</v>
      </c>
      <c r="I1713">
        <v>0.38272443021430302</v>
      </c>
      <c r="J1713">
        <v>2.1379341145744141E-4</v>
      </c>
      <c r="K1713">
        <v>0.2015372517914692</v>
      </c>
      <c r="L1713">
        <v>0.168204456467895</v>
      </c>
      <c r="M1713">
        <v>22</v>
      </c>
      <c r="N1713">
        <v>0</v>
      </c>
      <c r="O1713">
        <v>0</v>
      </c>
      <c r="P1713">
        <v>0.51</v>
      </c>
      <c r="Q1713">
        <v>9.7999999999999997E-3</v>
      </c>
      <c r="R1713">
        <v>0</v>
      </c>
      <c r="S1713">
        <v>0.51</v>
      </c>
      <c r="T1713">
        <v>0.51</v>
      </c>
      <c r="U1713">
        <v>5</v>
      </c>
      <c r="V1713">
        <v>0</v>
      </c>
      <c r="W1713">
        <v>0.2</v>
      </c>
      <c r="X1713">
        <v>0</v>
      </c>
      <c r="Y1713">
        <v>0.50219999999999998</v>
      </c>
      <c r="Z1713">
        <v>1</v>
      </c>
    </row>
    <row r="1714" spans="1:26" x14ac:dyDescent="0.2">
      <c r="A1714" t="s">
        <v>148</v>
      </c>
      <c r="B1714">
        <v>2015</v>
      </c>
      <c r="C1714" t="str">
        <f t="shared" si="26"/>
        <v>SRC2015</v>
      </c>
      <c r="D1714">
        <v>2.5912825542433979E-13</v>
      </c>
      <c r="E1714">
        <v>0.22400578806895241</v>
      </c>
      <c r="F1714">
        <v>1.651374264645707</v>
      </c>
      <c r="G1714">
        <v>27.00748012029241</v>
      </c>
      <c r="H1714">
        <v>2.225199576106681</v>
      </c>
      <c r="I1714">
        <v>0.37990944362005302</v>
      </c>
      <c r="J1714">
        <v>2.8631154908719259E-2</v>
      </c>
      <c r="K1714">
        <v>0.15257448698962919</v>
      </c>
      <c r="L1714">
        <v>0.20260037576085349</v>
      </c>
      <c r="M1714">
        <v>23</v>
      </c>
      <c r="N1714">
        <v>0</v>
      </c>
      <c r="O1714">
        <v>0</v>
      </c>
      <c r="P1714">
        <v>0.69750000000000001</v>
      </c>
      <c r="Q1714">
        <v>9.0000000000000011E-3</v>
      </c>
      <c r="R1714">
        <v>0</v>
      </c>
      <c r="S1714">
        <v>0.69750000000000001</v>
      </c>
      <c r="T1714">
        <v>0.69750000000000001</v>
      </c>
      <c r="U1714">
        <v>5</v>
      </c>
      <c r="V1714">
        <v>0</v>
      </c>
      <c r="W1714">
        <v>0.2</v>
      </c>
      <c r="X1714">
        <v>0</v>
      </c>
      <c r="Y1714">
        <v>0.5111</v>
      </c>
      <c r="Z1714">
        <v>1</v>
      </c>
    </row>
    <row r="1715" spans="1:26" x14ac:dyDescent="0.2">
      <c r="A1715" t="s">
        <v>148</v>
      </c>
      <c r="B1715">
        <v>2016</v>
      </c>
      <c r="C1715" t="str">
        <f t="shared" si="26"/>
        <v>SRC2016</v>
      </c>
      <c r="D1715">
        <v>1.283691063564987E-13</v>
      </c>
      <c r="E1715">
        <v>0.1956391587811746</v>
      </c>
      <c r="F1715">
        <v>1.198988959458869</v>
      </c>
      <c r="G1715">
        <v>27.308412003250151</v>
      </c>
      <c r="H1715">
        <v>2.4802801179425851</v>
      </c>
      <c r="I1715">
        <v>0.52477708528948108</v>
      </c>
      <c r="J1715">
        <v>0.35263379272832612</v>
      </c>
      <c r="K1715">
        <v>0.30890015395046838</v>
      </c>
      <c r="L1715">
        <v>0.14576395424194211</v>
      </c>
      <c r="M1715">
        <v>24</v>
      </c>
      <c r="N1715">
        <v>0</v>
      </c>
      <c r="O1715">
        <v>0</v>
      </c>
      <c r="P1715">
        <v>0.51</v>
      </c>
      <c r="Q1715">
        <v>3.3E-3</v>
      </c>
      <c r="R1715">
        <v>0</v>
      </c>
      <c r="S1715">
        <v>0.51</v>
      </c>
      <c r="T1715">
        <v>0.51</v>
      </c>
      <c r="U1715">
        <v>5</v>
      </c>
      <c r="V1715">
        <v>0</v>
      </c>
      <c r="W1715">
        <v>0</v>
      </c>
      <c r="X1715">
        <v>0</v>
      </c>
      <c r="Y1715">
        <v>0.44500000000000001</v>
      </c>
      <c r="Z1715">
        <v>1</v>
      </c>
    </row>
    <row r="1716" spans="1:26" x14ac:dyDescent="0.2">
      <c r="A1716" t="s">
        <v>148</v>
      </c>
      <c r="B1716">
        <v>2017</v>
      </c>
      <c r="C1716" t="str">
        <f t="shared" si="26"/>
        <v>SRC2017</v>
      </c>
      <c r="D1716">
        <v>4.6570885707695842E-14</v>
      </c>
      <c r="E1716">
        <v>9.9765815688240111E-2</v>
      </c>
      <c r="F1716">
        <v>1.020263820945839</v>
      </c>
      <c r="G1716">
        <v>27.477280763397861</v>
      </c>
      <c r="H1716">
        <v>2.2230423404478268</v>
      </c>
      <c r="I1716">
        <v>0.59971975846211445</v>
      </c>
      <c r="J1716">
        <v>0.18258525514600429</v>
      </c>
      <c r="K1716">
        <v>2.2529294475299839E-2</v>
      </c>
      <c r="L1716">
        <v>0.1234909551549718</v>
      </c>
      <c r="M1716">
        <v>25</v>
      </c>
      <c r="N1716">
        <v>0</v>
      </c>
      <c r="O1716">
        <v>0</v>
      </c>
      <c r="P1716">
        <v>0.51</v>
      </c>
      <c r="Q1716">
        <v>3.3E-3</v>
      </c>
      <c r="R1716">
        <v>0</v>
      </c>
      <c r="S1716">
        <v>0.51</v>
      </c>
      <c r="T1716">
        <v>0.51</v>
      </c>
      <c r="U1716">
        <v>5</v>
      </c>
      <c r="V1716">
        <v>0</v>
      </c>
      <c r="W1716">
        <v>0</v>
      </c>
      <c r="X1716">
        <v>0</v>
      </c>
      <c r="Y1716">
        <v>0.45500000000000002</v>
      </c>
      <c r="Z1716">
        <v>1</v>
      </c>
    </row>
    <row r="1717" spans="1:26" x14ac:dyDescent="0.2">
      <c r="A1717" t="s">
        <v>148</v>
      </c>
      <c r="B1717">
        <v>2018</v>
      </c>
      <c r="C1717" t="str">
        <f t="shared" si="26"/>
        <v>SRC2018</v>
      </c>
      <c r="D1717">
        <v>1.769018820652091E-14</v>
      </c>
      <c r="E1717">
        <v>3.7198093920249177E-2</v>
      </c>
      <c r="F1717">
        <v>1.044913135141381</v>
      </c>
      <c r="G1717">
        <v>27.46446371687539</v>
      </c>
      <c r="H1717">
        <v>1.9680978308637791</v>
      </c>
      <c r="I1717">
        <v>0.59739718472003744</v>
      </c>
      <c r="J1717">
        <v>-1.158970654007652E-2</v>
      </c>
      <c r="K1717">
        <v>3.5800113215024028E-2</v>
      </c>
      <c r="L1717">
        <v>0.11431300787893579</v>
      </c>
      <c r="M1717">
        <v>26</v>
      </c>
      <c r="N1717">
        <v>1</v>
      </c>
      <c r="O1717">
        <v>0</v>
      </c>
      <c r="P1717">
        <v>0.51</v>
      </c>
      <c r="Q1717">
        <v>3.3E-3</v>
      </c>
      <c r="R1717">
        <v>0</v>
      </c>
      <c r="S1717">
        <v>0.51</v>
      </c>
      <c r="T1717">
        <v>0.51</v>
      </c>
      <c r="U1717">
        <v>6</v>
      </c>
      <c r="V1717">
        <v>0</v>
      </c>
      <c r="W1717">
        <v>0</v>
      </c>
      <c r="X1717">
        <v>0</v>
      </c>
      <c r="Y1717">
        <v>0.46500000000000002</v>
      </c>
      <c r="Z1717">
        <v>1</v>
      </c>
    </row>
    <row r="1718" spans="1:26" x14ac:dyDescent="0.2">
      <c r="A1718" t="s">
        <v>148</v>
      </c>
      <c r="B1718">
        <v>2019</v>
      </c>
      <c r="C1718" t="str">
        <f t="shared" si="26"/>
        <v>SRC2019</v>
      </c>
      <c r="D1718">
        <v>6.3552258080727382E-14</v>
      </c>
      <c r="E1718">
        <v>0.108482231806849</v>
      </c>
      <c r="F1718">
        <v>1.1604039662835459</v>
      </c>
      <c r="G1718">
        <v>27.416349024673739</v>
      </c>
      <c r="H1718">
        <v>1.9842728119232951</v>
      </c>
      <c r="I1718">
        <v>0.52734803245455575</v>
      </c>
      <c r="J1718">
        <v>-4.8080063523880723E-2</v>
      </c>
      <c r="K1718">
        <v>0.18558248341847369</v>
      </c>
      <c r="L1718">
        <v>0.1048566273905374</v>
      </c>
      <c r="M1718">
        <v>27</v>
      </c>
      <c r="N1718">
        <v>1</v>
      </c>
      <c r="O1718">
        <v>1</v>
      </c>
      <c r="P1718">
        <v>0.44419999999999998</v>
      </c>
      <c r="Q1718">
        <v>0</v>
      </c>
      <c r="R1718">
        <v>0</v>
      </c>
      <c r="S1718">
        <v>0.36</v>
      </c>
      <c r="T1718">
        <v>0.36</v>
      </c>
      <c r="U1718">
        <v>6</v>
      </c>
      <c r="V1718">
        <v>0</v>
      </c>
      <c r="W1718">
        <v>0</v>
      </c>
      <c r="X1718">
        <v>0</v>
      </c>
      <c r="Y1718">
        <v>0.47899999999999998</v>
      </c>
      <c r="Z1718">
        <v>1</v>
      </c>
    </row>
    <row r="1719" spans="1:26" x14ac:dyDescent="0.2">
      <c r="A1719" t="s">
        <v>148</v>
      </c>
      <c r="B1719">
        <v>2020</v>
      </c>
      <c r="C1719" t="str">
        <f t="shared" si="26"/>
        <v>SRC2020</v>
      </c>
      <c r="D1719">
        <v>3.7223406006944668E-14</v>
      </c>
      <c r="E1719">
        <v>0.17168511024896019</v>
      </c>
      <c r="F1719">
        <v>1.1126577423163679</v>
      </c>
      <c r="G1719">
        <v>27.971302672948671</v>
      </c>
      <c r="H1719">
        <v>2.9710592113923489</v>
      </c>
      <c r="I1719">
        <v>0.69530461233166929</v>
      </c>
      <c r="J1719">
        <v>0.74186024467569123</v>
      </c>
      <c r="K1719">
        <v>-9.9544371145289558E-3</v>
      </c>
      <c r="L1719">
        <v>4.1700080019560111E-2</v>
      </c>
      <c r="M1719">
        <v>28</v>
      </c>
      <c r="N1719">
        <v>1</v>
      </c>
      <c r="O1719">
        <v>1</v>
      </c>
      <c r="P1719">
        <v>0.60539999999999994</v>
      </c>
      <c r="Q1719">
        <v>0</v>
      </c>
      <c r="R1719">
        <v>0</v>
      </c>
      <c r="S1719">
        <v>0.36</v>
      </c>
      <c r="T1719">
        <v>0.60539999999999994</v>
      </c>
      <c r="U1719">
        <v>5</v>
      </c>
      <c r="V1719">
        <v>0</v>
      </c>
      <c r="W1719">
        <v>0</v>
      </c>
      <c r="X1719">
        <v>0</v>
      </c>
      <c r="Y1719">
        <v>0.47670000000000001</v>
      </c>
      <c r="Z1719">
        <v>1</v>
      </c>
    </row>
    <row r="1720" spans="1:26" x14ac:dyDescent="0.2">
      <c r="A1720" t="s">
        <v>148</v>
      </c>
      <c r="B1720">
        <v>2021</v>
      </c>
      <c r="C1720" t="str">
        <f t="shared" si="26"/>
        <v>SRC2021</v>
      </c>
      <c r="D1720">
        <v>2.623922933927226E-14</v>
      </c>
      <c r="E1720">
        <v>9.2569257542591404E-2</v>
      </c>
      <c r="F1720">
        <v>1.1382332846959671</v>
      </c>
      <c r="G1720">
        <v>27.842392839248959</v>
      </c>
      <c r="H1720">
        <v>1.5122900006118409</v>
      </c>
      <c r="I1720">
        <v>0.64982763604454707</v>
      </c>
      <c r="J1720">
        <v>-0.1209467770507754</v>
      </c>
      <c r="K1720">
        <v>0.13839648740160379</v>
      </c>
      <c r="L1720">
        <v>4.483470728332685E-2</v>
      </c>
      <c r="M1720">
        <v>29</v>
      </c>
      <c r="N1720">
        <v>1</v>
      </c>
      <c r="O1720">
        <v>0</v>
      </c>
      <c r="P1720">
        <v>0.60539999999999994</v>
      </c>
      <c r="Q1720">
        <v>0</v>
      </c>
      <c r="R1720">
        <v>0</v>
      </c>
      <c r="S1720">
        <v>0.36</v>
      </c>
      <c r="T1720">
        <v>0.60539999999999994</v>
      </c>
      <c r="U1720">
        <v>5</v>
      </c>
      <c r="V1720">
        <v>0</v>
      </c>
      <c r="W1720">
        <v>0</v>
      </c>
      <c r="X1720">
        <v>0</v>
      </c>
      <c r="Y1720">
        <v>0.48880000000000001</v>
      </c>
      <c r="Z1720">
        <v>1</v>
      </c>
    </row>
    <row r="1721" spans="1:26" x14ac:dyDescent="0.2">
      <c r="A1721" t="s">
        <v>148</v>
      </c>
      <c r="B1721">
        <v>2022</v>
      </c>
      <c r="C1721" t="str">
        <f t="shared" si="26"/>
        <v>SRC2022</v>
      </c>
      <c r="D1721">
        <v>1.789654685385486E-14</v>
      </c>
      <c r="E1721">
        <v>6.3144070415996498E-2</v>
      </c>
      <c r="F1721">
        <v>1.057364736113521</v>
      </c>
      <c r="G1721">
        <v>27.850177560546179</v>
      </c>
      <c r="H1721">
        <v>0.98506824501937418</v>
      </c>
      <c r="I1721">
        <v>0.64712970361615485</v>
      </c>
      <c r="J1721">
        <v>7.815101021462878E-3</v>
      </c>
      <c r="K1721">
        <v>5.6751002919179651E-2</v>
      </c>
      <c r="L1721">
        <v>3.6769185641299107E-2</v>
      </c>
      <c r="M1721">
        <v>30</v>
      </c>
      <c r="N1721">
        <v>1</v>
      </c>
      <c r="O1721">
        <v>0</v>
      </c>
      <c r="P1721">
        <v>0.60539999999999994</v>
      </c>
      <c r="Q1721">
        <v>0</v>
      </c>
      <c r="R1721">
        <v>0</v>
      </c>
      <c r="S1721">
        <v>0.36</v>
      </c>
      <c r="T1721">
        <v>0.60539999999999994</v>
      </c>
      <c r="U1721">
        <v>5</v>
      </c>
      <c r="V1721">
        <v>0</v>
      </c>
      <c r="W1721">
        <v>0</v>
      </c>
      <c r="X1721">
        <v>0</v>
      </c>
      <c r="Y1721">
        <v>0.49330000000000002</v>
      </c>
      <c r="Z1721">
        <v>1</v>
      </c>
    </row>
    <row r="1722" spans="1:26" x14ac:dyDescent="0.2">
      <c r="A1722" t="s">
        <v>148</v>
      </c>
      <c r="B1722">
        <v>2023</v>
      </c>
      <c r="C1722" t="str">
        <f t="shared" si="26"/>
        <v>SRC2023</v>
      </c>
      <c r="D1722">
        <v>99096614098.977493</v>
      </c>
      <c r="E1722">
        <v>3.3570876830754763E-2</v>
      </c>
      <c r="F1722">
        <v>0.96184699086369552</v>
      </c>
      <c r="G1722">
        <v>27.928781970654551</v>
      </c>
      <c r="H1722">
        <v>1.0180493908159329</v>
      </c>
      <c r="I1722">
        <v>0.34975332511247792</v>
      </c>
      <c r="J1722">
        <v>8.177629764646778E-2</v>
      </c>
      <c r="K1722">
        <v>-6.0733366276335937E-2</v>
      </c>
      <c r="L1722">
        <v>3.7755540923E-2</v>
      </c>
      <c r="M1722">
        <v>31</v>
      </c>
      <c r="N1722">
        <v>0</v>
      </c>
      <c r="O1722">
        <v>0</v>
      </c>
      <c r="P1722">
        <v>0.60539999999999994</v>
      </c>
      <c r="Q1722">
        <v>0</v>
      </c>
      <c r="R1722">
        <v>0</v>
      </c>
      <c r="S1722">
        <v>0.36</v>
      </c>
      <c r="T1722">
        <v>0.60539999999999994</v>
      </c>
      <c r="U1722">
        <v>5</v>
      </c>
      <c r="V1722">
        <v>0</v>
      </c>
      <c r="W1722">
        <v>0</v>
      </c>
      <c r="X1722">
        <v>0</v>
      </c>
      <c r="Y1722">
        <v>0.49330000000000002</v>
      </c>
      <c r="Z1722">
        <v>1</v>
      </c>
    </row>
    <row r="1723" spans="1:26" x14ac:dyDescent="0.2">
      <c r="A1723" t="s">
        <v>149</v>
      </c>
      <c r="B1723">
        <v>2012</v>
      </c>
      <c r="C1723" t="str">
        <f t="shared" si="26"/>
        <v>SSM2012</v>
      </c>
      <c r="D1723">
        <v>2.1633938322953821E-13</v>
      </c>
      <c r="E1723">
        <v>5.9869962247592112E-2</v>
      </c>
      <c r="F1723">
        <v>0.67724624041193626</v>
      </c>
      <c r="G1723">
        <v>25.709450655398111</v>
      </c>
      <c r="H1723">
        <v>1.7950707563276309</v>
      </c>
      <c r="I1723">
        <v>0.47106883667338328</v>
      </c>
      <c r="J1723">
        <v>-3.0206028321519088E-2</v>
      </c>
      <c r="K1723">
        <v>0.1219537712217572</v>
      </c>
      <c r="L1723">
        <v>0.1206206912150944</v>
      </c>
      <c r="M1723">
        <v>8</v>
      </c>
      <c r="N1723">
        <v>0</v>
      </c>
      <c r="O1723">
        <v>0</v>
      </c>
      <c r="P1723">
        <v>0.107</v>
      </c>
      <c r="Q1723">
        <v>8.5199999999999998E-2</v>
      </c>
      <c r="R1723">
        <v>0</v>
      </c>
      <c r="S1723">
        <v>5.0500000000000003E-2</v>
      </c>
      <c r="T1723">
        <v>5.0500000000000003E-2</v>
      </c>
      <c r="U1723">
        <v>5</v>
      </c>
      <c r="V1723">
        <v>1</v>
      </c>
      <c r="W1723">
        <v>0</v>
      </c>
      <c r="X1723">
        <v>0</v>
      </c>
      <c r="Y1723">
        <v>0.46439999999999998</v>
      </c>
      <c r="Z1723">
        <v>1</v>
      </c>
    </row>
    <row r="1724" spans="1:26" x14ac:dyDescent="0.2">
      <c r="A1724" t="s">
        <v>149</v>
      </c>
      <c r="B1724">
        <v>2013</v>
      </c>
      <c r="C1724" t="str">
        <f t="shared" si="26"/>
        <v>SSM2013</v>
      </c>
      <c r="D1724">
        <v>3.8226060675066992E-13</v>
      </c>
      <c r="E1724">
        <v>0.1247961248180018</v>
      </c>
      <c r="F1724">
        <v>0.76004383783793084</v>
      </c>
      <c r="G1724">
        <v>25.831038841670541</v>
      </c>
      <c r="H1724">
        <v>1.8036328567683579</v>
      </c>
      <c r="I1724">
        <v>0.49366718357783279</v>
      </c>
      <c r="J1724">
        <v>0.12928894931708701</v>
      </c>
      <c r="K1724">
        <v>4.8397217626605989E-2</v>
      </c>
      <c r="L1724">
        <v>0.1135153385895611</v>
      </c>
      <c r="M1724">
        <v>9</v>
      </c>
      <c r="N1724">
        <v>0</v>
      </c>
      <c r="O1724">
        <v>0</v>
      </c>
      <c r="P1724">
        <v>0.12520000000000001</v>
      </c>
      <c r="Q1724">
        <v>0.1052</v>
      </c>
      <c r="R1724">
        <v>0</v>
      </c>
      <c r="S1724">
        <v>5.0500000000000003E-2</v>
      </c>
      <c r="T1724">
        <v>5.0500000000000003E-2</v>
      </c>
      <c r="U1724">
        <v>5</v>
      </c>
      <c r="V1724">
        <v>1</v>
      </c>
      <c r="W1724">
        <v>0</v>
      </c>
      <c r="X1724">
        <v>0</v>
      </c>
      <c r="Y1724">
        <v>0.47399999999999998</v>
      </c>
      <c r="Z1724">
        <v>1</v>
      </c>
    </row>
    <row r="1725" spans="1:26" x14ac:dyDescent="0.2">
      <c r="A1725" t="s">
        <v>149</v>
      </c>
      <c r="B1725">
        <v>2014</v>
      </c>
      <c r="C1725" t="str">
        <f t="shared" si="26"/>
        <v>SSM2014</v>
      </c>
      <c r="D1725">
        <v>2.6028655945280812E-13</v>
      </c>
      <c r="E1725">
        <v>9.4277033391916676E-2</v>
      </c>
      <c r="F1725">
        <v>0.87911028560962923</v>
      </c>
      <c r="G1725">
        <v>25.877438701445211</v>
      </c>
      <c r="H1725">
        <v>1.7309588841003971</v>
      </c>
      <c r="I1725">
        <v>0.52194851844407286</v>
      </c>
      <c r="J1725">
        <v>4.7493177613355142E-2</v>
      </c>
      <c r="K1725">
        <v>0.12352893675782819</v>
      </c>
      <c r="L1725">
        <v>0.1351593488167776</v>
      </c>
      <c r="M1725">
        <v>10</v>
      </c>
      <c r="N1725">
        <v>0</v>
      </c>
      <c r="O1725">
        <v>0</v>
      </c>
      <c r="P1725">
        <v>0.12520000000000001</v>
      </c>
      <c r="Q1725">
        <v>0.1052</v>
      </c>
      <c r="R1725">
        <v>0</v>
      </c>
      <c r="S1725">
        <v>5.0500000000000003E-2</v>
      </c>
      <c r="T1725">
        <v>5.0500000000000003E-2</v>
      </c>
      <c r="U1725">
        <v>5</v>
      </c>
      <c r="V1725">
        <v>1</v>
      </c>
      <c r="W1725">
        <v>0</v>
      </c>
      <c r="X1725">
        <v>0</v>
      </c>
      <c r="Y1725">
        <v>0.48399999999999999</v>
      </c>
      <c r="Z1725">
        <v>1</v>
      </c>
    </row>
    <row r="1726" spans="1:26" x14ac:dyDescent="0.2">
      <c r="A1726" t="s">
        <v>149</v>
      </c>
      <c r="B1726">
        <v>2015</v>
      </c>
      <c r="C1726" t="str">
        <f t="shared" si="26"/>
        <v>SSM2015</v>
      </c>
      <c r="D1726">
        <v>6.4703675260979217E-13</v>
      </c>
      <c r="E1726">
        <v>0.1504117951389688</v>
      </c>
      <c r="F1726">
        <v>0.84866074476822007</v>
      </c>
      <c r="G1726">
        <v>25.695447253035081</v>
      </c>
      <c r="H1726">
        <v>1.6254034398334041</v>
      </c>
      <c r="I1726">
        <v>0.37907662783445861</v>
      </c>
      <c r="J1726">
        <v>-0.16639153093700809</v>
      </c>
      <c r="K1726">
        <v>0.1645652326212777</v>
      </c>
      <c r="L1726">
        <v>0.15716278745500431</v>
      </c>
      <c r="M1726">
        <v>11</v>
      </c>
      <c r="N1726">
        <v>0</v>
      </c>
      <c r="O1726">
        <v>0</v>
      </c>
      <c r="P1726">
        <v>0.26600000000000001</v>
      </c>
      <c r="Q1726">
        <v>0.2301</v>
      </c>
      <c r="R1726">
        <v>8.1900000000000001E-2</v>
      </c>
      <c r="S1726">
        <v>0</v>
      </c>
      <c r="T1726">
        <v>8.1900000000000001E-2</v>
      </c>
      <c r="U1726">
        <v>5</v>
      </c>
      <c r="V1726">
        <v>1</v>
      </c>
      <c r="W1726">
        <v>0</v>
      </c>
      <c r="X1726">
        <v>0</v>
      </c>
      <c r="Y1726">
        <v>0.49399999999999999</v>
      </c>
      <c r="Z1726">
        <v>1</v>
      </c>
    </row>
    <row r="1727" spans="1:26" x14ac:dyDescent="0.2">
      <c r="A1727" t="s">
        <v>149</v>
      </c>
      <c r="B1727">
        <v>2016</v>
      </c>
      <c r="C1727" t="str">
        <f t="shared" si="26"/>
        <v>SSM2016</v>
      </c>
      <c r="D1727">
        <v>5.875479150748978E-13</v>
      </c>
      <c r="E1727">
        <v>0.12683605762602621</v>
      </c>
      <c r="F1727">
        <v>0.92686310940659955</v>
      </c>
      <c r="G1727">
        <v>25.653751816368469</v>
      </c>
      <c r="H1727">
        <v>2.1662698854439522</v>
      </c>
      <c r="I1727">
        <v>0.35866726348035222</v>
      </c>
      <c r="J1727">
        <v>-4.0838138374522659E-2</v>
      </c>
      <c r="K1727">
        <v>-3.120877646060316E-2</v>
      </c>
      <c r="L1727">
        <v>0.1626354132533494</v>
      </c>
      <c r="M1727">
        <v>12</v>
      </c>
      <c r="N1727">
        <v>0</v>
      </c>
      <c r="O1727">
        <v>0</v>
      </c>
      <c r="P1727">
        <v>0.28620000000000001</v>
      </c>
      <c r="Q1727">
        <v>0.26519999999999999</v>
      </c>
      <c r="R1727">
        <v>8.1900000000000001E-2</v>
      </c>
      <c r="S1727">
        <v>0</v>
      </c>
      <c r="T1727">
        <v>8.1900000000000001E-2</v>
      </c>
      <c r="U1727">
        <v>5</v>
      </c>
      <c r="V1727">
        <v>1</v>
      </c>
      <c r="W1727">
        <v>0</v>
      </c>
      <c r="X1727">
        <v>0</v>
      </c>
      <c r="Y1727">
        <v>0.504</v>
      </c>
      <c r="Z1727">
        <v>1</v>
      </c>
    </row>
    <row r="1728" spans="1:26" x14ac:dyDescent="0.2">
      <c r="A1728" t="s">
        <v>149</v>
      </c>
      <c r="B1728">
        <v>2017</v>
      </c>
      <c r="C1728" t="str">
        <f t="shared" si="26"/>
        <v>SSM2017</v>
      </c>
      <c r="D1728">
        <v>-3.0320122435741401E-13</v>
      </c>
      <c r="E1728">
        <v>-0.15348471707206399</v>
      </c>
      <c r="F1728">
        <v>1.069681062703618</v>
      </c>
      <c r="G1728">
        <v>25.951213480264151</v>
      </c>
      <c r="H1728">
        <v>2.2761977054515459</v>
      </c>
      <c r="I1728">
        <v>0.6317568932694283</v>
      </c>
      <c r="J1728">
        <v>0.34643675722337242</v>
      </c>
      <c r="K1728">
        <v>-1.2039123342504449E-3</v>
      </c>
      <c r="L1728">
        <v>0.1188522915346812</v>
      </c>
      <c r="M1728">
        <v>13</v>
      </c>
      <c r="N1728">
        <v>0</v>
      </c>
      <c r="O1728">
        <v>0</v>
      </c>
      <c r="P1728">
        <v>0.58009999999999995</v>
      </c>
      <c r="Q1728">
        <v>0.25609999999999999</v>
      </c>
      <c r="R1728">
        <v>0</v>
      </c>
      <c r="S1728">
        <v>0</v>
      </c>
      <c r="T1728">
        <v>5.0500000000000003E-2</v>
      </c>
      <c r="U1728">
        <v>5</v>
      </c>
      <c r="V1728">
        <v>1</v>
      </c>
      <c r="W1728">
        <v>0</v>
      </c>
      <c r="X1728">
        <v>0</v>
      </c>
      <c r="Y1728">
        <v>0.51400000000000001</v>
      </c>
      <c r="Z1728">
        <v>1</v>
      </c>
    </row>
    <row r="1729" spans="1:26" x14ac:dyDescent="0.2">
      <c r="A1729" t="s">
        <v>149</v>
      </c>
      <c r="B1729">
        <v>2018</v>
      </c>
      <c r="C1729" t="str">
        <f t="shared" si="26"/>
        <v>SSM2018</v>
      </c>
      <c r="D1729">
        <v>-1.121758918446765E-12</v>
      </c>
      <c r="E1729">
        <v>-0.25430765191100091</v>
      </c>
      <c r="F1729">
        <v>0.81959654222073131</v>
      </c>
      <c r="G1729">
        <v>25.436265235790291</v>
      </c>
      <c r="H1729">
        <v>1.3712886328725049</v>
      </c>
      <c r="I1729">
        <v>0.50867401303083348</v>
      </c>
      <c r="J1729">
        <v>-0.4024684806238632</v>
      </c>
      <c r="K1729">
        <v>-4.5093966385574002E-2</v>
      </c>
      <c r="L1729">
        <v>0.15367206151817889</v>
      </c>
      <c r="M1729">
        <v>14</v>
      </c>
      <c r="N1729">
        <v>0</v>
      </c>
      <c r="O1729">
        <v>0</v>
      </c>
      <c r="P1729">
        <v>0.58989999999999998</v>
      </c>
      <c r="Q1729">
        <v>0.25</v>
      </c>
      <c r="R1729">
        <v>0</v>
      </c>
      <c r="S1729">
        <v>0</v>
      </c>
      <c r="T1729">
        <v>0</v>
      </c>
      <c r="U1729">
        <v>5</v>
      </c>
      <c r="V1729">
        <v>1</v>
      </c>
      <c r="W1729">
        <v>0.2</v>
      </c>
      <c r="X1729">
        <v>0</v>
      </c>
      <c r="Y1729">
        <v>0.49399999999999999</v>
      </c>
      <c r="Z1729">
        <v>1</v>
      </c>
    </row>
    <row r="1730" spans="1:26" x14ac:dyDescent="0.2">
      <c r="A1730" t="s">
        <v>149</v>
      </c>
      <c r="B1730">
        <v>2019</v>
      </c>
      <c r="C1730" t="str">
        <f t="shared" si="26"/>
        <v>SSM2019</v>
      </c>
      <c r="D1730">
        <v>2.211133638343432E-13</v>
      </c>
      <c r="E1730">
        <v>0.1469603101669491</v>
      </c>
      <c r="F1730">
        <v>0.83306987610007244</v>
      </c>
      <c r="G1730">
        <v>26.053537565309</v>
      </c>
      <c r="H1730">
        <v>1.5742299842987271</v>
      </c>
      <c r="I1730">
        <v>0.68931339428924132</v>
      </c>
      <c r="J1730">
        <v>0.85386440780184092</v>
      </c>
      <c r="K1730">
        <v>-0.22087801486591011</v>
      </c>
      <c r="L1730">
        <v>7.8895388226236249E-2</v>
      </c>
      <c r="M1730">
        <v>15</v>
      </c>
      <c r="N1730">
        <v>0</v>
      </c>
      <c r="O1730">
        <v>1</v>
      </c>
      <c r="P1730">
        <v>0.4894</v>
      </c>
      <c r="Q1730">
        <v>0.47020000000000001</v>
      </c>
      <c r="R1730">
        <v>0</v>
      </c>
      <c r="S1730">
        <v>0</v>
      </c>
      <c r="T1730">
        <v>0</v>
      </c>
      <c r="U1730">
        <v>5</v>
      </c>
      <c r="V1730">
        <v>1</v>
      </c>
      <c r="W1730">
        <v>0.2</v>
      </c>
      <c r="X1730">
        <v>0</v>
      </c>
      <c r="Y1730">
        <v>0.504</v>
      </c>
      <c r="Z1730">
        <v>1</v>
      </c>
    </row>
    <row r="1731" spans="1:26" x14ac:dyDescent="0.2">
      <c r="A1731" t="s">
        <v>149</v>
      </c>
      <c r="B1731">
        <v>2020</v>
      </c>
      <c r="C1731" t="str">
        <f t="shared" ref="C1731:C1794" si="27">A1731&amp;B1731</f>
        <v>SSM2020</v>
      </c>
      <c r="D1731">
        <v>5.0911461749350819E-13</v>
      </c>
      <c r="E1731">
        <v>9.4713731893477815E-2</v>
      </c>
      <c r="F1731">
        <v>0.63702666541729835</v>
      </c>
      <c r="G1731">
        <v>25.4666389977771</v>
      </c>
      <c r="H1731">
        <v>1.2972584795475941</v>
      </c>
      <c r="I1731">
        <v>0.38280356776132213</v>
      </c>
      <c r="J1731">
        <v>-0.44395083786363371</v>
      </c>
      <c r="K1731">
        <v>0.56820694597293087</v>
      </c>
      <c r="L1731">
        <v>0.1396591326727333</v>
      </c>
      <c r="M1731">
        <v>16</v>
      </c>
      <c r="N1731">
        <v>0</v>
      </c>
      <c r="O1731">
        <v>1</v>
      </c>
      <c r="P1731">
        <v>0.59190000000000009</v>
      </c>
      <c r="Q1731">
        <v>0.45629999999999998</v>
      </c>
      <c r="R1731">
        <v>0</v>
      </c>
      <c r="S1731">
        <v>0</v>
      </c>
      <c r="T1731">
        <v>0</v>
      </c>
      <c r="U1731">
        <v>4</v>
      </c>
      <c r="V1731">
        <v>0</v>
      </c>
      <c r="W1731">
        <v>0.25</v>
      </c>
      <c r="X1731">
        <v>0</v>
      </c>
      <c r="Y1731">
        <v>0.49249999999999999</v>
      </c>
      <c r="Z1731">
        <v>1</v>
      </c>
    </row>
    <row r="1732" spans="1:26" x14ac:dyDescent="0.2">
      <c r="A1732" t="s">
        <v>149</v>
      </c>
      <c r="B1732">
        <v>2021</v>
      </c>
      <c r="C1732" t="str">
        <f t="shared" si="27"/>
        <v>SSM2021</v>
      </c>
      <c r="D1732">
        <v>-1.5204472001344841E-13</v>
      </c>
      <c r="E1732">
        <v>-5.2035507493929878E-2</v>
      </c>
      <c r="F1732">
        <v>0.82028318635397868</v>
      </c>
      <c r="G1732">
        <v>25.74605847115328</v>
      </c>
      <c r="H1732">
        <v>2.1644625027831581</v>
      </c>
      <c r="I1732">
        <v>0.55634776526778928</v>
      </c>
      <c r="J1732">
        <v>0.32236192316622758</v>
      </c>
      <c r="K1732">
        <v>-0.1280922516769547</v>
      </c>
      <c r="L1732">
        <v>8.8685787451549841E-2</v>
      </c>
      <c r="M1732">
        <v>17</v>
      </c>
      <c r="N1732">
        <v>0</v>
      </c>
      <c r="O1732">
        <v>0</v>
      </c>
      <c r="P1732">
        <v>0.59190000000000009</v>
      </c>
      <c r="Q1732">
        <v>0.45629999999999998</v>
      </c>
      <c r="R1732">
        <v>0</v>
      </c>
      <c r="S1732">
        <v>0</v>
      </c>
      <c r="T1732">
        <v>0</v>
      </c>
      <c r="U1732">
        <v>5</v>
      </c>
      <c r="V1732">
        <v>0</v>
      </c>
      <c r="W1732">
        <v>0.2</v>
      </c>
      <c r="X1732">
        <v>0</v>
      </c>
      <c r="Y1732">
        <v>0.50249999999999995</v>
      </c>
      <c r="Z1732">
        <v>1</v>
      </c>
    </row>
    <row r="1733" spans="1:26" x14ac:dyDescent="0.2">
      <c r="A1733" t="s">
        <v>149</v>
      </c>
      <c r="B1733">
        <v>2022</v>
      </c>
      <c r="C1733" t="str">
        <f t="shared" si="27"/>
        <v>SSM2022</v>
      </c>
      <c r="D1733">
        <v>-9.0835003094004161E-13</v>
      </c>
      <c r="E1733">
        <v>-0.1589370417085669</v>
      </c>
      <c r="F1733">
        <v>0.6051629236842524</v>
      </c>
      <c r="G1733">
        <v>25.336870212808751</v>
      </c>
      <c r="H1733">
        <v>1.5930895419730771</v>
      </c>
      <c r="I1733">
        <v>0.42364371656739208</v>
      </c>
      <c r="J1733">
        <v>-0.33581081860409939</v>
      </c>
      <c r="K1733">
        <v>0.192447362722211</v>
      </c>
      <c r="L1733">
        <v>0.1248831438623757</v>
      </c>
      <c r="M1733">
        <v>18</v>
      </c>
      <c r="N1733">
        <v>0</v>
      </c>
      <c r="O1733">
        <v>0</v>
      </c>
      <c r="P1733">
        <v>0.59190000000000009</v>
      </c>
      <c r="Q1733">
        <v>0.45629999999999998</v>
      </c>
      <c r="R1733">
        <v>0</v>
      </c>
      <c r="S1733">
        <v>0</v>
      </c>
      <c r="T1733">
        <v>0</v>
      </c>
      <c r="U1733">
        <v>5</v>
      </c>
      <c r="V1733">
        <v>0</v>
      </c>
      <c r="W1733">
        <v>0.2</v>
      </c>
      <c r="X1733">
        <v>0</v>
      </c>
      <c r="Y1733">
        <v>0.51249999999999996</v>
      </c>
      <c r="Z1733">
        <v>1</v>
      </c>
    </row>
    <row r="1734" spans="1:26" x14ac:dyDescent="0.2">
      <c r="A1734" t="s">
        <v>149</v>
      </c>
      <c r="B1734">
        <v>2023</v>
      </c>
      <c r="C1734" t="str">
        <f t="shared" si="27"/>
        <v>SSM2023</v>
      </c>
      <c r="D1734">
        <v>-15118972087.764629</v>
      </c>
      <c r="E1734">
        <v>1.272369166795175E-2</v>
      </c>
      <c r="F1734">
        <v>0.3522308717481627</v>
      </c>
      <c r="G1734">
        <v>25.690737798241731</v>
      </c>
      <c r="H1734">
        <v>2.0006502333928862</v>
      </c>
      <c r="I1734">
        <v>0.18692839546206719</v>
      </c>
      <c r="J1734">
        <v>0.42456654062876242</v>
      </c>
      <c r="K1734">
        <v>-8.8755338397098413E-3</v>
      </c>
      <c r="L1734">
        <v>0.1285239407648813</v>
      </c>
      <c r="M1734">
        <v>19</v>
      </c>
      <c r="N1734">
        <v>0</v>
      </c>
      <c r="O1734">
        <v>0</v>
      </c>
      <c r="P1734">
        <v>0.59190000000000009</v>
      </c>
      <c r="Q1734">
        <v>0.45629999999999998</v>
      </c>
      <c r="R1734">
        <v>0</v>
      </c>
      <c r="S1734">
        <v>0</v>
      </c>
      <c r="T1734">
        <v>0</v>
      </c>
      <c r="U1734">
        <v>5</v>
      </c>
      <c r="V1734">
        <v>0</v>
      </c>
      <c r="W1734">
        <v>0.2</v>
      </c>
      <c r="X1734">
        <v>0</v>
      </c>
      <c r="Y1734">
        <v>0.51249999999999996</v>
      </c>
      <c r="Z1734">
        <v>1</v>
      </c>
    </row>
    <row r="1735" spans="1:26" x14ac:dyDescent="0.2">
      <c r="A1735" t="s">
        <v>150</v>
      </c>
      <c r="B1735">
        <v>2012</v>
      </c>
      <c r="C1735" t="str">
        <f t="shared" si="27"/>
        <v>STK2012</v>
      </c>
      <c r="D1735">
        <v>8.1477783072326629E-14</v>
      </c>
      <c r="E1735">
        <v>0.17943979313841829</v>
      </c>
      <c r="F1735">
        <v>1.4432872724797019</v>
      </c>
      <c r="G1735">
        <v>27.647463470696032</v>
      </c>
      <c r="H1735" t="e">
        <v>#N/A</v>
      </c>
      <c r="I1735">
        <v>0.53840481727537748</v>
      </c>
      <c r="J1735">
        <v>0</v>
      </c>
      <c r="K1735">
        <v>5.3971007588031507E-2</v>
      </c>
      <c r="L1735">
        <v>0.54328063966876017</v>
      </c>
      <c r="M1735">
        <v>7</v>
      </c>
      <c r="N1735">
        <v>1</v>
      </c>
      <c r="O1735">
        <v>0</v>
      </c>
      <c r="P1735">
        <v>0.57729999999999992</v>
      </c>
      <c r="Q1735">
        <v>0.30959999999999999</v>
      </c>
      <c r="R1735">
        <v>8.0299999999999996E-2</v>
      </c>
      <c r="S1735">
        <v>0</v>
      </c>
      <c r="T1735">
        <v>0.26769999999999988</v>
      </c>
      <c r="U1735">
        <v>6</v>
      </c>
      <c r="V1735">
        <v>1</v>
      </c>
      <c r="W1735">
        <v>0.33333333333333331</v>
      </c>
      <c r="X1735">
        <v>0</v>
      </c>
      <c r="Y1735">
        <v>0.48299999999999998</v>
      </c>
      <c r="Z1735">
        <v>1</v>
      </c>
    </row>
    <row r="1736" spans="1:26" x14ac:dyDescent="0.2">
      <c r="A1736" t="s">
        <v>150</v>
      </c>
      <c r="B1736">
        <v>2013</v>
      </c>
      <c r="C1736" t="str">
        <f t="shared" si="27"/>
        <v>STK2013</v>
      </c>
      <c r="D1736">
        <v>7.0750351681199953E-14</v>
      </c>
      <c r="E1736">
        <v>0.147894749483412</v>
      </c>
      <c r="F1736">
        <v>1.1673124749230579</v>
      </c>
      <c r="G1736">
        <v>27.656173274360331</v>
      </c>
      <c r="H1736">
        <v>1.1699773341079009</v>
      </c>
      <c r="I1736">
        <v>0.50943191532596788</v>
      </c>
      <c r="J1736">
        <v>8.7478443663826511E-3</v>
      </c>
      <c r="K1736">
        <v>0.1242071179402411</v>
      </c>
      <c r="L1736">
        <v>0.47003583964581591</v>
      </c>
      <c r="M1736">
        <v>8</v>
      </c>
      <c r="N1736">
        <v>1</v>
      </c>
      <c r="O1736">
        <v>0</v>
      </c>
      <c r="P1736">
        <v>0.57729999999999992</v>
      </c>
      <c r="Q1736">
        <v>0.30959999999999999</v>
      </c>
      <c r="R1736">
        <v>8.0299999999999996E-2</v>
      </c>
      <c r="S1736">
        <v>0</v>
      </c>
      <c r="T1736">
        <v>0.26769999999999988</v>
      </c>
      <c r="U1736">
        <v>6</v>
      </c>
      <c r="V1736">
        <v>1</v>
      </c>
      <c r="W1736">
        <v>0.33333333333333331</v>
      </c>
      <c r="X1736">
        <v>0</v>
      </c>
      <c r="Y1736">
        <v>0.48299999999999998</v>
      </c>
      <c r="Z1736">
        <v>1</v>
      </c>
    </row>
    <row r="1737" spans="1:26" x14ac:dyDescent="0.2">
      <c r="A1737" t="s">
        <v>150</v>
      </c>
      <c r="B1737">
        <v>2014</v>
      </c>
      <c r="C1737" t="str">
        <f t="shared" si="27"/>
        <v>STK2014</v>
      </c>
      <c r="D1737">
        <v>6.8460227926678814E-14</v>
      </c>
      <c r="E1737">
        <v>0.15723810056597501</v>
      </c>
      <c r="F1737">
        <v>1.148730050306952</v>
      </c>
      <c r="G1737">
        <v>27.850118607527399</v>
      </c>
      <c r="H1737">
        <v>1.321018344713055</v>
      </c>
      <c r="I1737">
        <v>0.45795744540115668</v>
      </c>
      <c r="J1737">
        <v>0.2140299139716679</v>
      </c>
      <c r="K1737">
        <v>0.13841840556581589</v>
      </c>
      <c r="L1737">
        <v>0.59251043882755983</v>
      </c>
      <c r="M1737">
        <v>9</v>
      </c>
      <c r="N1737">
        <v>1</v>
      </c>
      <c r="O1737">
        <v>0</v>
      </c>
      <c r="P1737">
        <v>0.57729999999999992</v>
      </c>
      <c r="Q1737">
        <v>0.30959999999999999</v>
      </c>
      <c r="R1737">
        <v>8.0299999999999996E-2</v>
      </c>
      <c r="S1737">
        <v>0</v>
      </c>
      <c r="T1737">
        <v>0.26769999999999988</v>
      </c>
      <c r="U1737">
        <v>6</v>
      </c>
      <c r="V1737">
        <v>1</v>
      </c>
      <c r="W1737">
        <v>0.33333333333333331</v>
      </c>
      <c r="X1737">
        <v>0</v>
      </c>
      <c r="Y1737">
        <v>0.48299999999999998</v>
      </c>
      <c r="Z1737">
        <v>1</v>
      </c>
    </row>
    <row r="1738" spans="1:26" x14ac:dyDescent="0.2">
      <c r="A1738" t="s">
        <v>150</v>
      </c>
      <c r="B1738">
        <v>2015</v>
      </c>
      <c r="C1738" t="str">
        <f t="shared" si="27"/>
        <v>STK2015</v>
      </c>
      <c r="D1738">
        <v>2.4134255586048939E-14</v>
      </c>
      <c r="E1738">
        <v>0.1033965920470684</v>
      </c>
      <c r="F1738">
        <v>1.4622971352377929</v>
      </c>
      <c r="G1738">
        <v>28.172797809800059</v>
      </c>
      <c r="H1738">
        <v>2.2329723972306912</v>
      </c>
      <c r="I1738">
        <v>0.59874698231218648</v>
      </c>
      <c r="J1738">
        <v>0.38082231518644172</v>
      </c>
      <c r="K1738">
        <v>-5.4796345594257993E-2</v>
      </c>
      <c r="L1738">
        <v>0.67890448728903074</v>
      </c>
      <c r="M1738">
        <v>10</v>
      </c>
      <c r="N1738">
        <v>1</v>
      </c>
      <c r="O1738">
        <v>0</v>
      </c>
      <c r="P1738">
        <v>0.58740000000000003</v>
      </c>
      <c r="Q1738">
        <v>0.3115</v>
      </c>
      <c r="R1738">
        <v>7.6200000000000004E-2</v>
      </c>
      <c r="S1738">
        <v>0</v>
      </c>
      <c r="T1738">
        <v>0.27779999999999999</v>
      </c>
      <c r="U1738">
        <v>6</v>
      </c>
      <c r="V1738">
        <v>1</v>
      </c>
      <c r="W1738">
        <v>0.33333333333333331</v>
      </c>
      <c r="X1738">
        <v>1</v>
      </c>
      <c r="Y1738">
        <v>0.49080000000000001</v>
      </c>
      <c r="Z1738">
        <v>1</v>
      </c>
    </row>
    <row r="1739" spans="1:26" x14ac:dyDescent="0.2">
      <c r="A1739" t="s">
        <v>150</v>
      </c>
      <c r="B1739">
        <v>2016</v>
      </c>
      <c r="C1739" t="str">
        <f t="shared" si="27"/>
        <v>STK2016</v>
      </c>
      <c r="D1739">
        <v>6.9774058974246483E-15</v>
      </c>
      <c r="E1739">
        <v>4.1143348647864203E-2</v>
      </c>
      <c r="F1739">
        <v>1.182687411269562</v>
      </c>
      <c r="G1739">
        <v>28.336370020110859</v>
      </c>
      <c r="H1739">
        <v>1.1623543742335589</v>
      </c>
      <c r="I1739">
        <v>0.6566607224646166</v>
      </c>
      <c r="J1739">
        <v>0.17771039495065619</v>
      </c>
      <c r="K1739">
        <v>0.10019818985625289</v>
      </c>
      <c r="L1739">
        <v>0.66691642942720919</v>
      </c>
      <c r="M1739">
        <v>11</v>
      </c>
      <c r="N1739">
        <v>1</v>
      </c>
      <c r="O1739">
        <v>0</v>
      </c>
      <c r="P1739">
        <v>0.5867</v>
      </c>
      <c r="Q1739">
        <v>0.3115</v>
      </c>
      <c r="R1739">
        <v>7.5499999999999998E-2</v>
      </c>
      <c r="S1739">
        <v>0</v>
      </c>
      <c r="T1739">
        <v>0.27710000000000001</v>
      </c>
      <c r="U1739">
        <v>6</v>
      </c>
      <c r="V1739">
        <v>1</v>
      </c>
      <c r="W1739">
        <v>0.33333333333333331</v>
      </c>
      <c r="X1739">
        <v>1</v>
      </c>
      <c r="Y1739">
        <v>0.50080000000000002</v>
      </c>
      <c r="Z1739">
        <v>1</v>
      </c>
    </row>
    <row r="1740" spans="1:26" x14ac:dyDescent="0.2">
      <c r="A1740" t="s">
        <v>150</v>
      </c>
      <c r="B1740">
        <v>2017</v>
      </c>
      <c r="C1740" t="str">
        <f t="shared" si="27"/>
        <v>STK2017</v>
      </c>
      <c r="D1740">
        <v>2.5446951313604289E-14</v>
      </c>
      <c r="E1740">
        <v>0.12793335084481561</v>
      </c>
      <c r="F1740">
        <v>1.1638602333403769</v>
      </c>
      <c r="G1740">
        <v>28.313381694055241</v>
      </c>
      <c r="H1740">
        <v>0.87615065078854637</v>
      </c>
      <c r="I1740">
        <v>0.6064522647390771</v>
      </c>
      <c r="J1740">
        <v>-2.2726107652245361E-2</v>
      </c>
      <c r="K1740">
        <v>0.15713424765611081</v>
      </c>
      <c r="L1740">
        <v>0.61087434421456732</v>
      </c>
      <c r="M1740">
        <v>12</v>
      </c>
      <c r="N1740">
        <v>1</v>
      </c>
      <c r="O1740">
        <v>0</v>
      </c>
      <c r="P1740">
        <v>0.57109999999999994</v>
      </c>
      <c r="Q1740">
        <v>0.31019999999999998</v>
      </c>
      <c r="R1740">
        <v>5.9900000000000002E-2</v>
      </c>
      <c r="S1740">
        <v>0</v>
      </c>
      <c r="T1740">
        <v>0.26150000000000001</v>
      </c>
      <c r="U1740">
        <v>6</v>
      </c>
      <c r="V1740">
        <v>1</v>
      </c>
      <c r="W1740">
        <v>0.33333333333333331</v>
      </c>
      <c r="X1740">
        <v>1</v>
      </c>
      <c r="Y1740">
        <v>0.50729999999999997</v>
      </c>
      <c r="Z1740">
        <v>1</v>
      </c>
    </row>
    <row r="1741" spans="1:26" x14ac:dyDescent="0.2">
      <c r="A1741" t="s">
        <v>150</v>
      </c>
      <c r="B1741">
        <v>2018</v>
      </c>
      <c r="C1741" t="str">
        <f t="shared" si="27"/>
        <v>STK2018</v>
      </c>
      <c r="D1741">
        <v>3.9704396367128748E-14</v>
      </c>
      <c r="E1741">
        <v>0.19619563425048961</v>
      </c>
      <c r="F1741">
        <v>1.0207404328713829</v>
      </c>
      <c r="G1741">
        <v>28.382170363654151</v>
      </c>
      <c r="H1741">
        <v>0.83722752165313052</v>
      </c>
      <c r="I1741">
        <v>0.57108697791971386</v>
      </c>
      <c r="J1741">
        <v>7.120980602829996E-2</v>
      </c>
      <c r="K1741">
        <v>0.12061510941894241</v>
      </c>
      <c r="L1741">
        <v>0.55676165041914594</v>
      </c>
      <c r="M1741">
        <v>13</v>
      </c>
      <c r="N1741">
        <v>1</v>
      </c>
      <c r="O1741">
        <v>0</v>
      </c>
      <c r="P1741">
        <v>0.51119999999999999</v>
      </c>
      <c r="Q1741">
        <v>0.31030000000000002</v>
      </c>
      <c r="R1741">
        <v>0</v>
      </c>
      <c r="S1741">
        <v>0</v>
      </c>
      <c r="T1741">
        <v>0.2016</v>
      </c>
      <c r="U1741">
        <v>7</v>
      </c>
      <c r="V1741">
        <v>1</v>
      </c>
      <c r="W1741">
        <v>0.2857142857142857</v>
      </c>
      <c r="X1741">
        <v>1</v>
      </c>
      <c r="Y1741">
        <v>0.47620000000000001</v>
      </c>
      <c r="Z1741">
        <v>1</v>
      </c>
    </row>
    <row r="1742" spans="1:26" x14ac:dyDescent="0.2">
      <c r="A1742" t="s">
        <v>150</v>
      </c>
      <c r="B1742">
        <v>2019</v>
      </c>
      <c r="C1742" t="str">
        <f t="shared" si="27"/>
        <v>STK2019</v>
      </c>
      <c r="D1742">
        <v>4.9980139352578692E-14</v>
      </c>
      <c r="E1742">
        <v>0.19796835775769939</v>
      </c>
      <c r="F1742">
        <v>1.0763483690920581</v>
      </c>
      <c r="G1742">
        <v>28.35918453713132</v>
      </c>
      <c r="H1742">
        <v>0.93293254367833545</v>
      </c>
      <c r="I1742">
        <v>0.47707544197833962</v>
      </c>
      <c r="J1742">
        <v>-2.2723664921058599E-2</v>
      </c>
      <c r="K1742">
        <v>8.6986213268501963E-2</v>
      </c>
      <c r="L1742">
        <v>0.50644043211130818</v>
      </c>
      <c r="M1742">
        <v>14</v>
      </c>
      <c r="N1742">
        <v>1</v>
      </c>
      <c r="O1742">
        <v>1</v>
      </c>
      <c r="P1742">
        <v>0.5655</v>
      </c>
      <c r="Q1742">
        <v>0.3085</v>
      </c>
      <c r="R1742">
        <v>0</v>
      </c>
      <c r="S1742">
        <v>0</v>
      </c>
      <c r="T1742">
        <v>0.19989999999999999</v>
      </c>
      <c r="U1742">
        <v>7</v>
      </c>
      <c r="V1742">
        <v>1</v>
      </c>
      <c r="W1742">
        <v>0.2857142857142857</v>
      </c>
      <c r="X1742">
        <v>1</v>
      </c>
      <c r="Y1742">
        <v>0.48620000000000002</v>
      </c>
      <c r="Z1742">
        <v>1</v>
      </c>
    </row>
    <row r="1743" spans="1:26" x14ac:dyDescent="0.2">
      <c r="A1743" t="s">
        <v>150</v>
      </c>
      <c r="B1743">
        <v>2020</v>
      </c>
      <c r="C1743" t="str">
        <f t="shared" si="27"/>
        <v>STK2020</v>
      </c>
      <c r="D1743">
        <v>4.975321389999152E-14</v>
      </c>
      <c r="E1743">
        <v>0.1333226522397164</v>
      </c>
      <c r="F1743">
        <v>1.200941125514748</v>
      </c>
      <c r="G1743">
        <v>28.16364097431358</v>
      </c>
      <c r="H1743">
        <v>1.067991816428012</v>
      </c>
      <c r="I1743">
        <v>0.36433095852345881</v>
      </c>
      <c r="J1743">
        <v>-0.1776124827336889</v>
      </c>
      <c r="K1743">
        <v>0.26447537547282318</v>
      </c>
      <c r="L1743">
        <v>0.53673878879419967</v>
      </c>
      <c r="M1743">
        <v>15</v>
      </c>
      <c r="N1743">
        <v>1</v>
      </c>
      <c r="O1743">
        <v>1</v>
      </c>
      <c r="P1743">
        <v>0.61719999999999997</v>
      </c>
      <c r="Q1743">
        <v>0.38090000000000002</v>
      </c>
      <c r="R1743">
        <v>0</v>
      </c>
      <c r="S1743">
        <v>0</v>
      </c>
      <c r="T1743">
        <v>0.19989999999999999</v>
      </c>
      <c r="U1743">
        <v>7</v>
      </c>
      <c r="V1743">
        <v>0</v>
      </c>
      <c r="W1743">
        <v>0.2857142857142857</v>
      </c>
      <c r="X1743">
        <v>1</v>
      </c>
      <c r="Y1743">
        <v>0.48080000000000001</v>
      </c>
      <c r="Z1743">
        <v>1</v>
      </c>
    </row>
    <row r="1744" spans="1:26" x14ac:dyDescent="0.2">
      <c r="A1744" t="s">
        <v>150</v>
      </c>
      <c r="B1744">
        <v>2021</v>
      </c>
      <c r="C1744" t="str">
        <f t="shared" si="27"/>
        <v>STK2021</v>
      </c>
      <c r="D1744">
        <v>7.1673511057357147E-14</v>
      </c>
      <c r="E1744">
        <v>0.2211922992818115</v>
      </c>
      <c r="F1744">
        <v>2.3191831487814918</v>
      </c>
      <c r="G1744">
        <v>28.309632993555759</v>
      </c>
      <c r="H1744">
        <v>1.1139488887499709</v>
      </c>
      <c r="I1744">
        <v>0.36128653708509989</v>
      </c>
      <c r="J1744">
        <v>0.15718695278512551</v>
      </c>
      <c r="K1744">
        <v>0.15040472434229271</v>
      </c>
      <c r="L1744">
        <v>0.42149354179559828</v>
      </c>
      <c r="M1744">
        <v>16</v>
      </c>
      <c r="N1744">
        <v>1</v>
      </c>
      <c r="O1744">
        <v>0</v>
      </c>
      <c r="P1744">
        <v>0.61719999999999997</v>
      </c>
      <c r="Q1744">
        <v>0.38040000000000002</v>
      </c>
      <c r="R1744">
        <v>0</v>
      </c>
      <c r="S1744">
        <v>0</v>
      </c>
      <c r="T1744">
        <v>0.19989999999999999</v>
      </c>
      <c r="U1744">
        <v>7</v>
      </c>
      <c r="V1744">
        <v>0</v>
      </c>
      <c r="W1744">
        <v>0.2857142857142857</v>
      </c>
      <c r="X1744">
        <v>1</v>
      </c>
      <c r="Y1744">
        <v>0.49080000000000001</v>
      </c>
      <c r="Z1744">
        <v>1</v>
      </c>
    </row>
    <row r="1745" spans="1:26" x14ac:dyDescent="0.2">
      <c r="A1745" t="s">
        <v>150</v>
      </c>
      <c r="B1745">
        <v>2022</v>
      </c>
      <c r="C1745" t="str">
        <f t="shared" si="27"/>
        <v>STK2022</v>
      </c>
      <c r="D1745">
        <v>5.3650793955746083E-14</v>
      </c>
      <c r="E1745">
        <v>0.15720974702509419</v>
      </c>
      <c r="F1745">
        <v>1.3336511822400769</v>
      </c>
      <c r="G1745">
        <v>28.384808421176292</v>
      </c>
      <c r="H1745">
        <v>1.3854154958701519</v>
      </c>
      <c r="I1745">
        <v>0.27479239183658288</v>
      </c>
      <c r="J1745">
        <v>7.8073258123253053E-2</v>
      </c>
      <c r="K1745">
        <v>0.10774412779522891</v>
      </c>
      <c r="L1745">
        <v>0.36305762854277768</v>
      </c>
      <c r="M1745">
        <v>17</v>
      </c>
      <c r="N1745">
        <v>1</v>
      </c>
      <c r="O1745">
        <v>0</v>
      </c>
      <c r="P1745">
        <v>0.61449999999999994</v>
      </c>
      <c r="Q1745">
        <v>0.36570000000000003</v>
      </c>
      <c r="R1745">
        <v>0</v>
      </c>
      <c r="S1745">
        <v>0</v>
      </c>
      <c r="T1745">
        <v>0.2011</v>
      </c>
      <c r="U1745">
        <v>7</v>
      </c>
      <c r="V1745">
        <v>0</v>
      </c>
      <c r="W1745">
        <v>0.2857142857142857</v>
      </c>
      <c r="X1745">
        <v>1</v>
      </c>
      <c r="Y1745">
        <v>0.50419999999999998</v>
      </c>
      <c r="Z1745">
        <v>1</v>
      </c>
    </row>
    <row r="1746" spans="1:26" x14ac:dyDescent="0.2">
      <c r="A1746" t="s">
        <v>150</v>
      </c>
      <c r="B1746">
        <v>2023</v>
      </c>
      <c r="C1746" t="str">
        <f t="shared" si="27"/>
        <v>STK2023</v>
      </c>
      <c r="D1746">
        <v>219805272685.48541</v>
      </c>
      <c r="E1746">
        <v>4.4905895878698483E-2</v>
      </c>
      <c r="F1746">
        <v>1.1636215323954471</v>
      </c>
      <c r="G1746">
        <v>28.72088160040607</v>
      </c>
      <c r="H1746">
        <v>2.0558658546842699</v>
      </c>
      <c r="I1746">
        <v>0.34254284575401123</v>
      </c>
      <c r="J1746">
        <v>0.39944143110993591</v>
      </c>
      <c r="K1746">
        <v>-9.2106889811101474E-4</v>
      </c>
      <c r="L1746">
        <v>0.47933381485155879</v>
      </c>
      <c r="M1746">
        <v>18</v>
      </c>
      <c r="N1746">
        <v>0</v>
      </c>
      <c r="O1746">
        <v>0</v>
      </c>
      <c r="P1746">
        <v>0.61449999999999994</v>
      </c>
      <c r="Q1746">
        <v>0.36570000000000003</v>
      </c>
      <c r="R1746">
        <v>0</v>
      </c>
      <c r="S1746">
        <v>0</v>
      </c>
      <c r="T1746">
        <v>0.2011</v>
      </c>
      <c r="U1746">
        <v>7</v>
      </c>
      <c r="V1746">
        <v>0</v>
      </c>
      <c r="W1746">
        <v>0.2857142857142857</v>
      </c>
      <c r="X1746">
        <v>1</v>
      </c>
      <c r="Y1746">
        <v>0.50419999999999998</v>
      </c>
      <c r="Z1746">
        <v>1</v>
      </c>
    </row>
    <row r="1747" spans="1:26" x14ac:dyDescent="0.2">
      <c r="A1747" t="s">
        <v>151</v>
      </c>
      <c r="B1747">
        <v>2012</v>
      </c>
      <c r="C1747" t="str">
        <f t="shared" si="27"/>
        <v>STP2012</v>
      </c>
      <c r="D1747">
        <v>2.8754155863630332E-13</v>
      </c>
      <c r="E1747">
        <v>6.220221428345922E-2</v>
      </c>
      <c r="F1747">
        <v>0.43194995148533138</v>
      </c>
      <c r="G1747">
        <v>25.935642520727129</v>
      </c>
      <c r="H1747">
        <v>4.6719321788906143</v>
      </c>
      <c r="I1747">
        <v>0.1026775267357608</v>
      </c>
      <c r="J1747">
        <v>7.757804624315412E-3</v>
      </c>
      <c r="K1747">
        <v>8.2852818403872736E-2</v>
      </c>
      <c r="L1747">
        <v>0.1789934403867576</v>
      </c>
      <c r="M1747">
        <v>9</v>
      </c>
      <c r="N1747">
        <v>0</v>
      </c>
      <c r="O1747">
        <v>0</v>
      </c>
      <c r="P1747">
        <v>5.3199999999999997E-2</v>
      </c>
      <c r="Q1747">
        <v>2.4299999999999999E-2</v>
      </c>
      <c r="R1747">
        <v>0</v>
      </c>
      <c r="S1747">
        <v>0</v>
      </c>
      <c r="T1747">
        <v>0</v>
      </c>
      <c r="U1747">
        <v>5</v>
      </c>
      <c r="V1747">
        <v>0</v>
      </c>
      <c r="W1747">
        <v>0</v>
      </c>
      <c r="X1747">
        <v>0</v>
      </c>
      <c r="Y1747">
        <v>0.50700000000000001</v>
      </c>
      <c r="Z1747">
        <v>0.8</v>
      </c>
    </row>
    <row r="1748" spans="1:26" x14ac:dyDescent="0.2">
      <c r="A1748" t="s">
        <v>151</v>
      </c>
      <c r="B1748">
        <v>2013</v>
      </c>
      <c r="C1748" t="str">
        <f t="shared" si="27"/>
        <v>STP2013</v>
      </c>
      <c r="D1748">
        <v>1.5346311643410059E-13</v>
      </c>
      <c r="E1748">
        <v>3.7113327941557132E-2</v>
      </c>
      <c r="F1748">
        <v>0.45041426581485738</v>
      </c>
      <c r="G1748">
        <v>25.972991450550211</v>
      </c>
      <c r="H1748">
        <v>5.3112752113497512</v>
      </c>
      <c r="I1748">
        <v>0.16960989608147559</v>
      </c>
      <c r="J1748">
        <v>3.805516605828263E-2</v>
      </c>
      <c r="K1748">
        <v>-0.14400040362936739</v>
      </c>
      <c r="L1748">
        <v>0.1726641681412413</v>
      </c>
      <c r="M1748">
        <v>10</v>
      </c>
      <c r="N1748">
        <v>0</v>
      </c>
      <c r="O1748">
        <v>0</v>
      </c>
      <c r="P1748">
        <v>5.3199999999999997E-2</v>
      </c>
      <c r="Q1748">
        <v>1.4200000000000001E-2</v>
      </c>
      <c r="R1748">
        <v>0</v>
      </c>
      <c r="S1748">
        <v>0</v>
      </c>
      <c r="T1748">
        <v>0</v>
      </c>
      <c r="U1748">
        <v>5</v>
      </c>
      <c r="V1748">
        <v>0</v>
      </c>
      <c r="W1748">
        <v>0</v>
      </c>
      <c r="X1748">
        <v>0</v>
      </c>
      <c r="Y1748">
        <v>0.47499999999999998</v>
      </c>
      <c r="Z1748">
        <v>0.8</v>
      </c>
    </row>
    <row r="1749" spans="1:26" x14ac:dyDescent="0.2">
      <c r="A1749" t="s">
        <v>151</v>
      </c>
      <c r="B1749">
        <v>2014</v>
      </c>
      <c r="C1749" t="str">
        <f t="shared" si="27"/>
        <v>STP2014</v>
      </c>
      <c r="D1749">
        <v>-2.3627400981590959E-13</v>
      </c>
      <c r="E1749">
        <v>-5.2108909387899638E-2</v>
      </c>
      <c r="F1749">
        <v>0.50693255218723654</v>
      </c>
      <c r="G1749">
        <v>25.877254742769018</v>
      </c>
      <c r="H1749">
        <v>4.0010691746514331</v>
      </c>
      <c r="I1749">
        <v>0.17403326469406291</v>
      </c>
      <c r="J1749">
        <v>-9.1296760933397891E-2</v>
      </c>
      <c r="K1749">
        <v>0.19045164196372719</v>
      </c>
      <c r="L1749">
        <v>0.1876489474236695</v>
      </c>
      <c r="M1749">
        <v>11</v>
      </c>
      <c r="N1749">
        <v>0</v>
      </c>
      <c r="O1749">
        <v>0</v>
      </c>
      <c r="P1749">
        <v>5.3199999999999997E-2</v>
      </c>
      <c r="Q1749">
        <v>6.0100000000000001E-2</v>
      </c>
      <c r="R1749">
        <v>0</v>
      </c>
      <c r="S1749">
        <v>0</v>
      </c>
      <c r="T1749">
        <v>0</v>
      </c>
      <c r="U1749">
        <v>5</v>
      </c>
      <c r="V1749">
        <v>0</v>
      </c>
      <c r="W1749">
        <v>0</v>
      </c>
      <c r="X1749">
        <v>0</v>
      </c>
      <c r="Y1749">
        <v>0.46129999999999999</v>
      </c>
      <c r="Z1749">
        <v>0.8</v>
      </c>
    </row>
    <row r="1750" spans="1:26" x14ac:dyDescent="0.2">
      <c r="A1750" t="s">
        <v>151</v>
      </c>
      <c r="B1750">
        <v>2015</v>
      </c>
      <c r="C1750" t="str">
        <f t="shared" si="27"/>
        <v>STP2015</v>
      </c>
      <c r="D1750">
        <v>1.733599884689766E-13</v>
      </c>
      <c r="E1750">
        <v>3.4075379732420551E-2</v>
      </c>
      <c r="F1750">
        <v>0.42253482638279749</v>
      </c>
      <c r="G1750">
        <v>25.862474695943959</v>
      </c>
      <c r="H1750">
        <v>4.0566876690309046</v>
      </c>
      <c r="I1750">
        <v>0.13216289658464089</v>
      </c>
      <c r="J1750">
        <v>-1.467135806684527E-2</v>
      </c>
      <c r="K1750">
        <v>-4.4385475565415618E-2</v>
      </c>
      <c r="L1750">
        <v>0.21721613600833509</v>
      </c>
      <c r="M1750">
        <v>12</v>
      </c>
      <c r="N1750">
        <v>0</v>
      </c>
      <c r="O1750">
        <v>0</v>
      </c>
      <c r="P1750">
        <v>7.3499999999999996E-2</v>
      </c>
      <c r="Q1750">
        <v>0.15659999999999999</v>
      </c>
      <c r="R1750">
        <v>0</v>
      </c>
      <c r="S1750">
        <v>0</v>
      </c>
      <c r="T1750">
        <v>0</v>
      </c>
      <c r="U1750">
        <v>5</v>
      </c>
      <c r="V1750">
        <v>0</v>
      </c>
      <c r="W1750">
        <v>0</v>
      </c>
      <c r="X1750">
        <v>0</v>
      </c>
      <c r="Y1750">
        <v>0.41</v>
      </c>
      <c r="Z1750">
        <v>0.8</v>
      </c>
    </row>
    <row r="1751" spans="1:26" x14ac:dyDescent="0.2">
      <c r="A1751" t="s">
        <v>151</v>
      </c>
      <c r="B1751">
        <v>2016</v>
      </c>
      <c r="C1751" t="str">
        <f t="shared" si="27"/>
        <v>STP2016</v>
      </c>
      <c r="D1751">
        <v>1.055301895772465E-13</v>
      </c>
      <c r="E1751">
        <v>2.3474117966880929E-2</v>
      </c>
      <c r="F1751">
        <v>0.44968288031067449</v>
      </c>
      <c r="G1751">
        <v>25.93619998358108</v>
      </c>
      <c r="H1751">
        <v>5.0919328472930054</v>
      </c>
      <c r="I1751">
        <v>0.17446408890142789</v>
      </c>
      <c r="J1751">
        <v>7.6511033982232579E-2</v>
      </c>
      <c r="K1751">
        <v>4.553776804456424E-2</v>
      </c>
      <c r="L1751">
        <v>0.16827124535258489</v>
      </c>
      <c r="M1751">
        <v>13</v>
      </c>
      <c r="N1751">
        <v>0</v>
      </c>
      <c r="O1751">
        <v>0</v>
      </c>
      <c r="P1751">
        <v>6.4199999999999993E-2</v>
      </c>
      <c r="Q1751">
        <v>0.1195</v>
      </c>
      <c r="R1751">
        <v>0</v>
      </c>
      <c r="S1751">
        <v>0</v>
      </c>
      <c r="T1751">
        <v>0</v>
      </c>
      <c r="U1751">
        <v>5</v>
      </c>
      <c r="V1751">
        <v>0</v>
      </c>
      <c r="W1751">
        <v>0</v>
      </c>
      <c r="X1751">
        <v>0</v>
      </c>
      <c r="Y1751">
        <v>0.4178</v>
      </c>
      <c r="Z1751">
        <v>0.8</v>
      </c>
    </row>
    <row r="1752" spans="1:26" x14ac:dyDescent="0.2">
      <c r="A1752" t="s">
        <v>151</v>
      </c>
      <c r="B1752">
        <v>2017</v>
      </c>
      <c r="C1752" t="str">
        <f t="shared" si="27"/>
        <v>STP2017</v>
      </c>
      <c r="D1752">
        <v>7.0528029160606374E-14</v>
      </c>
      <c r="E1752">
        <v>1.5423012993024751E-2</v>
      </c>
      <c r="F1752">
        <v>0.4345679673514582</v>
      </c>
      <c r="G1752">
        <v>25.921054167115301</v>
      </c>
      <c r="H1752">
        <v>4.3666147325934714</v>
      </c>
      <c r="I1752">
        <v>0.1728899202057623</v>
      </c>
      <c r="J1752">
        <v>-0.1152319799794924</v>
      </c>
      <c r="K1752">
        <v>6.624481214632684E-2</v>
      </c>
      <c r="L1752">
        <v>8.3508936008309081E-2</v>
      </c>
      <c r="M1752">
        <v>14</v>
      </c>
      <c r="N1752">
        <v>0</v>
      </c>
      <c r="O1752">
        <v>0</v>
      </c>
      <c r="P1752">
        <v>0.20150000000000001</v>
      </c>
      <c r="Q1752">
        <v>0.12540000000000001</v>
      </c>
      <c r="R1752">
        <v>0</v>
      </c>
      <c r="S1752">
        <v>0</v>
      </c>
      <c r="T1752">
        <v>0</v>
      </c>
      <c r="U1752">
        <v>5</v>
      </c>
      <c r="V1752">
        <v>0</v>
      </c>
      <c r="W1752">
        <v>0</v>
      </c>
      <c r="X1752">
        <v>0</v>
      </c>
      <c r="Y1752">
        <v>0.42780000000000001</v>
      </c>
      <c r="Z1752">
        <v>0.8</v>
      </c>
    </row>
    <row r="1753" spans="1:26" x14ac:dyDescent="0.2">
      <c r="A1753" t="s">
        <v>151</v>
      </c>
      <c r="B1753">
        <v>2018</v>
      </c>
      <c r="C1753" t="str">
        <f t="shared" si="27"/>
        <v>STP2018</v>
      </c>
      <c r="D1753">
        <v>1.739135302281187E-13</v>
      </c>
      <c r="E1753">
        <v>3.7381036726001723E-2</v>
      </c>
      <c r="F1753">
        <v>0.50648129934006647</v>
      </c>
      <c r="G1753">
        <v>25.884189853795871</v>
      </c>
      <c r="H1753">
        <v>7.4774575186816694</v>
      </c>
      <c r="I1753">
        <v>0.18895892238240339</v>
      </c>
      <c r="J1753">
        <v>7.2958367518835221E-2</v>
      </c>
      <c r="K1753">
        <v>-0.1004628095947482</v>
      </c>
      <c r="L1753">
        <v>5.1326787024077662E-2</v>
      </c>
      <c r="M1753">
        <v>15</v>
      </c>
      <c r="N1753">
        <v>0</v>
      </c>
      <c r="O1753">
        <v>0</v>
      </c>
      <c r="P1753">
        <v>0.2016</v>
      </c>
      <c r="Q1753">
        <v>0.1474</v>
      </c>
      <c r="R1753">
        <v>0</v>
      </c>
      <c r="S1753">
        <v>0</v>
      </c>
      <c r="T1753">
        <v>0</v>
      </c>
      <c r="U1753">
        <v>5</v>
      </c>
      <c r="V1753">
        <v>0</v>
      </c>
      <c r="W1753">
        <v>0.2</v>
      </c>
      <c r="X1753">
        <v>0</v>
      </c>
      <c r="Y1753">
        <v>0.38</v>
      </c>
      <c r="Z1753">
        <v>1</v>
      </c>
    </row>
    <row r="1754" spans="1:26" x14ac:dyDescent="0.2">
      <c r="A1754" t="s">
        <v>151</v>
      </c>
      <c r="B1754">
        <v>2019</v>
      </c>
      <c r="C1754" t="str">
        <f t="shared" si="27"/>
        <v>STP2019</v>
      </c>
      <c r="D1754">
        <v>2.2030669836246689E-13</v>
      </c>
      <c r="E1754">
        <v>4.7642626145920131E-2</v>
      </c>
      <c r="F1754">
        <v>0.43792091334686079</v>
      </c>
      <c r="G1754">
        <v>25.888421395159519</v>
      </c>
      <c r="H1754">
        <v>4.7392619070443347</v>
      </c>
      <c r="I1754">
        <v>0.1904744385782059</v>
      </c>
      <c r="J1754">
        <v>4.2405069764710479E-3</v>
      </c>
      <c r="K1754">
        <v>2.8171853172817399E-2</v>
      </c>
      <c r="L1754">
        <v>4.9091736643620272E-2</v>
      </c>
      <c r="M1754">
        <v>16</v>
      </c>
      <c r="N1754">
        <v>0</v>
      </c>
      <c r="O1754">
        <v>1</v>
      </c>
      <c r="P1754">
        <v>7.3599999999999999E-2</v>
      </c>
      <c r="Q1754">
        <v>0.1474</v>
      </c>
      <c r="R1754">
        <v>0</v>
      </c>
      <c r="S1754">
        <v>0</v>
      </c>
      <c r="T1754">
        <v>0</v>
      </c>
      <c r="U1754">
        <v>5</v>
      </c>
      <c r="V1754">
        <v>0</v>
      </c>
      <c r="W1754">
        <v>0.2</v>
      </c>
      <c r="X1754">
        <v>0</v>
      </c>
      <c r="Y1754">
        <v>0.39</v>
      </c>
      <c r="Z1754">
        <v>1</v>
      </c>
    </row>
    <row r="1755" spans="1:26" x14ac:dyDescent="0.2">
      <c r="A1755" t="s">
        <v>151</v>
      </c>
      <c r="B1755">
        <v>2020</v>
      </c>
      <c r="C1755" t="str">
        <f t="shared" si="27"/>
        <v>STP2020</v>
      </c>
      <c r="D1755">
        <v>2.4169460211527948E-13</v>
      </c>
      <c r="E1755">
        <v>5.107890083854278E-2</v>
      </c>
      <c r="F1755">
        <v>0.52982750228299447</v>
      </c>
      <c r="G1755">
        <v>25.879960082341579</v>
      </c>
      <c r="H1755">
        <v>4.6005559040254322</v>
      </c>
      <c r="I1755">
        <v>0.1786102790694217</v>
      </c>
      <c r="J1755">
        <v>-8.4256166603715599E-3</v>
      </c>
      <c r="K1755">
        <v>0.1482096920399727</v>
      </c>
      <c r="L1755">
        <v>5.5902210751316947E-2</v>
      </c>
      <c r="M1755">
        <v>17</v>
      </c>
      <c r="N1755">
        <v>0</v>
      </c>
      <c r="O1755">
        <v>1</v>
      </c>
      <c r="P1755">
        <v>7.3599999999999999E-2</v>
      </c>
      <c r="Q1755">
        <v>0.1474</v>
      </c>
      <c r="R1755">
        <v>0</v>
      </c>
      <c r="S1755">
        <v>0</v>
      </c>
      <c r="T1755">
        <v>0</v>
      </c>
      <c r="U1755">
        <v>5</v>
      </c>
      <c r="V1755">
        <v>0</v>
      </c>
      <c r="W1755">
        <v>0.2</v>
      </c>
      <c r="X1755">
        <v>0</v>
      </c>
      <c r="Y1755">
        <v>0.4</v>
      </c>
      <c r="Z1755">
        <v>1</v>
      </c>
    </row>
    <row r="1756" spans="1:26" x14ac:dyDescent="0.2">
      <c r="A1756" t="s">
        <v>151</v>
      </c>
      <c r="B1756">
        <v>2021</v>
      </c>
      <c r="C1756" t="str">
        <f t="shared" si="27"/>
        <v>STP2021</v>
      </c>
      <c r="D1756">
        <v>2.1408359909272059E-13</v>
      </c>
      <c r="E1756">
        <v>4.6591981913767407E-2</v>
      </c>
      <c r="F1756">
        <v>0.6726825094573391</v>
      </c>
      <c r="G1756">
        <v>25.891582847735151</v>
      </c>
      <c r="H1756">
        <v>4.6185159297153504</v>
      </c>
      <c r="I1756">
        <v>0.19305530437157109</v>
      </c>
      <c r="J1756">
        <v>1.1690572177399879E-2</v>
      </c>
      <c r="K1756">
        <v>-1.7848544376647211E-2</v>
      </c>
      <c r="L1756">
        <v>3.6066417842087133E-2</v>
      </c>
      <c r="M1756">
        <v>18</v>
      </c>
      <c r="N1756">
        <v>0</v>
      </c>
      <c r="O1756">
        <v>0</v>
      </c>
      <c r="P1756">
        <v>7.3599999999999999E-2</v>
      </c>
      <c r="Q1756">
        <v>0.1474</v>
      </c>
      <c r="R1756">
        <v>0</v>
      </c>
      <c r="S1756">
        <v>0</v>
      </c>
      <c r="T1756">
        <v>0</v>
      </c>
      <c r="U1756">
        <v>5</v>
      </c>
      <c r="V1756">
        <v>0</v>
      </c>
      <c r="W1756">
        <v>0.2</v>
      </c>
      <c r="X1756">
        <v>0</v>
      </c>
      <c r="Y1756">
        <v>0.41</v>
      </c>
      <c r="Z1756">
        <v>1</v>
      </c>
    </row>
    <row r="1757" spans="1:26" x14ac:dyDescent="0.2">
      <c r="A1757" t="s">
        <v>151</v>
      </c>
      <c r="B1757">
        <v>2022</v>
      </c>
      <c r="C1757" t="str">
        <f t="shared" si="27"/>
        <v>STP2022</v>
      </c>
      <c r="D1757">
        <v>1.2786425520666209E-13</v>
      </c>
      <c r="E1757">
        <v>3.2188812586009093E-2</v>
      </c>
      <c r="F1757">
        <v>0.55841384362259161</v>
      </c>
      <c r="G1757">
        <v>25.957564370261061</v>
      </c>
      <c r="H1757">
        <v>4.5000456505750606</v>
      </c>
      <c r="I1757">
        <v>0.25480288197298401</v>
      </c>
      <c r="J1757">
        <v>6.820697921685781E-2</v>
      </c>
      <c r="K1757">
        <v>0.14824958583668091</v>
      </c>
      <c r="L1757">
        <v>4.8190372471014931E-2</v>
      </c>
      <c r="M1757">
        <v>19</v>
      </c>
      <c r="N1757">
        <v>0</v>
      </c>
      <c r="O1757">
        <v>0</v>
      </c>
      <c r="P1757">
        <v>0.15160000000000001</v>
      </c>
      <c r="Q1757">
        <v>0.1474</v>
      </c>
      <c r="R1757">
        <v>0</v>
      </c>
      <c r="S1757">
        <v>0</v>
      </c>
      <c r="T1757">
        <v>0</v>
      </c>
      <c r="U1757">
        <v>5</v>
      </c>
      <c r="V1757">
        <v>0</v>
      </c>
      <c r="W1757">
        <v>0.2</v>
      </c>
      <c r="X1757">
        <v>0</v>
      </c>
      <c r="Y1757">
        <v>0.42</v>
      </c>
      <c r="Z1757">
        <v>1</v>
      </c>
    </row>
    <row r="1758" spans="1:26" x14ac:dyDescent="0.2">
      <c r="A1758" t="s">
        <v>151</v>
      </c>
      <c r="B1758">
        <v>2023</v>
      </c>
      <c r="C1758" t="str">
        <f t="shared" si="27"/>
        <v>STP2023</v>
      </c>
      <c r="D1758">
        <v>-864396433468.74329</v>
      </c>
      <c r="E1758">
        <v>5.5972572187268838E-2</v>
      </c>
      <c r="F1758">
        <v>0.30243446686042902</v>
      </c>
      <c r="G1758">
        <v>25.922695258235791</v>
      </c>
      <c r="H1758">
        <v>3.361665652438889</v>
      </c>
      <c r="I1758">
        <v>3.8833598590742699E-3</v>
      </c>
      <c r="J1758">
        <v>-3.4268189333537369E-2</v>
      </c>
      <c r="K1758">
        <v>3.4623758424253491E-2</v>
      </c>
      <c r="L1758">
        <v>6.2707216692418813E-2</v>
      </c>
      <c r="M1758">
        <v>20</v>
      </c>
      <c r="N1758">
        <v>0</v>
      </c>
      <c r="O1758">
        <v>0</v>
      </c>
      <c r="P1758">
        <v>0.15160000000000001</v>
      </c>
      <c r="Q1758">
        <v>0.1474</v>
      </c>
      <c r="R1758">
        <v>0</v>
      </c>
      <c r="S1758">
        <v>0</v>
      </c>
      <c r="T1758">
        <v>0</v>
      </c>
      <c r="U1758">
        <v>5</v>
      </c>
      <c r="V1758">
        <v>0</v>
      </c>
      <c r="W1758">
        <v>0.2</v>
      </c>
      <c r="X1758">
        <v>0</v>
      </c>
      <c r="Y1758">
        <v>0.42</v>
      </c>
      <c r="Z1758">
        <v>1</v>
      </c>
    </row>
    <row r="1759" spans="1:26" x14ac:dyDescent="0.2">
      <c r="A1759" t="s">
        <v>152</v>
      </c>
      <c r="B1759">
        <v>2012</v>
      </c>
      <c r="C1759" t="str">
        <f t="shared" si="27"/>
        <v>SVI2012</v>
      </c>
      <c r="D1759">
        <v>1.9858165619088531E-13</v>
      </c>
      <c r="E1759">
        <v>0.31331384760875508</v>
      </c>
      <c r="F1759">
        <v>1.0545521866208729</v>
      </c>
      <c r="G1759">
        <v>27.032570279368819</v>
      </c>
      <c r="H1759">
        <v>1.31317481123066</v>
      </c>
      <c r="I1759">
        <v>0.65161805257337369</v>
      </c>
      <c r="J1759">
        <v>0.26360740879709849</v>
      </c>
      <c r="K1759">
        <v>8.782157126831916E-2</v>
      </c>
      <c r="L1759">
        <v>0.3977199540865588</v>
      </c>
      <c r="M1759">
        <v>9</v>
      </c>
      <c r="N1759">
        <v>0</v>
      </c>
      <c r="O1759">
        <v>0</v>
      </c>
      <c r="P1759">
        <v>0.53569999999999995</v>
      </c>
      <c r="Q1759">
        <v>4.3099999999999999E-2</v>
      </c>
      <c r="R1759">
        <v>0</v>
      </c>
      <c r="S1759">
        <v>0.53569999999999995</v>
      </c>
      <c r="T1759">
        <v>0.53569999999999995</v>
      </c>
      <c r="U1759">
        <v>7</v>
      </c>
      <c r="V1759">
        <v>1</v>
      </c>
      <c r="W1759">
        <v>0.14285714285714279</v>
      </c>
      <c r="X1759">
        <v>1</v>
      </c>
      <c r="Y1759">
        <v>0.52</v>
      </c>
      <c r="Z1759">
        <v>1</v>
      </c>
    </row>
    <row r="1760" spans="1:26" x14ac:dyDescent="0.2">
      <c r="A1760" t="s">
        <v>152</v>
      </c>
      <c r="B1760">
        <v>2013</v>
      </c>
      <c r="C1760" t="str">
        <f t="shared" si="27"/>
        <v>SVI2013</v>
      </c>
      <c r="D1760">
        <v>1.8044494801299251E-13</v>
      </c>
      <c r="E1760">
        <v>0.28183315806016618</v>
      </c>
      <c r="F1760">
        <v>1.2379007515222811</v>
      </c>
      <c r="G1760">
        <v>27.138153745394451</v>
      </c>
      <c r="H1760">
        <v>1.0353147467986721</v>
      </c>
      <c r="I1760">
        <v>0.60888627097035719</v>
      </c>
      <c r="J1760">
        <v>0.21781138350089441</v>
      </c>
      <c r="K1760">
        <v>3.095019470121067E-2</v>
      </c>
      <c r="L1760">
        <v>0.25837652008677148</v>
      </c>
      <c r="M1760">
        <v>10</v>
      </c>
      <c r="N1760">
        <v>0</v>
      </c>
      <c r="O1760">
        <v>0</v>
      </c>
      <c r="P1760">
        <v>0.53590000000000004</v>
      </c>
      <c r="Q1760">
        <v>4.2599999999999999E-2</v>
      </c>
      <c r="R1760">
        <v>0</v>
      </c>
      <c r="S1760">
        <v>0.53590000000000004</v>
      </c>
      <c r="T1760">
        <v>0.53590000000000004</v>
      </c>
      <c r="U1760">
        <v>7</v>
      </c>
      <c r="V1760">
        <v>1</v>
      </c>
      <c r="W1760">
        <v>0.14285714285714279</v>
      </c>
      <c r="X1760">
        <v>1</v>
      </c>
      <c r="Y1760">
        <v>0.50560000000000005</v>
      </c>
      <c r="Z1760">
        <v>1</v>
      </c>
    </row>
    <row r="1761" spans="1:26" x14ac:dyDescent="0.2">
      <c r="A1761" t="s">
        <v>152</v>
      </c>
      <c r="B1761">
        <v>2014</v>
      </c>
      <c r="C1761" t="str">
        <f t="shared" si="27"/>
        <v>SVI2014</v>
      </c>
      <c r="D1761">
        <v>1.435442320647872E-13</v>
      </c>
      <c r="E1761">
        <v>0.23693324960771711</v>
      </c>
      <c r="F1761">
        <v>1.2083516480655481</v>
      </c>
      <c r="G1761">
        <v>27.22962557911222</v>
      </c>
      <c r="H1761">
        <v>1.36385225395107</v>
      </c>
      <c r="I1761">
        <v>0.59445797202127781</v>
      </c>
      <c r="J1761">
        <v>0</v>
      </c>
      <c r="K1761">
        <v>3.095891813972142E-2</v>
      </c>
      <c r="L1761">
        <v>0.22925364671259091</v>
      </c>
      <c r="M1761">
        <v>11</v>
      </c>
      <c r="N1761">
        <v>0</v>
      </c>
      <c r="O1761">
        <v>0</v>
      </c>
      <c r="P1761">
        <v>0.53600000000000003</v>
      </c>
      <c r="Q1761">
        <v>4.2599999999999999E-2</v>
      </c>
      <c r="R1761">
        <v>0</v>
      </c>
      <c r="S1761">
        <v>0.53600000000000003</v>
      </c>
      <c r="T1761">
        <v>0.53600000000000003</v>
      </c>
      <c r="U1761">
        <v>7</v>
      </c>
      <c r="V1761">
        <v>1</v>
      </c>
      <c r="W1761">
        <v>0.14285714285714279</v>
      </c>
      <c r="X1761">
        <v>1</v>
      </c>
      <c r="Y1761">
        <v>0.51560000000000006</v>
      </c>
      <c r="Z1761">
        <v>1</v>
      </c>
    </row>
    <row r="1762" spans="1:26" x14ac:dyDescent="0.2">
      <c r="A1762" t="s">
        <v>152</v>
      </c>
      <c r="B1762">
        <v>2015</v>
      </c>
      <c r="C1762" t="str">
        <f t="shared" si="27"/>
        <v>SVI2015</v>
      </c>
      <c r="D1762">
        <v>1.2040598067352001E-13</v>
      </c>
      <c r="E1762">
        <v>0.23548378599932249</v>
      </c>
      <c r="F1762">
        <v>1.182547447045454</v>
      </c>
      <c r="G1762">
        <v>27.354997739222831</v>
      </c>
      <c r="H1762">
        <v>1.3991244961762841</v>
      </c>
      <c r="I1762">
        <v>0.61201796171993728</v>
      </c>
      <c r="J1762">
        <v>0.1335702442025084</v>
      </c>
      <c r="K1762">
        <v>0.1352164300731872</v>
      </c>
      <c r="L1762">
        <v>0.22644447981747409</v>
      </c>
      <c r="M1762">
        <v>12</v>
      </c>
      <c r="N1762">
        <v>0</v>
      </c>
      <c r="O1762">
        <v>0</v>
      </c>
      <c r="P1762">
        <v>0.53620000000000001</v>
      </c>
      <c r="Q1762">
        <v>4.2799999999999998E-2</v>
      </c>
      <c r="R1762">
        <v>0</v>
      </c>
      <c r="S1762">
        <v>0.53620000000000001</v>
      </c>
      <c r="T1762">
        <v>0.53620000000000001</v>
      </c>
      <c r="U1762">
        <v>7</v>
      </c>
      <c r="V1762">
        <v>1</v>
      </c>
      <c r="W1762">
        <v>0.14285714285714279</v>
      </c>
      <c r="X1762">
        <v>1</v>
      </c>
      <c r="Y1762">
        <v>0.51200000000000001</v>
      </c>
      <c r="Z1762">
        <v>1</v>
      </c>
    </row>
    <row r="1763" spans="1:26" x14ac:dyDescent="0.2">
      <c r="A1763" t="s">
        <v>152</v>
      </c>
      <c r="B1763">
        <v>2016</v>
      </c>
      <c r="C1763" t="str">
        <f t="shared" si="27"/>
        <v>SVI2016</v>
      </c>
      <c r="D1763">
        <v>1.327286143477865E-13</v>
      </c>
      <c r="E1763">
        <v>0.2260304738985052</v>
      </c>
      <c r="F1763">
        <v>1.319570336759196</v>
      </c>
      <c r="G1763">
        <v>27.343311922697001</v>
      </c>
      <c r="H1763">
        <v>1.360227360243234</v>
      </c>
      <c r="I1763">
        <v>0.55960026405771657</v>
      </c>
      <c r="J1763">
        <v>-1.1617802562588261E-2</v>
      </c>
      <c r="K1763">
        <v>8.6388688302152225E-2</v>
      </c>
      <c r="L1763">
        <v>0.2228851883234694</v>
      </c>
      <c r="M1763">
        <v>13</v>
      </c>
      <c r="N1763">
        <v>0</v>
      </c>
      <c r="O1763">
        <v>0</v>
      </c>
      <c r="P1763">
        <v>0.53620000000000001</v>
      </c>
      <c r="Q1763">
        <v>3.6299999999999999E-2</v>
      </c>
      <c r="R1763">
        <v>0</v>
      </c>
      <c r="S1763">
        <v>0.53620000000000001</v>
      </c>
      <c r="T1763">
        <v>0.53620000000000001</v>
      </c>
      <c r="U1763">
        <v>7</v>
      </c>
      <c r="V1763">
        <v>0</v>
      </c>
      <c r="W1763">
        <v>0.14285714285714279</v>
      </c>
      <c r="X1763">
        <v>0</v>
      </c>
      <c r="Y1763">
        <v>0.49130000000000001</v>
      </c>
      <c r="Z1763">
        <v>1</v>
      </c>
    </row>
    <row r="1764" spans="1:26" x14ac:dyDescent="0.2">
      <c r="A1764" t="s">
        <v>152</v>
      </c>
      <c r="B1764">
        <v>2017</v>
      </c>
      <c r="C1764" t="str">
        <f t="shared" si="27"/>
        <v>SVI2017</v>
      </c>
      <c r="D1764">
        <v>7.5475264265748399E-14</v>
      </c>
      <c r="E1764">
        <v>0.1873909776132032</v>
      </c>
      <c r="F1764">
        <v>1.248518173157136</v>
      </c>
      <c r="G1764">
        <v>27.565908914091668</v>
      </c>
      <c r="H1764">
        <v>1.4212343571202219</v>
      </c>
      <c r="I1764">
        <v>0.62262068186135966</v>
      </c>
      <c r="J1764">
        <v>0.2493169867713998</v>
      </c>
      <c r="K1764">
        <v>7.6115370555722608E-2</v>
      </c>
      <c r="L1764">
        <v>0.21807046262422281</v>
      </c>
      <c r="M1764">
        <v>14</v>
      </c>
      <c r="N1764">
        <v>0</v>
      </c>
      <c r="O1764">
        <v>0</v>
      </c>
      <c r="P1764">
        <v>0.53620000000000001</v>
      </c>
      <c r="Q1764">
        <v>3.6200000000000003E-2</v>
      </c>
      <c r="R1764">
        <v>0</v>
      </c>
      <c r="S1764">
        <v>0.53620000000000001</v>
      </c>
      <c r="T1764">
        <v>0.53620000000000001</v>
      </c>
      <c r="U1764">
        <v>7</v>
      </c>
      <c r="V1764">
        <v>0</v>
      </c>
      <c r="W1764">
        <v>0.14285714285714279</v>
      </c>
      <c r="X1764">
        <v>0</v>
      </c>
      <c r="Y1764">
        <v>0.50130000000000008</v>
      </c>
      <c r="Z1764">
        <v>1</v>
      </c>
    </row>
    <row r="1765" spans="1:26" x14ac:dyDescent="0.2">
      <c r="A1765" t="s">
        <v>152</v>
      </c>
      <c r="B1765">
        <v>2018</v>
      </c>
      <c r="C1765" t="str">
        <f t="shared" si="27"/>
        <v>SVI2018</v>
      </c>
      <c r="D1765">
        <v>7.1856549960506138E-14</v>
      </c>
      <c r="E1765">
        <v>0.1801735749518879</v>
      </c>
      <c r="F1765">
        <v>1.3271248804267139</v>
      </c>
      <c r="G1765">
        <v>27.550814128684859</v>
      </c>
      <c r="H1765">
        <v>1.2920696253363699</v>
      </c>
      <c r="I1765">
        <v>0.63192034440486855</v>
      </c>
      <c r="J1765">
        <v>-1.498143020776377E-2</v>
      </c>
      <c r="K1765">
        <v>6.6762494615997967E-2</v>
      </c>
      <c r="L1765">
        <v>0.26437975454003321</v>
      </c>
      <c r="M1765">
        <v>15</v>
      </c>
      <c r="N1765">
        <v>1</v>
      </c>
      <c r="O1765">
        <v>0</v>
      </c>
      <c r="P1765">
        <v>0.29530000000000001</v>
      </c>
      <c r="Q1765">
        <v>2.1000000000000001E-2</v>
      </c>
      <c r="R1765">
        <v>0.1013</v>
      </c>
      <c r="S1765">
        <v>0</v>
      </c>
      <c r="T1765">
        <v>0.29530000000000001</v>
      </c>
      <c r="U1765">
        <v>7</v>
      </c>
      <c r="V1765">
        <v>0</v>
      </c>
      <c r="W1765">
        <v>0.14285714285714279</v>
      </c>
      <c r="X1765">
        <v>0</v>
      </c>
      <c r="Y1765">
        <v>0.48830000000000001</v>
      </c>
      <c r="Z1765">
        <v>1</v>
      </c>
    </row>
    <row r="1766" spans="1:26" x14ac:dyDescent="0.2">
      <c r="A1766" t="s">
        <v>152</v>
      </c>
      <c r="B1766">
        <v>2019</v>
      </c>
      <c r="C1766" t="str">
        <f t="shared" si="27"/>
        <v>SVI2019</v>
      </c>
      <c r="D1766">
        <v>1.7265132796828801E-13</v>
      </c>
      <c r="E1766">
        <v>0.30440906546730379</v>
      </c>
      <c r="F1766">
        <v>1.4233650554706161</v>
      </c>
      <c r="G1766">
        <v>27.530644220368881</v>
      </c>
      <c r="H1766">
        <v>1.1838391399787509</v>
      </c>
      <c r="I1766">
        <v>0.48699782140622411</v>
      </c>
      <c r="J1766">
        <v>-1.9967856451362009E-2</v>
      </c>
      <c r="K1766">
        <v>0.26386213231564348</v>
      </c>
      <c r="L1766">
        <v>0.20431700944748291</v>
      </c>
      <c r="M1766">
        <v>16</v>
      </c>
      <c r="N1766">
        <v>1</v>
      </c>
      <c r="O1766">
        <v>1</v>
      </c>
      <c r="P1766">
        <v>0.3049</v>
      </c>
      <c r="Q1766">
        <v>1.0200000000000001E-2</v>
      </c>
      <c r="R1766">
        <v>5.0700000000000002E-2</v>
      </c>
      <c r="S1766">
        <v>0</v>
      </c>
      <c r="T1766">
        <v>0.3049</v>
      </c>
      <c r="U1766">
        <v>7</v>
      </c>
      <c r="V1766">
        <v>0</v>
      </c>
      <c r="W1766">
        <v>0</v>
      </c>
      <c r="X1766">
        <v>0</v>
      </c>
      <c r="Y1766">
        <v>0.4375</v>
      </c>
      <c r="Z1766">
        <v>1</v>
      </c>
    </row>
    <row r="1767" spans="1:26" x14ac:dyDescent="0.2">
      <c r="A1767" t="s">
        <v>152</v>
      </c>
      <c r="B1767">
        <v>2020</v>
      </c>
      <c r="C1767" t="str">
        <f t="shared" si="27"/>
        <v>SVI2020</v>
      </c>
      <c r="D1767">
        <v>1.2334892148458391E-13</v>
      </c>
      <c r="E1767">
        <v>0.25797828286862828</v>
      </c>
      <c r="F1767">
        <v>1.5397697482750521</v>
      </c>
      <c r="G1767">
        <v>27.71632599765487</v>
      </c>
      <c r="H1767">
        <v>1.5422960773213521</v>
      </c>
      <c r="I1767">
        <v>0.47928552772978361</v>
      </c>
      <c r="J1767">
        <v>0.20403904683398519</v>
      </c>
      <c r="K1767">
        <v>0.1107001941008177</v>
      </c>
      <c r="L1767">
        <v>0.19331742697004281</v>
      </c>
      <c r="M1767">
        <v>17</v>
      </c>
      <c r="N1767">
        <v>1</v>
      </c>
      <c r="O1767">
        <v>1</v>
      </c>
      <c r="P1767">
        <v>0.94110000000000005</v>
      </c>
      <c r="Q1767">
        <v>0</v>
      </c>
      <c r="R1767">
        <v>0.94110000000000005</v>
      </c>
      <c r="S1767">
        <v>0</v>
      </c>
      <c r="T1767">
        <v>0.94110000000000005</v>
      </c>
      <c r="U1767">
        <v>9</v>
      </c>
      <c r="V1767">
        <v>0</v>
      </c>
      <c r="W1767">
        <v>0.1111111111111111</v>
      </c>
      <c r="X1767">
        <v>0</v>
      </c>
      <c r="Y1767">
        <v>0.53890000000000005</v>
      </c>
      <c r="Z1767">
        <v>1</v>
      </c>
    </row>
    <row r="1768" spans="1:26" x14ac:dyDescent="0.2">
      <c r="A1768" t="s">
        <v>152</v>
      </c>
      <c r="B1768">
        <v>2021</v>
      </c>
      <c r="C1768" t="str">
        <f t="shared" si="27"/>
        <v>SVI2021</v>
      </c>
      <c r="D1768">
        <v>6.845425892455916E-14</v>
      </c>
      <c r="E1768">
        <v>0.145330417828129</v>
      </c>
      <c r="F1768">
        <v>1.227928943471972</v>
      </c>
      <c r="G1768">
        <v>27.77948144936121</v>
      </c>
      <c r="H1768">
        <v>1.5080484773613489</v>
      </c>
      <c r="I1768">
        <v>0.45358897365154782</v>
      </c>
      <c r="J1768">
        <v>6.5192412339738715E-2</v>
      </c>
      <c r="K1768">
        <v>0.1120524928500298</v>
      </c>
      <c r="L1768">
        <v>0.15161178010590071</v>
      </c>
      <c r="M1768">
        <v>18</v>
      </c>
      <c r="N1768">
        <v>1</v>
      </c>
      <c r="O1768">
        <v>0</v>
      </c>
      <c r="P1768">
        <v>0.94110000000000005</v>
      </c>
      <c r="Q1768">
        <v>0</v>
      </c>
      <c r="R1768">
        <v>0.94110000000000005</v>
      </c>
      <c r="S1768">
        <v>0</v>
      </c>
      <c r="T1768">
        <v>0.94110000000000005</v>
      </c>
      <c r="U1768">
        <v>9</v>
      </c>
      <c r="V1768">
        <v>0</v>
      </c>
      <c r="W1768">
        <v>0.1111111111111111</v>
      </c>
      <c r="X1768">
        <v>1</v>
      </c>
      <c r="Y1768">
        <v>0.53749999999999998</v>
      </c>
      <c r="Z1768">
        <v>1</v>
      </c>
    </row>
    <row r="1769" spans="1:26" x14ac:dyDescent="0.2">
      <c r="A1769" t="s">
        <v>152</v>
      </c>
      <c r="B1769">
        <v>2022</v>
      </c>
      <c r="C1769" t="str">
        <f t="shared" si="27"/>
        <v>SVI2022</v>
      </c>
      <c r="D1769">
        <v>7.8517233303890844E-14</v>
      </c>
      <c r="E1769">
        <v>0.1602967040518096</v>
      </c>
      <c r="F1769">
        <v>1.045480675014173</v>
      </c>
      <c r="G1769">
        <v>27.828706281750421</v>
      </c>
      <c r="H1769">
        <v>1.6535123671237859</v>
      </c>
      <c r="I1769">
        <v>0.40311045486405039</v>
      </c>
      <c r="J1769">
        <v>5.0456500836788543E-2</v>
      </c>
      <c r="K1769">
        <v>0.18815567515931689</v>
      </c>
      <c r="L1769">
        <v>0.1382425462236635</v>
      </c>
      <c r="M1769">
        <v>19</v>
      </c>
      <c r="N1769">
        <v>1</v>
      </c>
      <c r="O1769">
        <v>0</v>
      </c>
      <c r="P1769">
        <v>0.94110000000000005</v>
      </c>
      <c r="Q1769">
        <v>0</v>
      </c>
      <c r="R1769">
        <v>0.94110000000000005</v>
      </c>
      <c r="S1769">
        <v>0</v>
      </c>
      <c r="T1769">
        <v>0.94110000000000005</v>
      </c>
      <c r="U1769">
        <v>9</v>
      </c>
      <c r="V1769">
        <v>0</v>
      </c>
      <c r="W1769">
        <v>0.1111111111111111</v>
      </c>
      <c r="X1769">
        <v>0</v>
      </c>
      <c r="Y1769">
        <v>0.54749999999999999</v>
      </c>
      <c r="Z1769">
        <v>1</v>
      </c>
    </row>
    <row r="1770" spans="1:26" x14ac:dyDescent="0.2">
      <c r="A1770" t="s">
        <v>152</v>
      </c>
      <c r="B1770">
        <v>2023</v>
      </c>
      <c r="C1770" t="str">
        <f t="shared" si="27"/>
        <v>SVI2023</v>
      </c>
      <c r="D1770">
        <v>716996357403.25732</v>
      </c>
      <c r="E1770">
        <v>0.1112091671313999</v>
      </c>
      <c r="F1770">
        <v>0.60283809711267144</v>
      </c>
      <c r="G1770">
        <v>27.833426500445459</v>
      </c>
      <c r="H1770">
        <v>1.892889731356012</v>
      </c>
      <c r="I1770">
        <v>2.7449425380222062E-2</v>
      </c>
      <c r="J1770">
        <v>4.7313764761096611E-3</v>
      </c>
      <c r="K1770">
        <v>0.18298170799267879</v>
      </c>
      <c r="L1770">
        <v>0.1237560986264483</v>
      </c>
      <c r="M1770">
        <v>20</v>
      </c>
      <c r="N1770">
        <v>0</v>
      </c>
      <c r="O1770">
        <v>0</v>
      </c>
      <c r="P1770">
        <v>0.94110000000000005</v>
      </c>
      <c r="Q1770">
        <v>0</v>
      </c>
      <c r="R1770">
        <v>0.94110000000000005</v>
      </c>
      <c r="S1770">
        <v>0</v>
      </c>
      <c r="T1770">
        <v>0.94110000000000005</v>
      </c>
      <c r="U1770">
        <v>9</v>
      </c>
      <c r="V1770">
        <v>0</v>
      </c>
      <c r="W1770">
        <v>0.1111111111111111</v>
      </c>
      <c r="X1770">
        <v>0</v>
      </c>
      <c r="Y1770">
        <v>0.54749999999999999</v>
      </c>
      <c r="Z1770">
        <v>1</v>
      </c>
    </row>
    <row r="1771" spans="1:26" x14ac:dyDescent="0.2">
      <c r="A1771" t="s">
        <v>153</v>
      </c>
      <c r="B1771">
        <v>2012</v>
      </c>
      <c r="C1771" t="str">
        <f t="shared" si="27"/>
        <v>SVT2012</v>
      </c>
      <c r="D1771">
        <v>1.2785617883745411E-14</v>
      </c>
      <c r="E1771">
        <v>1.994866525988695E-3</v>
      </c>
      <c r="F1771">
        <v>1.142776129069327</v>
      </c>
      <c r="G1771">
        <v>25.60056125806566</v>
      </c>
      <c r="H1771">
        <v>2.3072068509126158</v>
      </c>
      <c r="I1771">
        <v>0.15862352310849129</v>
      </c>
      <c r="J1771">
        <v>-0.13073571694364361</v>
      </c>
      <c r="K1771">
        <v>2.8294482284156579E-2</v>
      </c>
      <c r="L1771">
        <v>0.18805319080342239</v>
      </c>
      <c r="M1771">
        <v>16</v>
      </c>
      <c r="N1771">
        <v>0</v>
      </c>
      <c r="O1771">
        <v>0</v>
      </c>
      <c r="P1771">
        <v>0.57050000000000001</v>
      </c>
      <c r="Q1771">
        <v>5.3099999999999987E-2</v>
      </c>
      <c r="R1771">
        <v>0</v>
      </c>
      <c r="S1771">
        <v>0</v>
      </c>
      <c r="T1771">
        <v>0.40670000000000001</v>
      </c>
      <c r="U1771">
        <v>5</v>
      </c>
      <c r="V1771">
        <v>0</v>
      </c>
      <c r="W1771">
        <v>0.2</v>
      </c>
      <c r="X1771">
        <v>1</v>
      </c>
      <c r="Y1771">
        <v>0.4073</v>
      </c>
      <c r="Z1771">
        <v>1</v>
      </c>
    </row>
    <row r="1772" spans="1:26" x14ac:dyDescent="0.2">
      <c r="A1772" t="s">
        <v>153</v>
      </c>
      <c r="B1772">
        <v>2013</v>
      </c>
      <c r="C1772" t="str">
        <f t="shared" si="27"/>
        <v>SVT2013</v>
      </c>
      <c r="D1772">
        <v>4.6172123140717851E-14</v>
      </c>
      <c r="E1772">
        <v>6.7337379801002744E-3</v>
      </c>
      <c r="F1772">
        <v>0.63157236985735898</v>
      </c>
      <c r="G1772">
        <v>25.569257283001779</v>
      </c>
      <c r="H1772">
        <v>4.8213485265386256</v>
      </c>
      <c r="I1772">
        <v>0.12760940224991629</v>
      </c>
      <c r="J1772">
        <v>-3.081907853759203E-2</v>
      </c>
      <c r="K1772">
        <v>2.0002292697053441E-2</v>
      </c>
      <c r="L1772">
        <v>0.18639299785855501</v>
      </c>
      <c r="M1772">
        <v>17</v>
      </c>
      <c r="N1772">
        <v>0</v>
      </c>
      <c r="O1772">
        <v>0</v>
      </c>
      <c r="P1772">
        <v>0.57050000000000001</v>
      </c>
      <c r="Q1772">
        <v>5.3099999999999987E-2</v>
      </c>
      <c r="R1772">
        <v>0</v>
      </c>
      <c r="S1772">
        <v>0</v>
      </c>
      <c r="T1772">
        <v>0.40670000000000001</v>
      </c>
      <c r="U1772">
        <v>5</v>
      </c>
      <c r="V1772">
        <v>0</v>
      </c>
      <c r="W1772">
        <v>0.2</v>
      </c>
      <c r="X1772">
        <v>1</v>
      </c>
      <c r="Y1772">
        <v>0.41729999999999989</v>
      </c>
      <c r="Z1772">
        <v>1</v>
      </c>
    </row>
    <row r="1773" spans="1:26" x14ac:dyDescent="0.2">
      <c r="A1773" t="s">
        <v>153</v>
      </c>
      <c r="B1773">
        <v>2014</v>
      </c>
      <c r="C1773" t="str">
        <f t="shared" si="27"/>
        <v>SVT2014</v>
      </c>
      <c r="D1773">
        <v>2.7356980795718543E-13</v>
      </c>
      <c r="E1773">
        <v>3.8839968845984202E-2</v>
      </c>
      <c r="F1773">
        <v>0.6216434423333419</v>
      </c>
      <c r="G1773">
        <v>25.575398137441368</v>
      </c>
      <c r="H1773">
        <v>5.9148649713311618</v>
      </c>
      <c r="I1773">
        <v>9.8338395999906902E-2</v>
      </c>
      <c r="J1773">
        <v>6.1597481409101373E-3</v>
      </c>
      <c r="K1773">
        <v>5.6987313514582819E-2</v>
      </c>
      <c r="L1773">
        <v>0.1738740354977672</v>
      </c>
      <c r="M1773">
        <v>18</v>
      </c>
      <c r="N1773">
        <v>0</v>
      </c>
      <c r="O1773">
        <v>0</v>
      </c>
      <c r="P1773">
        <v>0.57050000000000001</v>
      </c>
      <c r="Q1773">
        <v>5.2499999999999998E-2</v>
      </c>
      <c r="R1773">
        <v>0</v>
      </c>
      <c r="S1773">
        <v>0</v>
      </c>
      <c r="T1773">
        <v>0.40670000000000001</v>
      </c>
      <c r="U1773">
        <v>5</v>
      </c>
      <c r="V1773">
        <v>1</v>
      </c>
      <c r="W1773">
        <v>0.4</v>
      </c>
      <c r="X1773">
        <v>0</v>
      </c>
      <c r="Y1773">
        <v>0.41449999999999998</v>
      </c>
      <c r="Z1773">
        <v>1</v>
      </c>
    </row>
    <row r="1774" spans="1:26" x14ac:dyDescent="0.2">
      <c r="A1774" t="s">
        <v>153</v>
      </c>
      <c r="B1774">
        <v>2015</v>
      </c>
      <c r="C1774" t="str">
        <f t="shared" si="27"/>
        <v>SVT2015</v>
      </c>
      <c r="D1774">
        <v>3.6745104428063642E-13</v>
      </c>
      <c r="E1774">
        <v>7.0710166601269775E-2</v>
      </c>
      <c r="F1774">
        <v>0.97250696561325356</v>
      </c>
      <c r="G1774">
        <v>25.762757315541769</v>
      </c>
      <c r="H1774">
        <v>7.3203946894565233</v>
      </c>
      <c r="I1774">
        <v>0.1976922890259632</v>
      </c>
      <c r="J1774">
        <v>0.2060603977455939</v>
      </c>
      <c r="K1774">
        <v>0.2298170471381864</v>
      </c>
      <c r="L1774">
        <v>8.3960933922778633E-3</v>
      </c>
      <c r="M1774">
        <v>19</v>
      </c>
      <c r="N1774">
        <v>0</v>
      </c>
      <c r="O1774">
        <v>0</v>
      </c>
      <c r="P1774">
        <v>0.57050000000000001</v>
      </c>
      <c r="Q1774">
        <v>5.2499999999999998E-2</v>
      </c>
      <c r="R1774">
        <v>0</v>
      </c>
      <c r="S1774">
        <v>0</v>
      </c>
      <c r="T1774">
        <v>0.40670000000000001</v>
      </c>
      <c r="U1774">
        <v>5</v>
      </c>
      <c r="V1774">
        <v>1</v>
      </c>
      <c r="W1774">
        <v>0.4</v>
      </c>
      <c r="X1774">
        <v>1</v>
      </c>
      <c r="Y1774">
        <v>0.42449999999999999</v>
      </c>
      <c r="Z1774">
        <v>1</v>
      </c>
    </row>
    <row r="1775" spans="1:26" x14ac:dyDescent="0.2">
      <c r="A1775" t="s">
        <v>153</v>
      </c>
      <c r="B1775">
        <v>2016</v>
      </c>
      <c r="C1775" t="str">
        <f t="shared" si="27"/>
        <v>SVT2016</v>
      </c>
      <c r="D1775">
        <v>3.7655886490447942E-14</v>
      </c>
      <c r="E1775">
        <v>6.8255712675543197E-3</v>
      </c>
      <c r="F1775">
        <v>0.87229532357906348</v>
      </c>
      <c r="G1775">
        <v>25.735187798557561</v>
      </c>
      <c r="H1775">
        <v>1.5620186100943509</v>
      </c>
      <c r="I1775">
        <v>0.17140192076993979</v>
      </c>
      <c r="J1775">
        <v>-2.7192946409781201E-2</v>
      </c>
      <c r="K1775">
        <v>-1.97036223523918E-2</v>
      </c>
      <c r="L1775">
        <v>8.38811173615704E-3</v>
      </c>
      <c r="M1775">
        <v>20</v>
      </c>
      <c r="N1775">
        <v>0</v>
      </c>
      <c r="O1775">
        <v>0</v>
      </c>
      <c r="P1775">
        <v>0.57050000000000001</v>
      </c>
      <c r="Q1775">
        <v>5.2300000000000013E-2</v>
      </c>
      <c r="R1775">
        <v>0</v>
      </c>
      <c r="S1775">
        <v>0</v>
      </c>
      <c r="T1775">
        <v>0.40670000000000001</v>
      </c>
      <c r="U1775">
        <v>5</v>
      </c>
      <c r="V1775">
        <v>1</v>
      </c>
      <c r="W1775">
        <v>0.4</v>
      </c>
      <c r="X1775">
        <v>1</v>
      </c>
      <c r="Y1775">
        <v>0.4536</v>
      </c>
      <c r="Z1775">
        <v>1</v>
      </c>
    </row>
    <row r="1776" spans="1:26" x14ac:dyDescent="0.2">
      <c r="A1776" t="s">
        <v>153</v>
      </c>
      <c r="B1776">
        <v>2017</v>
      </c>
      <c r="C1776" t="str">
        <f t="shared" si="27"/>
        <v>SVT2017</v>
      </c>
      <c r="D1776">
        <v>2.187045741846071E-13</v>
      </c>
      <c r="E1776">
        <v>2.8429108330400771E-2</v>
      </c>
      <c r="F1776">
        <v>0.53790741720313129</v>
      </c>
      <c r="G1776">
        <v>25.58316043294576</v>
      </c>
      <c r="H1776">
        <v>1.7329426975131459</v>
      </c>
      <c r="I1776">
        <v>7.5239539405822266E-3</v>
      </c>
      <c r="J1776">
        <v>-0.14103522567706819</v>
      </c>
      <c r="K1776">
        <v>5.9035099547061958E-4</v>
      </c>
      <c r="L1776">
        <v>8.3837668651447865E-3</v>
      </c>
      <c r="M1776">
        <v>21</v>
      </c>
      <c r="N1776">
        <v>0</v>
      </c>
      <c r="O1776">
        <v>0</v>
      </c>
      <c r="P1776">
        <v>0.57050000000000001</v>
      </c>
      <c r="Q1776">
        <v>5.2300000000000013E-2</v>
      </c>
      <c r="R1776">
        <v>0</v>
      </c>
      <c r="S1776">
        <v>0</v>
      </c>
      <c r="T1776">
        <v>0.40670000000000001</v>
      </c>
      <c r="U1776">
        <v>5</v>
      </c>
      <c r="V1776">
        <v>1</v>
      </c>
      <c r="W1776">
        <v>0.4</v>
      </c>
      <c r="X1776">
        <v>1</v>
      </c>
      <c r="Y1776">
        <v>0.46360000000000001</v>
      </c>
      <c r="Z1776">
        <v>1</v>
      </c>
    </row>
    <row r="1777" spans="1:26" x14ac:dyDescent="0.2">
      <c r="A1777" t="s">
        <v>153</v>
      </c>
      <c r="B1777">
        <v>2018</v>
      </c>
      <c r="C1777" t="str">
        <f t="shared" si="27"/>
        <v>SVT2018</v>
      </c>
      <c r="D1777">
        <v>2.3707921752782402E-13</v>
      </c>
      <c r="E1777">
        <v>3.1689244579389222E-2</v>
      </c>
      <c r="F1777">
        <v>0.59978833888883254</v>
      </c>
      <c r="G1777">
        <v>25.61286749966737</v>
      </c>
      <c r="H1777">
        <v>26.471701465337389</v>
      </c>
      <c r="I1777">
        <v>5.7201924399331271E-3</v>
      </c>
      <c r="J1777">
        <v>3.015272373594002E-2</v>
      </c>
      <c r="K1777">
        <v>6.3987086479676797E-2</v>
      </c>
      <c r="L1777">
        <v>1.0668090403505821E-2</v>
      </c>
      <c r="M1777">
        <v>22</v>
      </c>
      <c r="N1777">
        <v>0</v>
      </c>
      <c r="O1777">
        <v>0</v>
      </c>
      <c r="P1777">
        <v>0.57050000000000001</v>
      </c>
      <c r="Q1777">
        <v>5.2300000000000013E-2</v>
      </c>
      <c r="R1777">
        <v>0</v>
      </c>
      <c r="S1777">
        <v>0</v>
      </c>
      <c r="T1777">
        <v>0.40670000000000001</v>
      </c>
      <c r="U1777">
        <v>5</v>
      </c>
      <c r="V1777">
        <v>1</v>
      </c>
      <c r="W1777">
        <v>0.4</v>
      </c>
      <c r="X1777">
        <v>1</v>
      </c>
      <c r="Y1777">
        <v>0.4511</v>
      </c>
      <c r="Z1777">
        <v>1</v>
      </c>
    </row>
    <row r="1778" spans="1:26" x14ac:dyDescent="0.2">
      <c r="A1778" t="s">
        <v>153</v>
      </c>
      <c r="B1778">
        <v>2019</v>
      </c>
      <c r="C1778" t="str">
        <f t="shared" si="27"/>
        <v>SVT2019</v>
      </c>
      <c r="D1778">
        <v>5.1139372787413853E-13</v>
      </c>
      <c r="E1778">
        <v>7.3212214035677597E-2</v>
      </c>
      <c r="F1778">
        <v>0.59176578387335232</v>
      </c>
      <c r="G1778">
        <v>25.684566474457139</v>
      </c>
      <c r="H1778">
        <v>23.746452376121489</v>
      </c>
      <c r="I1778">
        <v>2.673528506754902E-3</v>
      </c>
      <c r="J1778">
        <v>7.4331894398634857E-2</v>
      </c>
      <c r="K1778">
        <v>8.1909884776274006E-2</v>
      </c>
      <c r="L1778">
        <v>9.2660599840740446E-3</v>
      </c>
      <c r="M1778">
        <v>23</v>
      </c>
      <c r="N1778">
        <v>0</v>
      </c>
      <c r="O1778">
        <v>1</v>
      </c>
      <c r="P1778">
        <v>0.57179999999999997</v>
      </c>
      <c r="Q1778">
        <v>4.4600000000000001E-2</v>
      </c>
      <c r="R1778">
        <v>0</v>
      </c>
      <c r="S1778">
        <v>0</v>
      </c>
      <c r="T1778">
        <v>0.40670000000000001</v>
      </c>
      <c r="U1778">
        <v>5</v>
      </c>
      <c r="V1778">
        <v>0</v>
      </c>
      <c r="W1778">
        <v>0.2</v>
      </c>
      <c r="X1778">
        <v>1</v>
      </c>
      <c r="Y1778">
        <v>0.45569999999999999</v>
      </c>
      <c r="Z1778">
        <v>1</v>
      </c>
    </row>
    <row r="1779" spans="1:26" x14ac:dyDescent="0.2">
      <c r="A1779" t="s">
        <v>153</v>
      </c>
      <c r="B1779">
        <v>2020</v>
      </c>
      <c r="C1779" t="str">
        <f t="shared" si="27"/>
        <v>SVT2020</v>
      </c>
      <c r="D1779">
        <v>1.0338131040983631E-12</v>
      </c>
      <c r="E1779">
        <v>0.1822871695455428</v>
      </c>
      <c r="F1779">
        <v>0.90631265963836571</v>
      </c>
      <c r="G1779">
        <v>25.88863339622494</v>
      </c>
      <c r="H1779">
        <v>43.017012832291108</v>
      </c>
      <c r="I1779">
        <v>6.9375528759074174E-3</v>
      </c>
      <c r="J1779">
        <v>0.22638022224255711</v>
      </c>
      <c r="K1779">
        <v>0.20054391120691739</v>
      </c>
      <c r="L1779">
        <v>7.0142549341392236E-3</v>
      </c>
      <c r="M1779">
        <v>24</v>
      </c>
      <c r="N1779">
        <v>0</v>
      </c>
      <c r="O1779">
        <v>1</v>
      </c>
      <c r="P1779">
        <v>0.57199999999999995</v>
      </c>
      <c r="Q1779">
        <v>4.6899999999999997E-2</v>
      </c>
      <c r="R1779">
        <v>0</v>
      </c>
      <c r="S1779">
        <v>0</v>
      </c>
      <c r="T1779">
        <v>0.40699999999999997</v>
      </c>
      <c r="U1779">
        <v>5</v>
      </c>
      <c r="V1779">
        <v>0</v>
      </c>
      <c r="W1779">
        <v>0.6</v>
      </c>
      <c r="X1779">
        <v>1</v>
      </c>
      <c r="Y1779">
        <v>0.42249999999999999</v>
      </c>
      <c r="Z1779">
        <v>1</v>
      </c>
    </row>
    <row r="1780" spans="1:26" x14ac:dyDescent="0.2">
      <c r="A1780" t="s">
        <v>153</v>
      </c>
      <c r="B1780">
        <v>2021</v>
      </c>
      <c r="C1780" t="str">
        <f t="shared" si="27"/>
        <v>SVT2021</v>
      </c>
      <c r="D1780">
        <v>9.9129678004492042E-13</v>
      </c>
      <c r="E1780">
        <v>0.1850822771533433</v>
      </c>
      <c r="F1780">
        <v>1.118277571620713</v>
      </c>
      <c r="G1780">
        <v>25.94600145571135</v>
      </c>
      <c r="H1780">
        <v>40.019262286716753</v>
      </c>
      <c r="I1780">
        <v>6.7830535092033737E-3</v>
      </c>
      <c r="J1780">
        <v>5.9045530425035693E-2</v>
      </c>
      <c r="K1780">
        <v>0.14971081985131879</v>
      </c>
      <c r="L1780">
        <v>6.1120056582548736E-3</v>
      </c>
      <c r="M1780">
        <v>25</v>
      </c>
      <c r="N1780">
        <v>0</v>
      </c>
      <c r="O1780">
        <v>0</v>
      </c>
      <c r="P1780">
        <v>0.46100000000000002</v>
      </c>
      <c r="Q1780">
        <v>4.6899999999999997E-2</v>
      </c>
      <c r="R1780">
        <v>0</v>
      </c>
      <c r="S1780">
        <v>0</v>
      </c>
      <c r="T1780">
        <v>0.40699999999999997</v>
      </c>
      <c r="U1780">
        <v>5</v>
      </c>
      <c r="V1780">
        <v>0</v>
      </c>
      <c r="W1780">
        <v>0.6</v>
      </c>
      <c r="X1780">
        <v>1</v>
      </c>
      <c r="Y1780">
        <v>0.4325</v>
      </c>
      <c r="Z1780">
        <v>1</v>
      </c>
    </row>
    <row r="1781" spans="1:26" x14ac:dyDescent="0.2">
      <c r="A1781" t="s">
        <v>153</v>
      </c>
      <c r="B1781">
        <v>2022</v>
      </c>
      <c r="C1781" t="str">
        <f t="shared" si="27"/>
        <v>SVT2022</v>
      </c>
      <c r="D1781">
        <v>5.641418631437189E-13</v>
      </c>
      <c r="E1781">
        <v>0.119150659097514</v>
      </c>
      <c r="F1781">
        <v>0.7704186047067666</v>
      </c>
      <c r="G1781">
        <v>26.069643174175589</v>
      </c>
      <c r="H1781">
        <v>38.872959068744642</v>
      </c>
      <c r="I1781">
        <v>6.4400997691255084E-3</v>
      </c>
      <c r="J1781">
        <v>0.13161036326170669</v>
      </c>
      <c r="K1781">
        <v>7.7419710786667012E-2</v>
      </c>
      <c r="L1781">
        <v>4.9494296459541556E-3</v>
      </c>
      <c r="M1781">
        <v>26</v>
      </c>
      <c r="N1781">
        <v>0</v>
      </c>
      <c r="O1781">
        <v>0</v>
      </c>
      <c r="P1781">
        <v>0.4607</v>
      </c>
      <c r="Q1781">
        <v>2.3E-2</v>
      </c>
      <c r="R1781">
        <v>0</v>
      </c>
      <c r="S1781">
        <v>0</v>
      </c>
      <c r="T1781">
        <v>0.40670000000000001</v>
      </c>
      <c r="U1781">
        <v>5</v>
      </c>
      <c r="V1781">
        <v>0</v>
      </c>
      <c r="W1781">
        <v>0.6</v>
      </c>
      <c r="X1781">
        <v>1</v>
      </c>
      <c r="Y1781">
        <v>0.43109999999999998</v>
      </c>
      <c r="Z1781">
        <v>1</v>
      </c>
    </row>
    <row r="1782" spans="1:26" x14ac:dyDescent="0.2">
      <c r="A1782" t="s">
        <v>153</v>
      </c>
      <c r="B1782">
        <v>2023</v>
      </c>
      <c r="C1782" t="str">
        <f t="shared" si="27"/>
        <v>SVT2023</v>
      </c>
      <c r="D1782">
        <v>211824664871.80179</v>
      </c>
      <c r="E1782">
        <v>0.108647347973742</v>
      </c>
      <c r="F1782">
        <v>0.75026066500232969</v>
      </c>
      <c r="G1782">
        <v>26.183520784782591</v>
      </c>
      <c r="H1782">
        <v>52.258137129164837</v>
      </c>
      <c r="I1782">
        <v>0</v>
      </c>
      <c r="J1782">
        <v>0.120614965105516</v>
      </c>
      <c r="K1782">
        <v>0.17285533383692001</v>
      </c>
      <c r="L1782">
        <v>4.4991295567842074E-3</v>
      </c>
      <c r="M1782">
        <v>27</v>
      </c>
      <c r="N1782">
        <v>0</v>
      </c>
      <c r="O1782">
        <v>0</v>
      </c>
      <c r="P1782">
        <v>0.4607</v>
      </c>
      <c r="Q1782">
        <v>2.3E-2</v>
      </c>
      <c r="R1782">
        <v>0</v>
      </c>
      <c r="S1782">
        <v>0</v>
      </c>
      <c r="T1782">
        <v>0.40670000000000001</v>
      </c>
      <c r="U1782">
        <v>5</v>
      </c>
      <c r="V1782">
        <v>0</v>
      </c>
      <c r="W1782">
        <v>0.6</v>
      </c>
      <c r="X1782">
        <v>1</v>
      </c>
      <c r="Y1782">
        <v>0.43109999999999998</v>
      </c>
      <c r="Z1782">
        <v>1</v>
      </c>
    </row>
    <row r="1783" spans="1:26" x14ac:dyDescent="0.2">
      <c r="A1783" t="s">
        <v>154</v>
      </c>
      <c r="B1783">
        <v>2012</v>
      </c>
      <c r="C1783" t="str">
        <f t="shared" si="27"/>
        <v>TBX2012</v>
      </c>
      <c r="D1783">
        <v>8.4162585742936755E-13</v>
      </c>
      <c r="E1783">
        <v>0.107944714444779</v>
      </c>
      <c r="F1783">
        <v>0.86182994125361845</v>
      </c>
      <c r="G1783">
        <v>24.687191912971802</v>
      </c>
      <c r="H1783">
        <v>1.047217415770185</v>
      </c>
      <c r="I1783">
        <v>0.58939057895578706</v>
      </c>
      <c r="J1783">
        <v>0.13083399839307661</v>
      </c>
      <c r="K1783">
        <v>6.7258541327785998E-2</v>
      </c>
      <c r="L1783">
        <v>0.56565811817185274</v>
      </c>
      <c r="M1783">
        <v>17</v>
      </c>
      <c r="N1783">
        <v>0</v>
      </c>
      <c r="O1783">
        <v>0</v>
      </c>
      <c r="P1783">
        <v>5.3400000000000003E-2</v>
      </c>
      <c r="Q1783">
        <v>5.57E-2</v>
      </c>
      <c r="R1783">
        <v>0</v>
      </c>
      <c r="S1783">
        <v>0</v>
      </c>
      <c r="T1783">
        <v>0</v>
      </c>
      <c r="U1783">
        <v>5</v>
      </c>
      <c r="V1783">
        <v>1</v>
      </c>
      <c r="W1783">
        <v>0.2</v>
      </c>
      <c r="X1783">
        <v>0</v>
      </c>
      <c r="Y1783">
        <v>0.48780000000000001</v>
      </c>
      <c r="Z1783">
        <v>1</v>
      </c>
    </row>
    <row r="1784" spans="1:26" x14ac:dyDescent="0.2">
      <c r="A1784" t="s">
        <v>154</v>
      </c>
      <c r="B1784">
        <v>2013</v>
      </c>
      <c r="C1784" t="str">
        <f t="shared" si="27"/>
        <v>TBX2013</v>
      </c>
      <c r="D1784">
        <v>2.2835262212457661E-14</v>
      </c>
      <c r="E1784">
        <v>4.446608317343323E-3</v>
      </c>
      <c r="F1784">
        <v>0.92431775360532931</v>
      </c>
      <c r="G1784">
        <v>24.851963973581519</v>
      </c>
      <c r="H1784">
        <v>0.8199117101970933</v>
      </c>
      <c r="I1784">
        <v>0.68110482734005506</v>
      </c>
      <c r="J1784">
        <v>0.1791243191991736</v>
      </c>
      <c r="K1784">
        <v>-9.3162765997897592E-2</v>
      </c>
      <c r="L1784">
        <v>0.46503836294690309</v>
      </c>
      <c r="M1784">
        <v>18</v>
      </c>
      <c r="N1784">
        <v>0</v>
      </c>
      <c r="O1784">
        <v>0</v>
      </c>
      <c r="P1784">
        <v>5.3400000000000003E-2</v>
      </c>
      <c r="Q1784">
        <v>6.1999999999999998E-3</v>
      </c>
      <c r="R1784">
        <v>0</v>
      </c>
      <c r="S1784">
        <v>0</v>
      </c>
      <c r="T1784">
        <v>0</v>
      </c>
      <c r="U1784">
        <v>5</v>
      </c>
      <c r="V1784">
        <v>0</v>
      </c>
      <c r="W1784">
        <v>0.2</v>
      </c>
      <c r="X1784">
        <v>0</v>
      </c>
      <c r="Y1784">
        <v>0.48499999999999999</v>
      </c>
      <c r="Z1784">
        <v>1</v>
      </c>
    </row>
    <row r="1785" spans="1:26" x14ac:dyDescent="0.2">
      <c r="A1785" t="s">
        <v>154</v>
      </c>
      <c r="B1785">
        <v>2014</v>
      </c>
      <c r="C1785" t="str">
        <f t="shared" si="27"/>
        <v>TBX2014</v>
      </c>
      <c r="D1785">
        <v>7.8211010733537241E-14</v>
      </c>
      <c r="E1785">
        <v>1.411637740209567E-2</v>
      </c>
      <c r="F1785">
        <v>0.92343549986032636</v>
      </c>
      <c r="G1785">
        <v>24.814828492000469</v>
      </c>
      <c r="H1785">
        <v>0.85308159990667931</v>
      </c>
      <c r="I1785">
        <v>0.66849680297749792</v>
      </c>
      <c r="J1785">
        <v>-3.2833215487460772E-2</v>
      </c>
      <c r="K1785">
        <v>1.7888182933382521E-3</v>
      </c>
      <c r="L1785">
        <v>0.43926931433072047</v>
      </c>
      <c r="M1785">
        <v>19</v>
      </c>
      <c r="N1785">
        <v>0</v>
      </c>
      <c r="O1785">
        <v>0</v>
      </c>
      <c r="P1785">
        <v>0.14610000000000001</v>
      </c>
      <c r="Q1785">
        <v>2.1299999999999999E-2</v>
      </c>
      <c r="R1785">
        <v>0</v>
      </c>
      <c r="S1785">
        <v>0</v>
      </c>
      <c r="T1785">
        <v>0</v>
      </c>
      <c r="U1785">
        <v>5</v>
      </c>
      <c r="V1785">
        <v>0</v>
      </c>
      <c r="W1785">
        <v>0.2</v>
      </c>
      <c r="X1785">
        <v>0</v>
      </c>
      <c r="Y1785">
        <v>0.39329999999999998</v>
      </c>
      <c r="Z1785">
        <v>1</v>
      </c>
    </row>
    <row r="1786" spans="1:26" x14ac:dyDescent="0.2">
      <c r="A1786" t="s">
        <v>154</v>
      </c>
      <c r="B1786">
        <v>2015</v>
      </c>
      <c r="C1786" t="str">
        <f t="shared" si="27"/>
        <v>TBX2015</v>
      </c>
      <c r="D1786">
        <v>3.566231167932786E-13</v>
      </c>
      <c r="E1786">
        <v>7.0352223270324379E-2</v>
      </c>
      <c r="F1786">
        <v>0.87848775297758497</v>
      </c>
      <c r="G1786">
        <v>24.89976143033455</v>
      </c>
      <c r="H1786">
        <v>0.93917586859782198</v>
      </c>
      <c r="I1786">
        <v>0.66981247976053937</v>
      </c>
      <c r="J1786">
        <v>8.4568030260693275E-2</v>
      </c>
      <c r="K1786">
        <v>-5.1846713813419251E-2</v>
      </c>
      <c r="L1786">
        <v>0.33863958107071052</v>
      </c>
      <c r="M1786">
        <v>20</v>
      </c>
      <c r="N1786">
        <v>0</v>
      </c>
      <c r="O1786">
        <v>0</v>
      </c>
      <c r="P1786">
        <v>0.28799999999999998</v>
      </c>
      <c r="Q1786">
        <v>0</v>
      </c>
      <c r="R1786">
        <v>0</v>
      </c>
      <c r="S1786">
        <v>0</v>
      </c>
      <c r="T1786">
        <v>0</v>
      </c>
      <c r="U1786">
        <v>5</v>
      </c>
      <c r="V1786">
        <v>0</v>
      </c>
      <c r="W1786">
        <v>0.2</v>
      </c>
      <c r="X1786">
        <v>0</v>
      </c>
      <c r="Y1786">
        <v>0.33500000000000002</v>
      </c>
      <c r="Z1786">
        <v>1</v>
      </c>
    </row>
    <row r="1787" spans="1:26" x14ac:dyDescent="0.2">
      <c r="A1787" t="s">
        <v>154</v>
      </c>
      <c r="B1787">
        <v>2016</v>
      </c>
      <c r="C1787" t="str">
        <f t="shared" si="27"/>
        <v>TBX2016</v>
      </c>
      <c r="D1787">
        <v>1.895909537918993E-13</v>
      </c>
      <c r="E1787">
        <v>3.2128034207254158E-2</v>
      </c>
      <c r="F1787">
        <v>0.85938355726591453</v>
      </c>
      <c r="G1787">
        <v>24.840101791435441</v>
      </c>
      <c r="H1787">
        <v>1.069555424561798</v>
      </c>
      <c r="I1787">
        <v>0.63787992985376774</v>
      </c>
      <c r="J1787">
        <v>-5.7914871846463711E-2</v>
      </c>
      <c r="K1787">
        <v>0.1549293140134177</v>
      </c>
      <c r="L1787">
        <v>0.28990356657296878</v>
      </c>
      <c r="M1787">
        <v>21</v>
      </c>
      <c r="N1787">
        <v>0</v>
      </c>
      <c r="O1787">
        <v>0</v>
      </c>
      <c r="P1787">
        <v>0.52639999999999998</v>
      </c>
      <c r="Q1787">
        <v>0</v>
      </c>
      <c r="R1787">
        <v>0</v>
      </c>
      <c r="S1787">
        <v>0</v>
      </c>
      <c r="T1787">
        <v>0</v>
      </c>
      <c r="U1787">
        <v>5</v>
      </c>
      <c r="V1787">
        <v>0</v>
      </c>
      <c r="W1787">
        <v>0.2</v>
      </c>
      <c r="X1787">
        <v>1</v>
      </c>
      <c r="Y1787">
        <v>0.34499999999999997</v>
      </c>
      <c r="Z1787">
        <v>1</v>
      </c>
    </row>
    <row r="1788" spans="1:26" x14ac:dyDescent="0.2">
      <c r="A1788" t="s">
        <v>154</v>
      </c>
      <c r="B1788">
        <v>2017</v>
      </c>
      <c r="C1788" t="str">
        <f t="shared" si="27"/>
        <v>TBX2017</v>
      </c>
      <c r="D1788">
        <v>1.7531716106770931E-13</v>
      </c>
      <c r="E1788">
        <v>3.0834466056773421E-2</v>
      </c>
      <c r="F1788">
        <v>0.83158013668138064</v>
      </c>
      <c r="G1788">
        <v>24.874349866155079</v>
      </c>
      <c r="H1788">
        <v>1.1114367255929241</v>
      </c>
      <c r="I1788">
        <v>0.63893874708088294</v>
      </c>
      <c r="J1788">
        <v>3.484129285172588E-2</v>
      </c>
      <c r="K1788">
        <v>-7.7983508891815809E-2</v>
      </c>
      <c r="L1788">
        <v>0.22419548611749621</v>
      </c>
      <c r="M1788">
        <v>22</v>
      </c>
      <c r="N1788">
        <v>0</v>
      </c>
      <c r="O1788">
        <v>0</v>
      </c>
      <c r="P1788">
        <v>0.66710000000000003</v>
      </c>
      <c r="Q1788">
        <v>0.28799999999999998</v>
      </c>
      <c r="R1788">
        <v>0</v>
      </c>
      <c r="S1788">
        <v>0</v>
      </c>
      <c r="T1788">
        <v>0.19700000000000001</v>
      </c>
      <c r="U1788">
        <v>5</v>
      </c>
      <c r="V1788">
        <v>0</v>
      </c>
      <c r="W1788">
        <v>0.2</v>
      </c>
      <c r="X1788">
        <v>1</v>
      </c>
      <c r="Y1788">
        <v>0.34670000000000001</v>
      </c>
      <c r="Z1788">
        <v>1</v>
      </c>
    </row>
    <row r="1789" spans="1:26" x14ac:dyDescent="0.2">
      <c r="A1789" t="s">
        <v>154</v>
      </c>
      <c r="B1789">
        <v>2018</v>
      </c>
      <c r="C1789" t="str">
        <f t="shared" si="27"/>
        <v>TBX2018</v>
      </c>
      <c r="D1789">
        <v>1.197071467046328E-13</v>
      </c>
      <c r="E1789">
        <v>2.022118802325483E-2</v>
      </c>
      <c r="F1789">
        <v>0.84398637021153444</v>
      </c>
      <c r="G1789">
        <v>24.864387204191551</v>
      </c>
      <c r="H1789">
        <v>1.213780966724592</v>
      </c>
      <c r="I1789">
        <v>0.627797256046699</v>
      </c>
      <c r="J1789">
        <v>-9.91319904388821E-3</v>
      </c>
      <c r="K1789">
        <v>4.0026589717620478E-2</v>
      </c>
      <c r="L1789">
        <v>0.18183746008093579</v>
      </c>
      <c r="M1789">
        <v>23</v>
      </c>
      <c r="N1789">
        <v>0</v>
      </c>
      <c r="O1789">
        <v>0</v>
      </c>
      <c r="P1789">
        <v>0.66710000000000003</v>
      </c>
      <c r="Q1789">
        <v>0.2384</v>
      </c>
      <c r="R1789">
        <v>0</v>
      </c>
      <c r="S1789">
        <v>0</v>
      </c>
      <c r="T1789">
        <v>0.19700000000000001</v>
      </c>
      <c r="U1789">
        <v>5</v>
      </c>
      <c r="V1789">
        <v>0</v>
      </c>
      <c r="W1789">
        <v>0.6</v>
      </c>
      <c r="X1789">
        <v>0</v>
      </c>
      <c r="Y1789">
        <v>0.35</v>
      </c>
      <c r="Z1789">
        <v>1</v>
      </c>
    </row>
    <row r="1790" spans="1:26" x14ac:dyDescent="0.2">
      <c r="A1790" t="s">
        <v>154</v>
      </c>
      <c r="B1790">
        <v>2019</v>
      </c>
      <c r="C1790" t="str">
        <f t="shared" si="27"/>
        <v>TBX2019</v>
      </c>
      <c r="D1790">
        <v>-3.5365050977011239E-13</v>
      </c>
      <c r="E1790">
        <v>-3.2301351442958287E-2</v>
      </c>
      <c r="F1790">
        <v>1.2678959339388729</v>
      </c>
      <c r="G1790">
        <v>24.525572925935961</v>
      </c>
      <c r="H1790">
        <v>1.30071587900658</v>
      </c>
      <c r="I1790">
        <v>0.50945982386355448</v>
      </c>
      <c r="J1790">
        <v>-0.2873852151231584</v>
      </c>
      <c r="K1790">
        <v>0.44646514339594728</v>
      </c>
      <c r="L1790">
        <v>0.22953486754413091</v>
      </c>
      <c r="M1790">
        <v>24</v>
      </c>
      <c r="N1790">
        <v>0</v>
      </c>
      <c r="O1790">
        <v>1</v>
      </c>
      <c r="P1790">
        <v>0.66710000000000003</v>
      </c>
      <c r="Q1790">
        <v>0.2384</v>
      </c>
      <c r="R1790">
        <v>0</v>
      </c>
      <c r="S1790">
        <v>0</v>
      </c>
      <c r="T1790">
        <v>0.19700000000000001</v>
      </c>
      <c r="U1790">
        <v>5</v>
      </c>
      <c r="V1790">
        <v>0</v>
      </c>
      <c r="W1790">
        <v>0.6</v>
      </c>
      <c r="X1790">
        <v>0</v>
      </c>
      <c r="Y1790">
        <v>0.36</v>
      </c>
      <c r="Z1790">
        <v>1</v>
      </c>
    </row>
    <row r="1791" spans="1:26" x14ac:dyDescent="0.2">
      <c r="A1791" t="s">
        <v>154</v>
      </c>
      <c r="B1791">
        <v>2020</v>
      </c>
      <c r="C1791" t="str">
        <f t="shared" si="27"/>
        <v>TBX2020</v>
      </c>
      <c r="D1791">
        <v>-2.7718152394596089E-12</v>
      </c>
      <c r="E1791">
        <v>-0.1035724719447077</v>
      </c>
      <c r="F1791">
        <v>1.504538299372995</v>
      </c>
      <c r="G1791">
        <v>24.029403600987582</v>
      </c>
      <c r="H1791">
        <v>1.5098849325105561</v>
      </c>
      <c r="I1791">
        <v>0.26994206792503922</v>
      </c>
      <c r="J1791">
        <v>-0.39114146260987659</v>
      </c>
      <c r="K1791">
        <v>-2.4137889406627071E-2</v>
      </c>
      <c r="L1791">
        <v>0.27927622832439952</v>
      </c>
      <c r="M1791">
        <v>25</v>
      </c>
      <c r="N1791">
        <v>0</v>
      </c>
      <c r="O1791">
        <v>1</v>
      </c>
      <c r="P1791">
        <v>0.66710000000000003</v>
      </c>
      <c r="Q1791">
        <v>0.2384</v>
      </c>
      <c r="R1791">
        <v>0</v>
      </c>
      <c r="S1791">
        <v>0</v>
      </c>
      <c r="T1791">
        <v>0.19700000000000001</v>
      </c>
      <c r="U1791">
        <v>5</v>
      </c>
      <c r="V1791">
        <v>0</v>
      </c>
      <c r="W1791">
        <v>0.4</v>
      </c>
      <c r="X1791">
        <v>0</v>
      </c>
      <c r="Y1791">
        <v>0.37</v>
      </c>
      <c r="Z1791">
        <v>1</v>
      </c>
    </row>
    <row r="1792" spans="1:26" x14ac:dyDescent="0.2">
      <c r="A1792" t="s">
        <v>154</v>
      </c>
      <c r="B1792">
        <v>2021</v>
      </c>
      <c r="C1792" t="str">
        <f t="shared" si="27"/>
        <v>TBX2021</v>
      </c>
      <c r="D1792">
        <v>1.8080578747090061E-13</v>
      </c>
      <c r="E1792">
        <v>5.6161126952293163E-3</v>
      </c>
      <c r="F1792">
        <v>1.547312913307757</v>
      </c>
      <c r="G1792">
        <v>23.939820772914349</v>
      </c>
      <c r="H1792">
        <v>2.666175006309651</v>
      </c>
      <c r="I1792">
        <v>0.19701289087443569</v>
      </c>
      <c r="J1792">
        <v>-8.5687468757395191E-2</v>
      </c>
      <c r="K1792">
        <v>0.1450713501130694</v>
      </c>
      <c r="L1792">
        <v>0.25431856243158257</v>
      </c>
      <c r="M1792">
        <v>26</v>
      </c>
      <c r="N1792">
        <v>0</v>
      </c>
      <c r="O1792">
        <v>0</v>
      </c>
      <c r="P1792">
        <v>0.73430000000000006</v>
      </c>
      <c r="Q1792">
        <v>0.2384</v>
      </c>
      <c r="R1792">
        <v>0</v>
      </c>
      <c r="S1792">
        <v>0</v>
      </c>
      <c r="T1792">
        <v>0.26419999999999999</v>
      </c>
      <c r="U1792">
        <v>5</v>
      </c>
      <c r="V1792">
        <v>0</v>
      </c>
      <c r="W1792">
        <v>0.4</v>
      </c>
      <c r="X1792">
        <v>0</v>
      </c>
      <c r="Y1792">
        <v>0.38</v>
      </c>
      <c r="Z1792">
        <v>1</v>
      </c>
    </row>
    <row r="1793" spans="1:26" x14ac:dyDescent="0.2">
      <c r="A1793" t="s">
        <v>154</v>
      </c>
      <c r="B1793">
        <v>2022</v>
      </c>
      <c r="C1793" t="str">
        <f t="shared" si="27"/>
        <v>TBX2022</v>
      </c>
      <c r="D1793">
        <v>5.1823283334735585E-13</v>
      </c>
      <c r="E1793">
        <v>1.7022554762788151E-2</v>
      </c>
      <c r="F1793">
        <v>1.514271641853477</v>
      </c>
      <c r="G1793">
        <v>23.97635448160668</v>
      </c>
      <c r="H1793">
        <v>3.7296744530215782</v>
      </c>
      <c r="I1793">
        <v>0.2124128307337699</v>
      </c>
      <c r="J1793">
        <v>3.7209266396523333E-2</v>
      </c>
      <c r="K1793">
        <v>1.9998514111275109E-2</v>
      </c>
      <c r="L1793">
        <v>0.2419312091735798</v>
      </c>
      <c r="M1793">
        <v>27</v>
      </c>
      <c r="N1793">
        <v>0</v>
      </c>
      <c r="O1793">
        <v>0</v>
      </c>
      <c r="P1793">
        <v>0.73430000000000006</v>
      </c>
      <c r="Q1793">
        <v>0.2384</v>
      </c>
      <c r="R1793">
        <v>0</v>
      </c>
      <c r="S1793">
        <v>0</v>
      </c>
      <c r="T1793">
        <v>0.26419999999999999</v>
      </c>
      <c r="U1793">
        <v>5</v>
      </c>
      <c r="V1793">
        <v>0</v>
      </c>
      <c r="W1793">
        <v>0.4</v>
      </c>
      <c r="X1793">
        <v>0</v>
      </c>
      <c r="Y1793">
        <v>0.39</v>
      </c>
      <c r="Z1793">
        <v>1</v>
      </c>
    </row>
    <row r="1794" spans="1:26" x14ac:dyDescent="0.2">
      <c r="A1794" t="s">
        <v>154</v>
      </c>
      <c r="B1794">
        <v>2023</v>
      </c>
      <c r="C1794" t="str">
        <f t="shared" si="27"/>
        <v>TBX2023</v>
      </c>
      <c r="D1794">
        <v>5273575857.2783813</v>
      </c>
      <c r="E1794">
        <v>1.7022554762788151E-2</v>
      </c>
      <c r="F1794">
        <v>1.514271641853477</v>
      </c>
      <c r="G1794">
        <v>23.902788804625089</v>
      </c>
      <c r="H1794">
        <v>3.5412992461314232</v>
      </c>
      <c r="I1794">
        <v>0.2124128307337699</v>
      </c>
      <c r="J1794">
        <v>-7.0924875062165604E-2</v>
      </c>
      <c r="K1794">
        <v>-2.313445524631386E-3</v>
      </c>
      <c r="L1794">
        <v>0.39505473978917077</v>
      </c>
      <c r="M1794">
        <v>28</v>
      </c>
      <c r="N1794">
        <v>0</v>
      </c>
      <c r="O1794">
        <v>0</v>
      </c>
      <c r="P1794">
        <v>0.73430000000000006</v>
      </c>
      <c r="Q1794">
        <v>0.2384</v>
      </c>
      <c r="R1794">
        <v>0</v>
      </c>
      <c r="S1794">
        <v>0</v>
      </c>
      <c r="T1794">
        <v>0.26419999999999999</v>
      </c>
      <c r="U1794">
        <v>5</v>
      </c>
      <c r="V1794">
        <v>0</v>
      </c>
      <c r="W1794">
        <v>0.4</v>
      </c>
      <c r="X1794">
        <v>0</v>
      </c>
      <c r="Y1794">
        <v>0.39</v>
      </c>
      <c r="Z1794">
        <v>1</v>
      </c>
    </row>
    <row r="1795" spans="1:26" x14ac:dyDescent="0.2">
      <c r="A1795" t="s">
        <v>155</v>
      </c>
      <c r="B1795">
        <v>2012</v>
      </c>
      <c r="C1795" t="str">
        <f t="shared" ref="C1795:C1858" si="28">A1795&amp;B1795</f>
        <v>TCM2012</v>
      </c>
      <c r="D1795">
        <v>-5.9152616560915527E-15</v>
      </c>
      <c r="E1795">
        <v>-3.6690284755328963E-2</v>
      </c>
      <c r="F1795">
        <v>0.81154047967301923</v>
      </c>
      <c r="G1795">
        <v>28.30691860032119</v>
      </c>
      <c r="H1795">
        <v>1.141657550477186</v>
      </c>
      <c r="I1795">
        <v>0.67984077699469747</v>
      </c>
      <c r="J1795">
        <v>-4.2636410955347648E-2</v>
      </c>
      <c r="K1795">
        <v>5.2426006337024093E-2</v>
      </c>
      <c r="L1795">
        <v>0.3072562875056733</v>
      </c>
      <c r="M1795">
        <v>21</v>
      </c>
      <c r="N1795">
        <v>1</v>
      </c>
      <c r="O1795">
        <v>0</v>
      </c>
      <c r="P1795">
        <v>0.57810000000000006</v>
      </c>
      <c r="Q1795">
        <v>1.6000000000000001E-3</v>
      </c>
      <c r="R1795">
        <v>0.43219999999999997</v>
      </c>
      <c r="S1795">
        <v>7.5899999999999995E-2</v>
      </c>
      <c r="T1795">
        <v>0.57810000000000006</v>
      </c>
      <c r="U1795">
        <v>7</v>
      </c>
      <c r="V1795">
        <v>0</v>
      </c>
      <c r="W1795">
        <v>0.42857142857142849</v>
      </c>
      <c r="X1795">
        <v>0</v>
      </c>
      <c r="Y1795">
        <v>0.47820000000000001</v>
      </c>
      <c r="Z1795">
        <v>1</v>
      </c>
    </row>
    <row r="1796" spans="1:26" x14ac:dyDescent="0.2">
      <c r="A1796" t="s">
        <v>155</v>
      </c>
      <c r="B1796">
        <v>2013</v>
      </c>
      <c r="C1796" t="str">
        <f t="shared" si="28"/>
        <v>TCM2013</v>
      </c>
      <c r="D1796">
        <v>3.1288920265052017E-14</v>
      </c>
      <c r="E1796">
        <v>0.16826461713436611</v>
      </c>
      <c r="F1796">
        <v>1.1353299103720129</v>
      </c>
      <c r="G1796">
        <v>28.318799672012229</v>
      </c>
      <c r="H1796">
        <v>0.96088725038615497</v>
      </c>
      <c r="I1796">
        <v>0.62688270211546804</v>
      </c>
      <c r="J1796">
        <v>1.1951931977286501E-2</v>
      </c>
      <c r="K1796">
        <v>9.2382679595395895E-2</v>
      </c>
      <c r="L1796">
        <v>0.30100014002685382</v>
      </c>
      <c r="M1796">
        <v>22</v>
      </c>
      <c r="N1796">
        <v>1</v>
      </c>
      <c r="O1796">
        <v>0</v>
      </c>
      <c r="P1796">
        <v>0.43219999999999997</v>
      </c>
      <c r="Q1796">
        <v>1.6000000000000001E-3</v>
      </c>
      <c r="R1796">
        <v>0.43219999999999997</v>
      </c>
      <c r="S1796">
        <v>0</v>
      </c>
      <c r="T1796">
        <v>0.43219999999999997</v>
      </c>
      <c r="U1796">
        <v>6</v>
      </c>
      <c r="V1796">
        <v>0</v>
      </c>
      <c r="W1796">
        <v>0.33333333333333331</v>
      </c>
      <c r="X1796">
        <v>0</v>
      </c>
      <c r="Y1796">
        <v>0.48799999999999999</v>
      </c>
      <c r="Z1796">
        <v>1</v>
      </c>
    </row>
    <row r="1797" spans="1:26" x14ac:dyDescent="0.2">
      <c r="A1797" t="s">
        <v>155</v>
      </c>
      <c r="B1797">
        <v>2014</v>
      </c>
      <c r="C1797" t="str">
        <f t="shared" si="28"/>
        <v>TCM2014</v>
      </c>
      <c r="D1797">
        <v>3.9669511670549518E-14</v>
      </c>
      <c r="E1797">
        <v>0.2085810463793577</v>
      </c>
      <c r="F1797">
        <v>1.367780311606217</v>
      </c>
      <c r="G1797">
        <v>28.353784577165019</v>
      </c>
      <c r="H1797">
        <v>1.0151743110717131</v>
      </c>
      <c r="I1797">
        <v>0.60511345461779587</v>
      </c>
      <c r="J1797">
        <v>3.5604076396328337E-2</v>
      </c>
      <c r="K1797">
        <v>0.113214550644005</v>
      </c>
      <c r="L1797">
        <v>0.31208562727646288</v>
      </c>
      <c r="M1797">
        <v>23</v>
      </c>
      <c r="N1797">
        <v>1</v>
      </c>
      <c r="O1797">
        <v>0</v>
      </c>
      <c r="P1797">
        <v>0.49239999999999989</v>
      </c>
      <c r="Q1797">
        <v>1.6000000000000001E-3</v>
      </c>
      <c r="R1797">
        <v>0.43219999999999997</v>
      </c>
      <c r="S1797">
        <v>0</v>
      </c>
      <c r="T1797">
        <v>0.43219999999999997</v>
      </c>
      <c r="U1797">
        <v>6</v>
      </c>
      <c r="V1797">
        <v>0</v>
      </c>
      <c r="W1797">
        <v>0.33333333333333331</v>
      </c>
      <c r="X1797">
        <v>0</v>
      </c>
      <c r="Y1797">
        <v>0.498</v>
      </c>
      <c r="Z1797">
        <v>1</v>
      </c>
    </row>
    <row r="1798" spans="1:26" x14ac:dyDescent="0.2">
      <c r="A1798" t="s">
        <v>155</v>
      </c>
      <c r="B1798">
        <v>2015</v>
      </c>
      <c r="C1798" t="str">
        <f t="shared" si="28"/>
        <v>TCM2015</v>
      </c>
      <c r="D1798">
        <v>2.441708297802645E-14</v>
      </c>
      <c r="E1798">
        <v>0.1716427313423721</v>
      </c>
      <c r="F1798">
        <v>1.2457190232032209</v>
      </c>
      <c r="G1798">
        <v>28.551008034861841</v>
      </c>
      <c r="H1798">
        <v>1.008387090055878</v>
      </c>
      <c r="I1798">
        <v>0.64304488910178859</v>
      </c>
      <c r="J1798">
        <v>0.21801618538984591</v>
      </c>
      <c r="K1798">
        <v>-1.449075210266302E-3</v>
      </c>
      <c r="L1798">
        <v>0.33250201532026791</v>
      </c>
      <c r="M1798">
        <v>24</v>
      </c>
      <c r="N1798">
        <v>1</v>
      </c>
      <c r="O1798">
        <v>0</v>
      </c>
      <c r="P1798">
        <v>0.43230000000000002</v>
      </c>
      <c r="Q1798">
        <v>5.0000000000000001E-4</v>
      </c>
      <c r="R1798">
        <v>0.43230000000000002</v>
      </c>
      <c r="S1798">
        <v>0</v>
      </c>
      <c r="T1798">
        <v>0.43230000000000002</v>
      </c>
      <c r="U1798">
        <v>5</v>
      </c>
      <c r="V1798">
        <v>0</v>
      </c>
      <c r="W1798">
        <v>0.4</v>
      </c>
      <c r="X1798">
        <v>0</v>
      </c>
      <c r="Y1798">
        <v>0.51</v>
      </c>
      <c r="Z1798">
        <v>1</v>
      </c>
    </row>
    <row r="1799" spans="1:26" x14ac:dyDescent="0.2">
      <c r="A1799" t="s">
        <v>155</v>
      </c>
      <c r="B1799">
        <v>2016</v>
      </c>
      <c r="C1799" t="str">
        <f t="shared" si="28"/>
        <v>TCM2016</v>
      </c>
      <c r="D1799">
        <v>1.4461827479216249E-14</v>
      </c>
      <c r="E1799">
        <v>0.12564641267360699</v>
      </c>
      <c r="F1799">
        <v>0.92780112673359927</v>
      </c>
      <c r="G1799">
        <v>28.667897540989909</v>
      </c>
      <c r="H1799">
        <v>0.95132471336975366</v>
      </c>
      <c r="I1799">
        <v>0.67537437962071789</v>
      </c>
      <c r="J1799">
        <v>0.12399522824412031</v>
      </c>
      <c r="K1799">
        <v>8.6735322448268717E-2</v>
      </c>
      <c r="L1799">
        <v>0.3578150762507406</v>
      </c>
      <c r="M1799">
        <v>25</v>
      </c>
      <c r="N1799">
        <v>1</v>
      </c>
      <c r="O1799">
        <v>0</v>
      </c>
      <c r="P1799">
        <v>0.43230000000000002</v>
      </c>
      <c r="Q1799">
        <v>5.0000000000000001E-4</v>
      </c>
      <c r="R1799">
        <v>0.43230000000000002</v>
      </c>
      <c r="S1799">
        <v>0</v>
      </c>
      <c r="T1799">
        <v>0.43230000000000002</v>
      </c>
      <c r="U1799">
        <v>7</v>
      </c>
      <c r="V1799">
        <v>0</v>
      </c>
      <c r="W1799">
        <v>0.2857142857142857</v>
      </c>
      <c r="X1799">
        <v>0</v>
      </c>
      <c r="Y1799">
        <v>0.51380000000000003</v>
      </c>
      <c r="Z1799">
        <v>1</v>
      </c>
    </row>
    <row r="1800" spans="1:26" x14ac:dyDescent="0.2">
      <c r="A1800" t="s">
        <v>155</v>
      </c>
      <c r="B1800">
        <v>2017</v>
      </c>
      <c r="C1800" t="str">
        <f t="shared" si="28"/>
        <v>TCM2017</v>
      </c>
      <c r="D1800">
        <v>2.090576132060668E-14</v>
      </c>
      <c r="E1800">
        <v>0.17974321634616189</v>
      </c>
      <c r="F1800">
        <v>1.1318551483214241</v>
      </c>
      <c r="G1800">
        <v>28.741358304144931</v>
      </c>
      <c r="H1800">
        <v>0.89240521666531214</v>
      </c>
      <c r="I1800">
        <v>0.64695766004806066</v>
      </c>
      <c r="J1800">
        <v>7.6226308118623187E-2</v>
      </c>
      <c r="K1800">
        <v>9.6680916427814206E-2</v>
      </c>
      <c r="L1800">
        <v>0.32200030204447128</v>
      </c>
      <c r="M1800">
        <v>26</v>
      </c>
      <c r="N1800">
        <v>1</v>
      </c>
      <c r="O1800">
        <v>0</v>
      </c>
      <c r="P1800">
        <v>0.43240000000000001</v>
      </c>
      <c r="Q1800">
        <v>5.0000000000000001E-4</v>
      </c>
      <c r="R1800">
        <v>0.43240000000000001</v>
      </c>
      <c r="S1800">
        <v>0</v>
      </c>
      <c r="T1800">
        <v>0.43240000000000001</v>
      </c>
      <c r="U1800">
        <v>7</v>
      </c>
      <c r="V1800">
        <v>0</v>
      </c>
      <c r="W1800">
        <v>0.2857142857142857</v>
      </c>
      <c r="X1800">
        <v>0</v>
      </c>
      <c r="Y1800">
        <v>0.52380000000000004</v>
      </c>
      <c r="Z1800">
        <v>1</v>
      </c>
    </row>
    <row r="1801" spans="1:26" x14ac:dyDescent="0.2">
      <c r="A1801" t="s">
        <v>155</v>
      </c>
      <c r="B1801">
        <v>2018</v>
      </c>
      <c r="C1801" t="str">
        <f t="shared" si="28"/>
        <v>TCM2018</v>
      </c>
      <c r="D1801">
        <v>2.4697251800736481E-14</v>
      </c>
      <c r="E1801">
        <v>0.2040394511182082</v>
      </c>
      <c r="F1801">
        <v>0.99032510653272121</v>
      </c>
      <c r="G1801">
        <v>28.808853010123471</v>
      </c>
      <c r="H1801">
        <v>0.98773795166789879</v>
      </c>
      <c r="I1801">
        <v>0.60693861935887161</v>
      </c>
      <c r="J1801">
        <v>6.9824595908535958E-2</v>
      </c>
      <c r="K1801">
        <v>2.135010761738584E-2</v>
      </c>
      <c r="L1801">
        <v>0.29634172635794542</v>
      </c>
      <c r="M1801">
        <v>27</v>
      </c>
      <c r="N1801">
        <v>1</v>
      </c>
      <c r="O1801">
        <v>0</v>
      </c>
      <c r="P1801">
        <v>0.43319999999999997</v>
      </c>
      <c r="Q1801">
        <v>8.9999999999999998E-4</v>
      </c>
      <c r="R1801">
        <v>0.43319999999999997</v>
      </c>
      <c r="S1801">
        <v>0</v>
      </c>
      <c r="T1801">
        <v>0.43319999999999997</v>
      </c>
      <c r="U1801">
        <v>5</v>
      </c>
      <c r="V1801">
        <v>0</v>
      </c>
      <c r="W1801">
        <v>0.2</v>
      </c>
      <c r="X1801">
        <v>1</v>
      </c>
      <c r="Y1801">
        <v>0.53380000000000005</v>
      </c>
      <c r="Z1801">
        <v>1</v>
      </c>
    </row>
    <row r="1802" spans="1:26" x14ac:dyDescent="0.2">
      <c r="A1802" t="s">
        <v>155</v>
      </c>
      <c r="B1802">
        <v>2019</v>
      </c>
      <c r="C1802" t="str">
        <f t="shared" si="28"/>
        <v>TCM2019</v>
      </c>
      <c r="D1802">
        <v>2.5383687732198099E-14</v>
      </c>
      <c r="E1802">
        <v>0.15214513253511491</v>
      </c>
      <c r="F1802">
        <v>0.89281839624728276</v>
      </c>
      <c r="G1802">
        <v>28.70356479360467</v>
      </c>
      <c r="H1802">
        <v>1.1129032892825881</v>
      </c>
      <c r="I1802">
        <v>0.51236322045988525</v>
      </c>
      <c r="J1802">
        <v>-9.9934928422589456E-2</v>
      </c>
      <c r="K1802">
        <v>0.18661830920933431</v>
      </c>
      <c r="L1802">
        <v>0.31487759221900319</v>
      </c>
      <c r="M1802">
        <v>28</v>
      </c>
      <c r="N1802">
        <v>1</v>
      </c>
      <c r="O1802">
        <v>1</v>
      </c>
      <c r="P1802">
        <v>0.4325</v>
      </c>
      <c r="Q1802">
        <v>1.1000000000000001E-3</v>
      </c>
      <c r="R1802">
        <v>0.4325</v>
      </c>
      <c r="S1802">
        <v>0</v>
      </c>
      <c r="T1802">
        <v>0.4325</v>
      </c>
      <c r="U1802">
        <v>8</v>
      </c>
      <c r="V1802">
        <v>0</v>
      </c>
      <c r="W1802">
        <v>0.375</v>
      </c>
      <c r="X1802">
        <v>0</v>
      </c>
      <c r="Y1802">
        <v>0.52429999999999999</v>
      </c>
      <c r="Z1802">
        <v>1</v>
      </c>
    </row>
    <row r="1803" spans="1:26" x14ac:dyDescent="0.2">
      <c r="A1803" t="s">
        <v>155</v>
      </c>
      <c r="B1803">
        <v>2020</v>
      </c>
      <c r="C1803" t="str">
        <f t="shared" si="28"/>
        <v>TCM2020</v>
      </c>
      <c r="D1803">
        <v>3.1180159989071679E-14</v>
      </c>
      <c r="E1803">
        <v>0.16856167060028371</v>
      </c>
      <c r="F1803">
        <v>1.5320466861987041</v>
      </c>
      <c r="G1803">
        <v>28.72174324206091</v>
      </c>
      <c r="H1803">
        <v>1.220155524114477</v>
      </c>
      <c r="I1803">
        <v>0.44942801012258282</v>
      </c>
      <c r="J1803">
        <v>1.8344682213207619E-2</v>
      </c>
      <c r="K1803">
        <v>0.13719995877017241</v>
      </c>
      <c r="L1803">
        <v>0.27402952089110921</v>
      </c>
      <c r="M1803">
        <v>29</v>
      </c>
      <c r="N1803">
        <v>1</v>
      </c>
      <c r="O1803">
        <v>1</v>
      </c>
      <c r="P1803">
        <v>0.57519999999999993</v>
      </c>
      <c r="Q1803">
        <v>2.9999999999999997E-4</v>
      </c>
      <c r="R1803">
        <v>0.43259999999999998</v>
      </c>
      <c r="S1803">
        <v>0</v>
      </c>
      <c r="T1803">
        <v>0.43259999999999998</v>
      </c>
      <c r="U1803">
        <v>8</v>
      </c>
      <c r="V1803">
        <v>0</v>
      </c>
      <c r="W1803">
        <v>0.375</v>
      </c>
      <c r="X1803">
        <v>1</v>
      </c>
      <c r="Y1803">
        <v>0.5383</v>
      </c>
      <c r="Z1803">
        <v>1</v>
      </c>
    </row>
    <row r="1804" spans="1:26" x14ac:dyDescent="0.2">
      <c r="A1804" t="s">
        <v>155</v>
      </c>
      <c r="B1804">
        <v>2021</v>
      </c>
      <c r="C1804" t="str">
        <f t="shared" si="28"/>
        <v>TCM2021</v>
      </c>
      <c r="D1804">
        <v>1.1045515025059051E-14</v>
      </c>
      <c r="E1804">
        <v>8.4082903635540912E-2</v>
      </c>
      <c r="F1804">
        <v>1.8145652945629569</v>
      </c>
      <c r="G1804">
        <v>28.91372856300206</v>
      </c>
      <c r="H1804">
        <v>1.419249231521662</v>
      </c>
      <c r="I1804">
        <v>0.52624802210215615</v>
      </c>
      <c r="J1804">
        <v>0.21165273091261419</v>
      </c>
      <c r="K1804">
        <v>-1.838995236029168E-2</v>
      </c>
      <c r="L1804">
        <v>0.24519686255748191</v>
      </c>
      <c r="M1804">
        <v>30</v>
      </c>
      <c r="N1804">
        <v>1</v>
      </c>
      <c r="O1804">
        <v>0</v>
      </c>
      <c r="P1804">
        <v>0.58949999999999991</v>
      </c>
      <c r="Q1804">
        <v>0.1426</v>
      </c>
      <c r="R1804">
        <v>0.433</v>
      </c>
      <c r="S1804">
        <v>0</v>
      </c>
      <c r="T1804">
        <v>0.433</v>
      </c>
      <c r="U1804">
        <v>8</v>
      </c>
      <c r="V1804">
        <v>0</v>
      </c>
      <c r="W1804">
        <v>0.125</v>
      </c>
      <c r="X1804">
        <v>0</v>
      </c>
      <c r="Y1804">
        <v>0.54200000000000004</v>
      </c>
      <c r="Z1804">
        <v>1</v>
      </c>
    </row>
    <row r="1805" spans="1:26" x14ac:dyDescent="0.2">
      <c r="A1805" t="s">
        <v>155</v>
      </c>
      <c r="B1805">
        <v>2022</v>
      </c>
      <c r="C1805" t="str">
        <f t="shared" si="28"/>
        <v>TCM2022</v>
      </c>
      <c r="D1805">
        <v>2.3248106852548371E-14</v>
      </c>
      <c r="E1805">
        <v>0.14203621902279071</v>
      </c>
      <c r="F1805">
        <v>1.6799744627139639</v>
      </c>
      <c r="G1805">
        <v>28.877210114548099</v>
      </c>
      <c r="H1805">
        <v>1.337905810135688</v>
      </c>
      <c r="I1805">
        <v>0.43088308245714929</v>
      </c>
      <c r="J1805">
        <v>-3.5859693165806727E-2</v>
      </c>
      <c r="K1805">
        <v>7.9666140159805915E-2</v>
      </c>
      <c r="L1805">
        <v>0.260306983578868</v>
      </c>
      <c r="M1805">
        <v>31</v>
      </c>
      <c r="N1805">
        <v>1</v>
      </c>
      <c r="O1805">
        <v>0</v>
      </c>
      <c r="P1805">
        <v>0.61819999999999997</v>
      </c>
      <c r="Q1805">
        <v>0.16969999999999999</v>
      </c>
      <c r="R1805">
        <v>0.4496</v>
      </c>
      <c r="S1805">
        <v>0</v>
      </c>
      <c r="T1805">
        <v>0.4496</v>
      </c>
      <c r="U1805">
        <v>8</v>
      </c>
      <c r="V1805">
        <v>0</v>
      </c>
      <c r="W1805">
        <v>0.125</v>
      </c>
      <c r="X1805">
        <v>1</v>
      </c>
      <c r="Y1805">
        <v>0.55270000000000008</v>
      </c>
      <c r="Z1805">
        <v>1</v>
      </c>
    </row>
    <row r="1806" spans="1:26" x14ac:dyDescent="0.2">
      <c r="A1806" t="s">
        <v>155</v>
      </c>
      <c r="B1806">
        <v>2023</v>
      </c>
      <c r="C1806" t="str">
        <f t="shared" si="28"/>
        <v>TCM2023</v>
      </c>
      <c r="D1806">
        <v>15057655186914.289</v>
      </c>
      <c r="E1806">
        <v>5.1485456777924238E-2</v>
      </c>
      <c r="F1806">
        <v>1.253534907078919</v>
      </c>
      <c r="G1806">
        <v>28.818670734470849</v>
      </c>
      <c r="H1806">
        <v>1.65161948135287</v>
      </c>
      <c r="I1806">
        <v>0.20750656899158379</v>
      </c>
      <c r="J1806">
        <v>-5.6858901300978593E-2</v>
      </c>
      <c r="K1806">
        <v>0.13564165576258139</v>
      </c>
      <c r="L1806">
        <v>0.25049590709253339</v>
      </c>
      <c r="M1806">
        <v>32</v>
      </c>
      <c r="N1806">
        <v>0</v>
      </c>
      <c r="O1806">
        <v>0</v>
      </c>
      <c r="P1806">
        <v>0.61819999999999997</v>
      </c>
      <c r="Q1806">
        <v>0.16969999999999999</v>
      </c>
      <c r="R1806">
        <v>0.4496</v>
      </c>
      <c r="S1806">
        <v>0</v>
      </c>
      <c r="T1806">
        <v>0.4496</v>
      </c>
      <c r="U1806">
        <v>8</v>
      </c>
      <c r="V1806">
        <v>0</v>
      </c>
      <c r="W1806">
        <v>0.125</v>
      </c>
      <c r="X1806">
        <v>1</v>
      </c>
      <c r="Y1806">
        <v>0.55270000000000008</v>
      </c>
      <c r="Z1806">
        <v>1</v>
      </c>
    </row>
    <row r="1807" spans="1:26" x14ac:dyDescent="0.2">
      <c r="A1807" t="s">
        <v>156</v>
      </c>
      <c r="B1807">
        <v>2012</v>
      </c>
      <c r="C1807" t="str">
        <f t="shared" si="28"/>
        <v>TCR2012</v>
      </c>
      <c r="D1807">
        <v>1.302180036559155E-15</v>
      </c>
      <c r="E1807">
        <v>5.3078641212744174E-3</v>
      </c>
      <c r="F1807">
        <v>0.70104661675261959</v>
      </c>
      <c r="G1807">
        <v>28.12919281293842</v>
      </c>
      <c r="H1807">
        <v>1.0992418891420339</v>
      </c>
      <c r="I1807">
        <v>0.58544642728650564</v>
      </c>
      <c r="J1807">
        <v>4.193806610606754E-2</v>
      </c>
      <c r="K1807">
        <v>1.9910715015618251E-3</v>
      </c>
      <c r="L1807">
        <v>0.49904464195188658</v>
      </c>
      <c r="M1807">
        <v>6</v>
      </c>
      <c r="N1807">
        <v>0</v>
      </c>
      <c r="O1807">
        <v>0</v>
      </c>
      <c r="P1807">
        <v>0.29199999999999998</v>
      </c>
      <c r="Q1807">
        <v>0.108</v>
      </c>
      <c r="R1807">
        <v>0.29199999999999998</v>
      </c>
      <c r="S1807">
        <v>0</v>
      </c>
      <c r="T1807">
        <v>0.29199999999999998</v>
      </c>
      <c r="U1807">
        <v>6</v>
      </c>
      <c r="V1807">
        <v>0</v>
      </c>
      <c r="W1807">
        <v>0</v>
      </c>
      <c r="X1807">
        <v>0</v>
      </c>
      <c r="Y1807">
        <v>0.51500000000000001</v>
      </c>
      <c r="Z1807">
        <v>1</v>
      </c>
    </row>
    <row r="1808" spans="1:26" x14ac:dyDescent="0.2">
      <c r="A1808" t="s">
        <v>156</v>
      </c>
      <c r="B1808">
        <v>2013</v>
      </c>
      <c r="C1808" t="str">
        <f t="shared" si="28"/>
        <v>TCR2013</v>
      </c>
      <c r="D1808">
        <v>-2.160269883151826E-14</v>
      </c>
      <c r="E1808">
        <v>-9.9063385696008727E-2</v>
      </c>
      <c r="F1808">
        <v>0.73628003371819495</v>
      </c>
      <c r="G1808">
        <v>28.127518154038409</v>
      </c>
      <c r="H1808">
        <v>1.030066622231979</v>
      </c>
      <c r="I1808">
        <v>0.63056319989730703</v>
      </c>
      <c r="J1808">
        <v>-1.6732574412242629E-3</v>
      </c>
      <c r="K1808">
        <v>2.7730142600995249E-2</v>
      </c>
      <c r="L1808">
        <v>0.4441531344152132</v>
      </c>
      <c r="M1808">
        <v>7</v>
      </c>
      <c r="N1808">
        <v>0</v>
      </c>
      <c r="O1808">
        <v>0</v>
      </c>
      <c r="P1808">
        <v>0.29199999999999998</v>
      </c>
      <c r="Q1808">
        <v>0.108</v>
      </c>
      <c r="R1808">
        <v>0.29199999999999998</v>
      </c>
      <c r="S1808">
        <v>0</v>
      </c>
      <c r="T1808">
        <v>0.29199999999999998</v>
      </c>
      <c r="U1808">
        <v>6</v>
      </c>
      <c r="V1808">
        <v>0</v>
      </c>
      <c r="W1808">
        <v>0</v>
      </c>
      <c r="X1808">
        <v>0</v>
      </c>
      <c r="Y1808">
        <v>0.52500000000000002</v>
      </c>
      <c r="Z1808">
        <v>1</v>
      </c>
    </row>
    <row r="1809" spans="1:26" x14ac:dyDescent="0.2">
      <c r="A1809" t="s">
        <v>156</v>
      </c>
      <c r="B1809">
        <v>2014</v>
      </c>
      <c r="C1809" t="str">
        <f t="shared" si="28"/>
        <v>TCR2014</v>
      </c>
      <c r="D1809">
        <v>7.0879002451676661E-16</v>
      </c>
      <c r="E1809">
        <v>3.23046663677101E-3</v>
      </c>
      <c r="F1809">
        <v>0.8042506679000645</v>
      </c>
      <c r="G1809">
        <v>28.123307010691772</v>
      </c>
      <c r="H1809">
        <v>0.98511209546997613</v>
      </c>
      <c r="I1809">
        <v>0.63003906410498867</v>
      </c>
      <c r="J1809">
        <v>-4.2022889159545329E-3</v>
      </c>
      <c r="K1809">
        <v>4.2822216168137833E-2</v>
      </c>
      <c r="L1809">
        <v>0.39929668096148452</v>
      </c>
      <c r="M1809">
        <v>8</v>
      </c>
      <c r="N1809">
        <v>0</v>
      </c>
      <c r="O1809">
        <v>0</v>
      </c>
      <c r="P1809">
        <v>0.29199999999999998</v>
      </c>
      <c r="Q1809">
        <v>0.108</v>
      </c>
      <c r="R1809">
        <v>0.29199999999999998</v>
      </c>
      <c r="S1809">
        <v>0</v>
      </c>
      <c r="T1809">
        <v>0.29199999999999998</v>
      </c>
      <c r="U1809">
        <v>6</v>
      </c>
      <c r="V1809">
        <v>0</v>
      </c>
      <c r="W1809">
        <v>0</v>
      </c>
      <c r="X1809">
        <v>0</v>
      </c>
      <c r="Y1809">
        <v>0.54799999999999993</v>
      </c>
      <c r="Z1809">
        <v>1</v>
      </c>
    </row>
    <row r="1810" spans="1:26" x14ac:dyDescent="0.2">
      <c r="A1810" t="s">
        <v>156</v>
      </c>
      <c r="B1810">
        <v>2015</v>
      </c>
      <c r="C1810" t="str">
        <f t="shared" si="28"/>
        <v>TCR2015</v>
      </c>
      <c r="D1810">
        <v>1.7165029752047641E-14</v>
      </c>
      <c r="E1810">
        <v>6.3548956871703699E-2</v>
      </c>
      <c r="F1810">
        <v>0.75060258325111484</v>
      </c>
      <c r="G1810">
        <v>28.0697063849613</v>
      </c>
      <c r="H1810">
        <v>0.99355897422525141</v>
      </c>
      <c r="I1810">
        <v>0.58115365888489634</v>
      </c>
      <c r="J1810">
        <v>-5.2189437925057813E-2</v>
      </c>
      <c r="K1810">
        <v>8.3896110534968482E-2</v>
      </c>
      <c r="L1810">
        <v>0.36351751742579202</v>
      </c>
      <c r="M1810">
        <v>9</v>
      </c>
      <c r="N1810">
        <v>0</v>
      </c>
      <c r="O1810">
        <v>0</v>
      </c>
      <c r="P1810">
        <v>0.46060000000000001</v>
      </c>
      <c r="Q1810">
        <v>0.108</v>
      </c>
      <c r="R1810">
        <v>0.46060000000000001</v>
      </c>
      <c r="S1810">
        <v>0</v>
      </c>
      <c r="T1810">
        <v>0.46060000000000001</v>
      </c>
      <c r="U1810">
        <v>6</v>
      </c>
      <c r="V1810">
        <v>0</v>
      </c>
      <c r="W1810">
        <v>0</v>
      </c>
      <c r="X1810">
        <v>0</v>
      </c>
      <c r="Y1810">
        <v>0.54500000000000004</v>
      </c>
      <c r="Z1810">
        <v>1</v>
      </c>
    </row>
    <row r="1811" spans="1:26" x14ac:dyDescent="0.2">
      <c r="A1811" t="s">
        <v>156</v>
      </c>
      <c r="B1811">
        <v>2016</v>
      </c>
      <c r="C1811" t="str">
        <f t="shared" si="28"/>
        <v>TCR2016</v>
      </c>
      <c r="D1811">
        <v>1.7902652236910351E-14</v>
      </c>
      <c r="E1811">
        <v>4.4426206151218103E-2</v>
      </c>
      <c r="F1811">
        <v>0.63527664193386746</v>
      </c>
      <c r="G1811">
        <v>27.88278352308005</v>
      </c>
      <c r="H1811">
        <v>1.0865763751540309</v>
      </c>
      <c r="I1811">
        <v>0.48165707856924272</v>
      </c>
      <c r="J1811">
        <v>-0.1704922794173884</v>
      </c>
      <c r="K1811">
        <v>0.14924727880873589</v>
      </c>
      <c r="L1811">
        <v>0.3715608626093746</v>
      </c>
      <c r="M1811">
        <v>10</v>
      </c>
      <c r="N1811">
        <v>0</v>
      </c>
      <c r="O1811">
        <v>0</v>
      </c>
      <c r="P1811">
        <v>0.44640000000000002</v>
      </c>
      <c r="Q1811">
        <v>0.10979999999999999</v>
      </c>
      <c r="R1811">
        <v>0.44640000000000002</v>
      </c>
      <c r="S1811">
        <v>0</v>
      </c>
      <c r="T1811">
        <v>0.44640000000000002</v>
      </c>
      <c r="U1811">
        <v>6</v>
      </c>
      <c r="V1811">
        <v>0</v>
      </c>
      <c r="W1811">
        <v>0</v>
      </c>
      <c r="X1811">
        <v>0</v>
      </c>
      <c r="Y1811">
        <v>0.55500000000000005</v>
      </c>
      <c r="Z1811">
        <v>1</v>
      </c>
    </row>
    <row r="1812" spans="1:26" x14ac:dyDescent="0.2">
      <c r="A1812" t="s">
        <v>156</v>
      </c>
      <c r="B1812">
        <v>2017</v>
      </c>
      <c r="C1812" t="str">
        <f t="shared" si="28"/>
        <v>TCR2017</v>
      </c>
      <c r="D1812">
        <v>-4.1394456059412908E-14</v>
      </c>
      <c r="E1812">
        <v>-0.1217489103537599</v>
      </c>
      <c r="F1812">
        <v>0.66719983299091667</v>
      </c>
      <c r="G1812">
        <v>27.906161265396939</v>
      </c>
      <c r="H1812">
        <v>1.296424085294795</v>
      </c>
      <c r="I1812">
        <v>0.55231870836382502</v>
      </c>
      <c r="J1812">
        <v>2.3653143634435599E-2</v>
      </c>
      <c r="K1812">
        <v>-8.8406295119644925E-3</v>
      </c>
      <c r="L1812">
        <v>0.32346658999825501</v>
      </c>
      <c r="M1812">
        <v>11</v>
      </c>
      <c r="N1812">
        <v>0</v>
      </c>
      <c r="O1812">
        <v>0</v>
      </c>
      <c r="P1812">
        <v>0.44640000000000002</v>
      </c>
      <c r="Q1812">
        <v>0.10979999999999999</v>
      </c>
      <c r="R1812">
        <v>0.44640000000000002</v>
      </c>
      <c r="S1812">
        <v>0</v>
      </c>
      <c r="T1812">
        <v>0.44640000000000002</v>
      </c>
      <c r="U1812">
        <v>6</v>
      </c>
      <c r="V1812">
        <v>0</v>
      </c>
      <c r="W1812">
        <v>0</v>
      </c>
      <c r="X1812">
        <v>0</v>
      </c>
      <c r="Y1812">
        <v>0.62749999999999995</v>
      </c>
      <c r="Z1812">
        <v>1</v>
      </c>
    </row>
    <row r="1813" spans="1:26" x14ac:dyDescent="0.2">
      <c r="A1813" t="s">
        <v>156</v>
      </c>
      <c r="B1813">
        <v>2018</v>
      </c>
      <c r="C1813" t="str">
        <f t="shared" si="28"/>
        <v>TCR2018</v>
      </c>
      <c r="D1813">
        <v>-6.8849564170545967E-14</v>
      </c>
      <c r="E1813">
        <v>-0.24744384558076449</v>
      </c>
      <c r="F1813">
        <v>0.72052561606607024</v>
      </c>
      <c r="G1813">
        <v>27.89545469813741</v>
      </c>
      <c r="H1813">
        <v>1.194501349848559</v>
      </c>
      <c r="I1813">
        <v>0.63753457642943523</v>
      </c>
      <c r="J1813">
        <v>-1.0649455971961539E-2</v>
      </c>
      <c r="K1813">
        <v>-0.1097688883825766</v>
      </c>
      <c r="L1813">
        <v>0.2701209719366871</v>
      </c>
      <c r="M1813">
        <v>12</v>
      </c>
      <c r="N1813">
        <v>0</v>
      </c>
      <c r="O1813">
        <v>0</v>
      </c>
      <c r="P1813">
        <v>0.44640000000000002</v>
      </c>
      <c r="Q1813">
        <v>0.10979999999999999</v>
      </c>
      <c r="R1813">
        <v>0.44640000000000002</v>
      </c>
      <c r="S1813">
        <v>0</v>
      </c>
      <c r="T1813">
        <v>0.44640000000000002</v>
      </c>
      <c r="U1813">
        <v>6</v>
      </c>
      <c r="V1813">
        <v>0</v>
      </c>
      <c r="W1813">
        <v>0</v>
      </c>
      <c r="X1813">
        <v>0</v>
      </c>
      <c r="Y1813">
        <v>0.61199999999999999</v>
      </c>
      <c r="Z1813">
        <v>1</v>
      </c>
    </row>
    <row r="1814" spans="1:26" x14ac:dyDescent="0.2">
      <c r="A1814" t="s">
        <v>156</v>
      </c>
      <c r="B1814">
        <v>2019</v>
      </c>
      <c r="C1814" t="str">
        <f t="shared" si="28"/>
        <v>TCR2019</v>
      </c>
      <c r="D1814">
        <v>7.9319728029167537E-15</v>
      </c>
      <c r="E1814">
        <v>1.7253046971546771E-2</v>
      </c>
      <c r="F1814">
        <v>0.62846796836186369</v>
      </c>
      <c r="G1814">
        <v>27.64550133002129</v>
      </c>
      <c r="H1814">
        <v>1.192232985839748</v>
      </c>
      <c r="I1814">
        <v>0.53355108326879541</v>
      </c>
      <c r="J1814">
        <v>-0.22116289913413781</v>
      </c>
      <c r="K1814">
        <v>0.1560717875601241</v>
      </c>
      <c r="L1814">
        <v>0.29690224118673259</v>
      </c>
      <c r="M1814">
        <v>13</v>
      </c>
      <c r="N1814">
        <v>0</v>
      </c>
      <c r="O1814">
        <v>1</v>
      </c>
      <c r="P1814">
        <v>0.44640000000000002</v>
      </c>
      <c r="Q1814">
        <v>0.10979999999999999</v>
      </c>
      <c r="R1814">
        <v>0.44640000000000002</v>
      </c>
      <c r="S1814">
        <v>0</v>
      </c>
      <c r="T1814">
        <v>0.44640000000000002</v>
      </c>
      <c r="U1814">
        <v>6</v>
      </c>
      <c r="V1814">
        <v>0</v>
      </c>
      <c r="W1814">
        <v>0</v>
      </c>
      <c r="X1814">
        <v>0</v>
      </c>
      <c r="Y1814">
        <v>0.58200000000000007</v>
      </c>
      <c r="Z1814">
        <v>1</v>
      </c>
    </row>
    <row r="1815" spans="1:26" x14ac:dyDescent="0.2">
      <c r="A1815" t="s">
        <v>156</v>
      </c>
      <c r="B1815">
        <v>2020</v>
      </c>
      <c r="C1815" t="str">
        <f t="shared" si="28"/>
        <v>TCR2020</v>
      </c>
      <c r="D1815">
        <v>-3.6413220110361212E-14</v>
      </c>
      <c r="E1815">
        <v>-6.6907679377481891E-2</v>
      </c>
      <c r="F1815">
        <v>0.67322469289863474</v>
      </c>
      <c r="G1815">
        <v>27.545999680029631</v>
      </c>
      <c r="H1815">
        <v>1.3849949961976209</v>
      </c>
      <c r="I1815">
        <v>0.50012803672188455</v>
      </c>
      <c r="J1815">
        <v>-9.4711543851125915E-2</v>
      </c>
      <c r="K1815">
        <v>3.8846755232151808E-2</v>
      </c>
      <c r="L1815">
        <v>0.26755699854786841</v>
      </c>
      <c r="M1815">
        <v>14</v>
      </c>
      <c r="N1815">
        <v>0</v>
      </c>
      <c r="O1815">
        <v>1</v>
      </c>
      <c r="P1815">
        <v>0.44640000000000002</v>
      </c>
      <c r="Q1815">
        <v>2.8799999999999999E-2</v>
      </c>
      <c r="R1815">
        <v>0.44640000000000002</v>
      </c>
      <c r="S1815">
        <v>0</v>
      </c>
      <c r="T1815">
        <v>0.44640000000000002</v>
      </c>
      <c r="U1815">
        <v>6</v>
      </c>
      <c r="V1815">
        <v>0</v>
      </c>
      <c r="W1815">
        <v>0.1666666666666666</v>
      </c>
      <c r="X1815">
        <v>0</v>
      </c>
      <c r="Y1815">
        <v>0.54569999999999996</v>
      </c>
      <c r="Z1815">
        <v>1</v>
      </c>
    </row>
    <row r="1816" spans="1:26" x14ac:dyDescent="0.2">
      <c r="A1816" t="s">
        <v>156</v>
      </c>
      <c r="B1816">
        <v>2021</v>
      </c>
      <c r="C1816" t="str">
        <f t="shared" si="28"/>
        <v>TCR2021</v>
      </c>
      <c r="D1816">
        <v>1.1042180994020671E-14</v>
      </c>
      <c r="E1816">
        <v>2.2417958175503679E-2</v>
      </c>
      <c r="F1816">
        <v>0.88114155260311222</v>
      </c>
      <c r="G1816">
        <v>27.608090109823049</v>
      </c>
      <c r="H1816">
        <v>1.4088225199086</v>
      </c>
      <c r="I1816">
        <v>0.51860674882430768</v>
      </c>
      <c r="J1816">
        <v>6.405856297350776E-2</v>
      </c>
      <c r="K1816">
        <v>2.6920997096579479E-2</v>
      </c>
      <c r="L1816">
        <v>0.24677085193680101</v>
      </c>
      <c r="M1816">
        <v>15</v>
      </c>
      <c r="N1816">
        <v>0</v>
      </c>
      <c r="O1816">
        <v>0</v>
      </c>
      <c r="P1816">
        <v>0.44640000000000002</v>
      </c>
      <c r="Q1816">
        <v>2.8799999999999999E-2</v>
      </c>
      <c r="R1816">
        <v>0.44640000000000002</v>
      </c>
      <c r="S1816">
        <v>0</v>
      </c>
      <c r="T1816">
        <v>0.44640000000000002</v>
      </c>
      <c r="U1816">
        <v>6</v>
      </c>
      <c r="V1816">
        <v>0</v>
      </c>
      <c r="W1816">
        <v>0</v>
      </c>
      <c r="X1816">
        <v>0</v>
      </c>
      <c r="Y1816">
        <v>0.53129999999999999</v>
      </c>
      <c r="Z1816">
        <v>1</v>
      </c>
    </row>
    <row r="1817" spans="1:26" x14ac:dyDescent="0.2">
      <c r="A1817" t="s">
        <v>156</v>
      </c>
      <c r="B1817">
        <v>2022</v>
      </c>
      <c r="C1817" t="str">
        <f t="shared" si="28"/>
        <v>TCR2022</v>
      </c>
      <c r="D1817">
        <v>1.1051739024644061E-15</v>
      </c>
      <c r="E1817">
        <v>2.097308237392305E-3</v>
      </c>
      <c r="F1817">
        <v>0.66594102901911034</v>
      </c>
      <c r="G1817">
        <v>27.573006960291298</v>
      </c>
      <c r="H1817">
        <v>1.439496843091657</v>
      </c>
      <c r="I1817">
        <v>0.5027519018880956</v>
      </c>
      <c r="J1817">
        <v>-3.4474870042719992E-2</v>
      </c>
      <c r="K1817">
        <v>5.4942137055007403E-2</v>
      </c>
      <c r="L1817">
        <v>0.26657297472002361</v>
      </c>
      <c r="M1817">
        <v>16</v>
      </c>
      <c r="N1817">
        <v>0</v>
      </c>
      <c r="O1817">
        <v>0</v>
      </c>
      <c r="P1817">
        <v>0.73439999999999994</v>
      </c>
      <c r="Q1817">
        <v>2.8799999999999999E-2</v>
      </c>
      <c r="R1817">
        <v>0.73439999999999994</v>
      </c>
      <c r="S1817">
        <v>0</v>
      </c>
      <c r="T1817">
        <v>0.73439999999999994</v>
      </c>
      <c r="U1817">
        <v>6</v>
      </c>
      <c r="V1817">
        <v>0</v>
      </c>
      <c r="W1817">
        <v>0.1666666666666666</v>
      </c>
      <c r="X1817">
        <v>0</v>
      </c>
      <c r="Y1817">
        <v>0.49299999999999999</v>
      </c>
      <c r="Z1817">
        <v>1</v>
      </c>
    </row>
    <row r="1818" spans="1:26" x14ac:dyDescent="0.2">
      <c r="A1818" t="s">
        <v>156</v>
      </c>
      <c r="B1818">
        <v>2023</v>
      </c>
      <c r="C1818" t="str">
        <f t="shared" si="28"/>
        <v>TCR2023</v>
      </c>
      <c r="D1818">
        <v>324345210730.45319</v>
      </c>
      <c r="E1818">
        <v>-1.226308174816052E-2</v>
      </c>
      <c r="F1818">
        <v>0.50471476165072127</v>
      </c>
      <c r="G1818">
        <v>27.55316698854379</v>
      </c>
      <c r="H1818">
        <v>1.451868861667198</v>
      </c>
      <c r="I1818">
        <v>0.34905829290533602</v>
      </c>
      <c r="J1818">
        <v>-1.964445466081954E-2</v>
      </c>
      <c r="K1818">
        <v>-2.4880965981076399E-2</v>
      </c>
      <c r="L1818">
        <v>0.25983061461059698</v>
      </c>
      <c r="M1818">
        <v>17</v>
      </c>
      <c r="N1818">
        <v>0</v>
      </c>
      <c r="O1818">
        <v>0</v>
      </c>
      <c r="P1818">
        <v>0.73439999999999994</v>
      </c>
      <c r="Q1818">
        <v>2.8799999999999999E-2</v>
      </c>
      <c r="R1818">
        <v>0.73439999999999994</v>
      </c>
      <c r="S1818">
        <v>0</v>
      </c>
      <c r="T1818">
        <v>0.73439999999999994</v>
      </c>
      <c r="U1818">
        <v>6</v>
      </c>
      <c r="V1818">
        <v>0</v>
      </c>
      <c r="W1818">
        <v>0.1666666666666666</v>
      </c>
      <c r="X1818">
        <v>0</v>
      </c>
      <c r="Y1818">
        <v>0.49299999999999999</v>
      </c>
      <c r="Z1818">
        <v>1</v>
      </c>
    </row>
    <row r="1819" spans="1:26" x14ac:dyDescent="0.2">
      <c r="A1819" t="s">
        <v>157</v>
      </c>
      <c r="B1819">
        <v>2012</v>
      </c>
      <c r="C1819" t="str">
        <f t="shared" si="28"/>
        <v>TET2012</v>
      </c>
      <c r="D1819">
        <v>1.3602862855291389E-12</v>
      </c>
      <c r="E1819">
        <v>0.1302682505756079</v>
      </c>
      <c r="F1819">
        <v>1.3166150693650209</v>
      </c>
      <c r="G1819">
        <v>25.134618392875801</v>
      </c>
      <c r="H1819">
        <v>2.645475971264633</v>
      </c>
      <c r="I1819">
        <v>0.13976360776170549</v>
      </c>
      <c r="J1819">
        <v>-0.20294869657093931</v>
      </c>
      <c r="K1819">
        <v>0.30693978154601881</v>
      </c>
      <c r="L1819">
        <v>0.7214847968630278</v>
      </c>
      <c r="M1819">
        <v>42</v>
      </c>
      <c r="N1819">
        <v>0</v>
      </c>
      <c r="O1819">
        <v>0</v>
      </c>
      <c r="P1819">
        <v>0.28649999999999998</v>
      </c>
      <c r="Q1819">
        <v>0.18390000000000001</v>
      </c>
      <c r="R1819">
        <v>0</v>
      </c>
      <c r="S1819">
        <v>0.28649999999999998</v>
      </c>
      <c r="T1819">
        <v>0.28649999999999998</v>
      </c>
      <c r="U1819">
        <v>5</v>
      </c>
      <c r="V1819">
        <v>0</v>
      </c>
      <c r="W1819">
        <v>0.2</v>
      </c>
      <c r="X1819">
        <v>1</v>
      </c>
      <c r="Y1819">
        <v>0.57499999999999996</v>
      </c>
      <c r="Z1819">
        <v>0.8</v>
      </c>
    </row>
    <row r="1820" spans="1:26" x14ac:dyDescent="0.2">
      <c r="A1820" t="s">
        <v>157</v>
      </c>
      <c r="B1820">
        <v>2013</v>
      </c>
      <c r="C1820" t="str">
        <f t="shared" si="28"/>
        <v>TET2013</v>
      </c>
      <c r="D1820">
        <v>3.6198669893722899E-13</v>
      </c>
      <c r="E1820">
        <v>4.0703961030606563E-2</v>
      </c>
      <c r="F1820">
        <v>0.90059985926939556</v>
      </c>
      <c r="G1820">
        <v>25.185232589439359</v>
      </c>
      <c r="H1820">
        <v>1.9486842278354519</v>
      </c>
      <c r="I1820">
        <v>0.229338828999504</v>
      </c>
      <c r="J1820">
        <v>5.1916981800784079E-2</v>
      </c>
      <c r="K1820">
        <v>0.1167615842318233</v>
      </c>
      <c r="L1820">
        <v>0.65980901401947334</v>
      </c>
      <c r="M1820">
        <v>43</v>
      </c>
      <c r="N1820">
        <v>0</v>
      </c>
      <c r="O1820">
        <v>0</v>
      </c>
      <c r="P1820">
        <v>0.28649999999999998</v>
      </c>
      <c r="Q1820">
        <v>0.187</v>
      </c>
      <c r="R1820">
        <v>0</v>
      </c>
      <c r="S1820">
        <v>0.28649999999999998</v>
      </c>
      <c r="T1820">
        <v>0.28649999999999998</v>
      </c>
      <c r="U1820">
        <v>5</v>
      </c>
      <c r="V1820">
        <v>0</v>
      </c>
      <c r="W1820">
        <v>0.2</v>
      </c>
      <c r="X1820">
        <v>1</v>
      </c>
      <c r="Y1820">
        <v>0.58499999999999996</v>
      </c>
      <c r="Z1820">
        <v>0.8</v>
      </c>
    </row>
    <row r="1821" spans="1:26" x14ac:dyDescent="0.2">
      <c r="A1821" t="s">
        <v>157</v>
      </c>
      <c r="B1821">
        <v>2014</v>
      </c>
      <c r="C1821" t="str">
        <f t="shared" si="28"/>
        <v>TET2014</v>
      </c>
      <c r="D1821">
        <v>2.2092821414671139E-12</v>
      </c>
      <c r="E1821">
        <v>0.2360477938583925</v>
      </c>
      <c r="F1821">
        <v>1.4258272878284191</v>
      </c>
      <c r="G1821">
        <v>25.20743868820929</v>
      </c>
      <c r="H1821">
        <v>1.4145912490447561</v>
      </c>
      <c r="I1821">
        <v>0.17071700228811951</v>
      </c>
      <c r="J1821">
        <v>2.2454489369252869E-2</v>
      </c>
      <c r="K1821">
        <v>-5.5323498294107942E-3</v>
      </c>
      <c r="L1821">
        <v>0.62172094480694939</v>
      </c>
      <c r="M1821">
        <v>44</v>
      </c>
      <c r="N1821">
        <v>0</v>
      </c>
      <c r="O1821">
        <v>0</v>
      </c>
      <c r="P1821">
        <v>0.28649999999999998</v>
      </c>
      <c r="Q1821">
        <v>0.16</v>
      </c>
      <c r="R1821">
        <v>0</v>
      </c>
      <c r="S1821">
        <v>0.28649999999999998</v>
      </c>
      <c r="T1821">
        <v>0.28649999999999998</v>
      </c>
      <c r="U1821">
        <v>5</v>
      </c>
      <c r="V1821">
        <v>0</v>
      </c>
      <c r="W1821">
        <v>0.2</v>
      </c>
      <c r="X1821">
        <v>1</v>
      </c>
      <c r="Y1821">
        <v>0.59499999999999997</v>
      </c>
      <c r="Z1821">
        <v>0.8</v>
      </c>
    </row>
    <row r="1822" spans="1:26" x14ac:dyDescent="0.2">
      <c r="A1822" t="s">
        <v>157</v>
      </c>
      <c r="B1822">
        <v>2015</v>
      </c>
      <c r="C1822" t="str">
        <f t="shared" si="28"/>
        <v>TET2015</v>
      </c>
      <c r="D1822">
        <v>2.1366312789521198E-12</v>
      </c>
      <c r="E1822">
        <v>0.18721923535592819</v>
      </c>
      <c r="F1822">
        <v>1.4689223876662629</v>
      </c>
      <c r="G1822">
        <v>25.105747241784169</v>
      </c>
      <c r="H1822">
        <v>1.396563290093954</v>
      </c>
      <c r="I1822">
        <v>8.6588224965974472E-2</v>
      </c>
      <c r="J1822">
        <v>-9.6691772343717522E-2</v>
      </c>
      <c r="K1822">
        <v>0.1208855899630165</v>
      </c>
      <c r="L1822">
        <v>0.65170190164301911</v>
      </c>
      <c r="M1822">
        <v>45</v>
      </c>
      <c r="N1822">
        <v>0</v>
      </c>
      <c r="O1822">
        <v>0</v>
      </c>
      <c r="P1822">
        <v>0.28649999999999998</v>
      </c>
      <c r="Q1822">
        <v>0.1883</v>
      </c>
      <c r="R1822">
        <v>0</v>
      </c>
      <c r="S1822">
        <v>0.28649999999999998</v>
      </c>
      <c r="T1822">
        <v>0.28649999999999998</v>
      </c>
      <c r="U1822">
        <v>5</v>
      </c>
      <c r="V1822">
        <v>0</v>
      </c>
      <c r="W1822">
        <v>0.4</v>
      </c>
      <c r="X1822">
        <v>0</v>
      </c>
      <c r="Y1822">
        <v>0.62</v>
      </c>
      <c r="Z1822">
        <v>1</v>
      </c>
    </row>
    <row r="1823" spans="1:26" x14ac:dyDescent="0.2">
      <c r="A1823" t="s">
        <v>157</v>
      </c>
      <c r="B1823">
        <v>2016</v>
      </c>
      <c r="C1823" t="str">
        <f t="shared" si="28"/>
        <v>TET2016</v>
      </c>
      <c r="D1823">
        <v>6.4875264642376313E-13</v>
      </c>
      <c r="E1823">
        <v>5.2886870622284567E-2</v>
      </c>
      <c r="F1823">
        <v>2.450305556528058</v>
      </c>
      <c r="G1823">
        <v>25.03676007369733</v>
      </c>
      <c r="H1823">
        <v>2.75318837697619</v>
      </c>
      <c r="I1823">
        <v>8.3657104378406191E-2</v>
      </c>
      <c r="J1823">
        <v>-6.6661343478044532E-2</v>
      </c>
      <c r="K1823">
        <v>-6.1546508424949577E-3</v>
      </c>
      <c r="L1823">
        <v>0.74288970616208261</v>
      </c>
      <c r="M1823">
        <v>46</v>
      </c>
      <c r="N1823">
        <v>0</v>
      </c>
      <c r="O1823">
        <v>0</v>
      </c>
      <c r="P1823">
        <v>0.80819999999999992</v>
      </c>
      <c r="Q1823">
        <v>4.41E-2</v>
      </c>
      <c r="R1823">
        <v>0</v>
      </c>
      <c r="S1823">
        <v>0</v>
      </c>
      <c r="T1823">
        <v>0.7</v>
      </c>
      <c r="U1823">
        <v>5</v>
      </c>
      <c r="V1823">
        <v>0</v>
      </c>
      <c r="W1823">
        <v>0.4</v>
      </c>
      <c r="X1823">
        <v>0</v>
      </c>
      <c r="Y1823">
        <v>0.4929</v>
      </c>
      <c r="Z1823">
        <v>1</v>
      </c>
    </row>
    <row r="1824" spans="1:26" x14ac:dyDescent="0.2">
      <c r="A1824" t="s">
        <v>157</v>
      </c>
      <c r="B1824">
        <v>2017</v>
      </c>
      <c r="C1824" t="str">
        <f t="shared" si="28"/>
        <v>TET2017</v>
      </c>
      <c r="D1824">
        <v>2.4282852943523311E-12</v>
      </c>
      <c r="E1824">
        <v>0.23290086005735861</v>
      </c>
      <c r="F1824">
        <v>1.9028157050002259</v>
      </c>
      <c r="G1824">
        <v>25.24421113147833</v>
      </c>
      <c r="H1824">
        <v>2.850159878702561</v>
      </c>
      <c r="I1824">
        <v>4.1592481765093788E-2</v>
      </c>
      <c r="J1824">
        <v>0.23053749013095781</v>
      </c>
      <c r="K1824">
        <v>0.29166031880818571</v>
      </c>
      <c r="L1824">
        <v>0.53127619469740661</v>
      </c>
      <c r="M1824">
        <v>47</v>
      </c>
      <c r="N1824">
        <v>0</v>
      </c>
      <c r="O1824">
        <v>0</v>
      </c>
      <c r="P1824">
        <v>0.80819999999999992</v>
      </c>
      <c r="Q1824">
        <v>0.1082</v>
      </c>
      <c r="R1824">
        <v>0</v>
      </c>
      <c r="S1824">
        <v>0</v>
      </c>
      <c r="T1824">
        <v>0.7</v>
      </c>
      <c r="U1824">
        <v>5</v>
      </c>
      <c r="V1824">
        <v>0</v>
      </c>
      <c r="W1824">
        <v>0.4</v>
      </c>
      <c r="X1824">
        <v>0</v>
      </c>
      <c r="Y1824">
        <v>0.43290000000000001</v>
      </c>
      <c r="Z1824">
        <v>1</v>
      </c>
    </row>
    <row r="1825" spans="1:26" x14ac:dyDescent="0.2">
      <c r="A1825" t="s">
        <v>157</v>
      </c>
      <c r="B1825">
        <v>2018</v>
      </c>
      <c r="C1825" t="str">
        <f t="shared" si="28"/>
        <v>TET2018</v>
      </c>
      <c r="D1825">
        <v>1.5450451747288391E-12</v>
      </c>
      <c r="E1825">
        <v>0.1737618876991352</v>
      </c>
      <c r="F1825">
        <v>1.968338358987922</v>
      </c>
      <c r="G1825">
        <v>25.376876655443908</v>
      </c>
      <c r="H1825">
        <v>9.865905268209616</v>
      </c>
      <c r="I1825">
        <v>6.6693790155686869E-2</v>
      </c>
      <c r="J1825">
        <v>0.14186800696817639</v>
      </c>
      <c r="K1825">
        <v>0.24441627816539141</v>
      </c>
      <c r="L1825">
        <v>0.43744466148760358</v>
      </c>
      <c r="M1825">
        <v>48</v>
      </c>
      <c r="N1825">
        <v>0</v>
      </c>
      <c r="O1825">
        <v>0</v>
      </c>
      <c r="P1825">
        <v>0.80819999999999992</v>
      </c>
      <c r="Q1825">
        <v>0.1082</v>
      </c>
      <c r="R1825">
        <v>0</v>
      </c>
      <c r="S1825">
        <v>0</v>
      </c>
      <c r="T1825">
        <v>0.7</v>
      </c>
      <c r="U1825">
        <v>6</v>
      </c>
      <c r="V1825">
        <v>0</v>
      </c>
      <c r="W1825">
        <v>0.5</v>
      </c>
      <c r="X1825">
        <v>1</v>
      </c>
      <c r="Y1825">
        <v>0.46200000000000002</v>
      </c>
      <c r="Z1825">
        <v>1</v>
      </c>
    </row>
    <row r="1826" spans="1:26" x14ac:dyDescent="0.2">
      <c r="A1826" t="s">
        <v>157</v>
      </c>
      <c r="B1826">
        <v>2019</v>
      </c>
      <c r="C1826" t="str">
        <f t="shared" si="28"/>
        <v>TET2019</v>
      </c>
      <c r="D1826">
        <v>6.6497281563051627E-13</v>
      </c>
      <c r="E1826">
        <v>7.0935805791771167E-2</v>
      </c>
      <c r="F1826">
        <v>1.780226265213428</v>
      </c>
      <c r="G1826">
        <v>25.330178239393661</v>
      </c>
      <c r="H1826">
        <v>6.2974116622607079</v>
      </c>
      <c r="I1826">
        <v>6.093637117680601E-2</v>
      </c>
      <c r="J1826">
        <v>-4.5624821570995448E-2</v>
      </c>
      <c r="K1826">
        <v>5.9857531197836739E-2</v>
      </c>
      <c r="L1826">
        <v>0.42987154863514071</v>
      </c>
      <c r="M1826">
        <v>49</v>
      </c>
      <c r="N1826">
        <v>0</v>
      </c>
      <c r="O1826">
        <v>1</v>
      </c>
      <c r="P1826">
        <v>0.80819999999999992</v>
      </c>
      <c r="Q1826">
        <v>0.1082</v>
      </c>
      <c r="R1826">
        <v>0</v>
      </c>
      <c r="S1826">
        <v>0</v>
      </c>
      <c r="T1826">
        <v>0.7</v>
      </c>
      <c r="U1826">
        <v>5</v>
      </c>
      <c r="V1826">
        <v>0</v>
      </c>
      <c r="W1826">
        <v>0.6</v>
      </c>
      <c r="X1826">
        <v>1</v>
      </c>
      <c r="Y1826">
        <v>0.4456</v>
      </c>
      <c r="Z1826">
        <v>1</v>
      </c>
    </row>
    <row r="1827" spans="1:26" x14ac:dyDescent="0.2">
      <c r="A1827" t="s">
        <v>157</v>
      </c>
      <c r="B1827">
        <v>2020</v>
      </c>
      <c r="C1827" t="str">
        <f t="shared" si="28"/>
        <v>TET2020</v>
      </c>
      <c r="D1827">
        <v>7.4602919967998414E-13</v>
      </c>
      <c r="E1827">
        <v>8.4534279686237418E-2</v>
      </c>
      <c r="F1827">
        <v>1.660446071796825</v>
      </c>
      <c r="G1827">
        <v>25.39171806154091</v>
      </c>
      <c r="H1827">
        <v>5.0291439917732799</v>
      </c>
      <c r="I1827">
        <v>5.9830820900281259E-2</v>
      </c>
      <c r="J1827">
        <v>6.34728454578255E-2</v>
      </c>
      <c r="K1827">
        <v>0.11905538847909</v>
      </c>
      <c r="L1827">
        <v>0.37880131468140188</v>
      </c>
      <c r="M1827">
        <v>50</v>
      </c>
      <c r="N1827">
        <v>0</v>
      </c>
      <c r="O1827">
        <v>1</v>
      </c>
      <c r="P1827">
        <v>0.80819999999999992</v>
      </c>
      <c r="Q1827">
        <v>4.9699999999999987E-2</v>
      </c>
      <c r="R1827">
        <v>0</v>
      </c>
      <c r="S1827">
        <v>0</v>
      </c>
      <c r="T1827">
        <v>0.7</v>
      </c>
      <c r="U1827">
        <v>5</v>
      </c>
      <c r="V1827">
        <v>0</v>
      </c>
      <c r="W1827">
        <v>0.4</v>
      </c>
      <c r="X1827">
        <v>1</v>
      </c>
      <c r="Y1827">
        <v>0.44299999999999989</v>
      </c>
      <c r="Z1827">
        <v>1</v>
      </c>
    </row>
    <row r="1828" spans="1:26" x14ac:dyDescent="0.2">
      <c r="A1828" t="s">
        <v>157</v>
      </c>
      <c r="B1828">
        <v>2021</v>
      </c>
      <c r="C1828" t="str">
        <f t="shared" si="28"/>
        <v>TET2021</v>
      </c>
      <c r="D1828">
        <v>9.2338987454483649E-13</v>
      </c>
      <c r="E1828">
        <v>0.1074669731411293</v>
      </c>
      <c r="F1828">
        <v>1.668873438575708</v>
      </c>
      <c r="G1828">
        <v>25.431156397927051</v>
      </c>
      <c r="H1828">
        <v>10.382586699820431</v>
      </c>
      <c r="I1828">
        <v>4.7815773007154512E-2</v>
      </c>
      <c r="J1828">
        <v>4.022635279110065E-2</v>
      </c>
      <c r="K1828">
        <v>9.1359686277771843E-2</v>
      </c>
      <c r="L1828">
        <v>0.3404212666584005</v>
      </c>
      <c r="M1828">
        <v>51</v>
      </c>
      <c r="N1828">
        <v>0</v>
      </c>
      <c r="O1828">
        <v>0</v>
      </c>
      <c r="P1828">
        <v>0.90710000000000013</v>
      </c>
      <c r="Q1828">
        <v>9.8900000000000002E-2</v>
      </c>
      <c r="R1828">
        <v>0</v>
      </c>
      <c r="S1828">
        <v>0</v>
      </c>
      <c r="T1828">
        <v>0.7</v>
      </c>
      <c r="U1828">
        <v>5</v>
      </c>
      <c r="V1828">
        <v>0</v>
      </c>
      <c r="W1828">
        <v>0.4</v>
      </c>
      <c r="X1828">
        <v>1</v>
      </c>
      <c r="Y1828">
        <v>0.45300000000000001</v>
      </c>
      <c r="Z1828">
        <v>1</v>
      </c>
    </row>
    <row r="1829" spans="1:26" x14ac:dyDescent="0.2">
      <c r="A1829" t="s">
        <v>157</v>
      </c>
      <c r="B1829">
        <v>2022</v>
      </c>
      <c r="C1829" t="str">
        <f t="shared" si="28"/>
        <v>TET2022</v>
      </c>
      <c r="D1829">
        <v>7.4399057488651184E-13</v>
      </c>
      <c r="E1829">
        <v>8.950483567333041E-2</v>
      </c>
      <c r="F1829">
        <v>1.557028803449827</v>
      </c>
      <c r="G1829">
        <v>25.463993344048081</v>
      </c>
      <c r="H1829">
        <v>13.794166482321829</v>
      </c>
      <c r="I1829">
        <v>4.8096922746857319E-2</v>
      </c>
      <c r="J1829">
        <v>3.3382028555307031E-2</v>
      </c>
      <c r="K1829">
        <v>9.1964620876652761E-2</v>
      </c>
      <c r="L1829">
        <v>0.30671878671164998</v>
      </c>
      <c r="M1829">
        <v>52</v>
      </c>
      <c r="N1829">
        <v>0</v>
      </c>
      <c r="O1829">
        <v>0</v>
      </c>
      <c r="P1829">
        <v>0.90710000000000013</v>
      </c>
      <c r="Q1829">
        <v>9.8900000000000002E-2</v>
      </c>
      <c r="R1829">
        <v>0</v>
      </c>
      <c r="S1829">
        <v>0</v>
      </c>
      <c r="T1829">
        <v>0.7</v>
      </c>
      <c r="U1829">
        <v>5</v>
      </c>
      <c r="V1829">
        <v>0</v>
      </c>
      <c r="W1829">
        <v>0.4</v>
      </c>
      <c r="X1829">
        <v>0</v>
      </c>
      <c r="Y1829">
        <v>0.46300000000000002</v>
      </c>
      <c r="Z1829">
        <v>1</v>
      </c>
    </row>
    <row r="1830" spans="1:26" x14ac:dyDescent="0.2">
      <c r="A1830" t="s">
        <v>157</v>
      </c>
      <c r="B1830">
        <v>2023</v>
      </c>
      <c r="C1830" t="str">
        <f t="shared" si="28"/>
        <v>TET2023</v>
      </c>
      <c r="D1830">
        <v>202215928602.64459</v>
      </c>
      <c r="E1830">
        <v>8.950483567333041E-2</v>
      </c>
      <c r="F1830">
        <v>1.557028803449827</v>
      </c>
      <c r="G1830">
        <v>25.51688359990013</v>
      </c>
      <c r="H1830">
        <v>14.414253006106289</v>
      </c>
      <c r="I1830">
        <v>4.8096922746857319E-2</v>
      </c>
      <c r="J1830">
        <v>5.431393398579365E-2</v>
      </c>
      <c r="K1830">
        <v>3.3235828264407519E-2</v>
      </c>
      <c r="L1830">
        <v>0.26945879966745567</v>
      </c>
      <c r="M1830">
        <v>53</v>
      </c>
      <c r="N1830">
        <v>0</v>
      </c>
      <c r="O1830">
        <v>0</v>
      </c>
      <c r="P1830">
        <v>0.90710000000000013</v>
      </c>
      <c r="Q1830">
        <v>9.8900000000000002E-2</v>
      </c>
      <c r="R1830">
        <v>0</v>
      </c>
      <c r="S1830">
        <v>0</v>
      </c>
      <c r="T1830">
        <v>0.7</v>
      </c>
      <c r="U1830">
        <v>5</v>
      </c>
      <c r="V1830">
        <v>0</v>
      </c>
      <c r="W1830">
        <v>0.4</v>
      </c>
      <c r="X1830">
        <v>0</v>
      </c>
      <c r="Y1830">
        <v>0.46300000000000002</v>
      </c>
      <c r="Z1830">
        <v>1</v>
      </c>
    </row>
    <row r="1831" spans="1:26" x14ac:dyDescent="0.2">
      <c r="A1831" t="s">
        <v>158</v>
      </c>
      <c r="B1831">
        <v>2012</v>
      </c>
      <c r="C1831" t="str">
        <f t="shared" si="28"/>
        <v>THB2012</v>
      </c>
      <c r="D1831">
        <v>3.136820379294901E-13</v>
      </c>
      <c r="E1831">
        <v>0.134865091863061</v>
      </c>
      <c r="F1831">
        <v>0.78815651243808227</v>
      </c>
      <c r="G1831">
        <v>26.431530485012161</v>
      </c>
      <c r="H1831">
        <v>0.87503644450520734</v>
      </c>
      <c r="I1831">
        <v>0.29909697202706381</v>
      </c>
      <c r="J1831">
        <v>-9.7719740335255878E-3</v>
      </c>
      <c r="K1831">
        <v>0.21729153934189199</v>
      </c>
      <c r="L1831">
        <v>0.59631938992209288</v>
      </c>
      <c r="M1831">
        <v>16</v>
      </c>
      <c r="N1831">
        <v>1</v>
      </c>
      <c r="O1831">
        <v>0</v>
      </c>
      <c r="P1831">
        <v>0.61130000000000007</v>
      </c>
      <c r="Q1831">
        <v>6.9199999999999998E-2</v>
      </c>
      <c r="R1831">
        <v>0</v>
      </c>
      <c r="S1831">
        <v>0.55000000000000004</v>
      </c>
      <c r="T1831">
        <v>0.55000000000000004</v>
      </c>
      <c r="U1831">
        <v>5</v>
      </c>
      <c r="V1831">
        <v>1</v>
      </c>
      <c r="W1831">
        <v>0</v>
      </c>
      <c r="X1831">
        <v>1</v>
      </c>
      <c r="Y1831">
        <v>0.51450000000000007</v>
      </c>
      <c r="Z1831">
        <v>1</v>
      </c>
    </row>
    <row r="1832" spans="1:26" x14ac:dyDescent="0.2">
      <c r="A1832" t="s">
        <v>158</v>
      </c>
      <c r="B1832">
        <v>2013</v>
      </c>
      <c r="C1832" t="str">
        <f t="shared" si="28"/>
        <v>THB2013</v>
      </c>
      <c r="D1832">
        <v>2.8260433075291928E-13</v>
      </c>
      <c r="E1832">
        <v>0.14734457449248761</v>
      </c>
      <c r="F1832">
        <v>0.92726653012471416</v>
      </c>
      <c r="G1832">
        <v>26.561866330885039</v>
      </c>
      <c r="H1832">
        <v>1.2631267857236741</v>
      </c>
      <c r="I1832">
        <v>0.34155934160740042</v>
      </c>
      <c r="J1832">
        <v>0.13921091836989971</v>
      </c>
      <c r="K1832">
        <v>0.27858058456855939</v>
      </c>
      <c r="L1832">
        <v>0.48409946042988211</v>
      </c>
      <c r="M1832">
        <v>17</v>
      </c>
      <c r="N1832">
        <v>0</v>
      </c>
      <c r="O1832">
        <v>0</v>
      </c>
      <c r="P1832">
        <v>0.55000000000000004</v>
      </c>
      <c r="Q1832">
        <v>8.0000000000000002E-3</v>
      </c>
      <c r="R1832">
        <v>0</v>
      </c>
      <c r="S1832">
        <v>0.55000000000000004</v>
      </c>
      <c r="T1832">
        <v>0.55000000000000004</v>
      </c>
      <c r="U1832">
        <v>5</v>
      </c>
      <c r="V1832">
        <v>1</v>
      </c>
      <c r="W1832">
        <v>0</v>
      </c>
      <c r="X1832">
        <v>1</v>
      </c>
      <c r="Y1832">
        <v>0.51549999999999996</v>
      </c>
      <c r="Z1832">
        <v>1</v>
      </c>
    </row>
    <row r="1833" spans="1:26" x14ac:dyDescent="0.2">
      <c r="A1833" t="s">
        <v>158</v>
      </c>
      <c r="B1833">
        <v>2014</v>
      </c>
      <c r="C1833" t="str">
        <f t="shared" si="28"/>
        <v>THB2014</v>
      </c>
      <c r="D1833">
        <v>2.1259088689625611E-13</v>
      </c>
      <c r="E1833">
        <v>0.12453901821629169</v>
      </c>
      <c r="F1833">
        <v>1.272728692318293</v>
      </c>
      <c r="G1833">
        <v>26.64696953860177</v>
      </c>
      <c r="H1833">
        <v>1.4773602913065891</v>
      </c>
      <c r="I1833">
        <v>0.36192601824286302</v>
      </c>
      <c r="J1833">
        <v>9.0789031724929567E-2</v>
      </c>
      <c r="K1833">
        <v>0.17117026232827501</v>
      </c>
      <c r="L1833">
        <v>0.38806257444066511</v>
      </c>
      <c r="M1833">
        <v>18</v>
      </c>
      <c r="N1833">
        <v>0</v>
      </c>
      <c r="O1833">
        <v>0</v>
      </c>
      <c r="P1833">
        <v>0.61</v>
      </c>
      <c r="Q1833">
        <v>6.7099999999999993E-2</v>
      </c>
      <c r="R1833">
        <v>0</v>
      </c>
      <c r="S1833">
        <v>0.55000000000000004</v>
      </c>
      <c r="T1833">
        <v>0.55000000000000004</v>
      </c>
      <c r="U1833">
        <v>5</v>
      </c>
      <c r="V1833">
        <v>0</v>
      </c>
      <c r="W1833">
        <v>0.2</v>
      </c>
      <c r="X1833">
        <v>1</v>
      </c>
      <c r="Y1833">
        <v>0.49580000000000002</v>
      </c>
      <c r="Z1833">
        <v>1</v>
      </c>
    </row>
    <row r="1834" spans="1:26" x14ac:dyDescent="0.2">
      <c r="A1834" t="s">
        <v>158</v>
      </c>
      <c r="B1834">
        <v>2015</v>
      </c>
      <c r="C1834" t="str">
        <f t="shared" si="28"/>
        <v>THB2015</v>
      </c>
      <c r="D1834">
        <v>1.131719562318904E-13</v>
      </c>
      <c r="E1834">
        <v>6.6915030456843674E-2</v>
      </c>
      <c r="F1834">
        <v>1.298881893250361</v>
      </c>
      <c r="G1834">
        <v>26.6134582927466</v>
      </c>
      <c r="H1834">
        <v>1.655695402690857</v>
      </c>
      <c r="I1834">
        <v>0.38864534429861908</v>
      </c>
      <c r="J1834">
        <v>-3.4693252232047778E-2</v>
      </c>
      <c r="K1834">
        <v>-5.6141370943280727E-2</v>
      </c>
      <c r="L1834">
        <v>0.35178796972929371</v>
      </c>
      <c r="M1834">
        <v>19</v>
      </c>
      <c r="N1834">
        <v>0</v>
      </c>
      <c r="O1834">
        <v>0</v>
      </c>
      <c r="P1834">
        <v>0.61140000000000005</v>
      </c>
      <c r="Q1834">
        <v>6.7099999999999993E-2</v>
      </c>
      <c r="R1834">
        <v>0</v>
      </c>
      <c r="S1834">
        <v>0.55000000000000004</v>
      </c>
      <c r="T1834">
        <v>0.55000000000000004</v>
      </c>
      <c r="U1834">
        <v>5</v>
      </c>
      <c r="V1834">
        <v>0</v>
      </c>
      <c r="W1834">
        <v>0.2</v>
      </c>
      <c r="X1834">
        <v>1</v>
      </c>
      <c r="Y1834">
        <v>0.49830000000000002</v>
      </c>
      <c r="Z1834">
        <v>1</v>
      </c>
    </row>
    <row r="1835" spans="1:26" x14ac:dyDescent="0.2">
      <c r="A1835" t="s">
        <v>158</v>
      </c>
      <c r="B1835">
        <v>2016</v>
      </c>
      <c r="C1835" t="str">
        <f t="shared" si="28"/>
        <v>THB2016</v>
      </c>
      <c r="D1835">
        <v>1.007277651419514E-13</v>
      </c>
      <c r="E1835">
        <v>5.4468346728700927E-2</v>
      </c>
      <c r="F1835">
        <v>0.97212950713558444</v>
      </c>
      <c r="G1835">
        <v>26.56614952343617</v>
      </c>
      <c r="H1835">
        <v>1.5364003531095889</v>
      </c>
      <c r="I1835">
        <v>0.36241638411393912</v>
      </c>
      <c r="J1835">
        <v>-4.4788214244130833E-2</v>
      </c>
      <c r="K1835">
        <v>2.2213742308045601E-2</v>
      </c>
      <c r="L1835">
        <v>0.32614492806802858</v>
      </c>
      <c r="M1835">
        <v>20</v>
      </c>
      <c r="N1835">
        <v>0</v>
      </c>
      <c r="O1835">
        <v>0</v>
      </c>
      <c r="P1835">
        <v>0.61</v>
      </c>
      <c r="Q1835">
        <v>0.61719999999999997</v>
      </c>
      <c r="R1835">
        <v>0</v>
      </c>
      <c r="S1835">
        <v>0.55000000000000004</v>
      </c>
      <c r="T1835">
        <v>0.55000000000000004</v>
      </c>
      <c r="U1835">
        <v>5</v>
      </c>
      <c r="V1835">
        <v>0</v>
      </c>
      <c r="W1835">
        <v>0.2</v>
      </c>
      <c r="X1835">
        <v>1</v>
      </c>
      <c r="Y1835">
        <v>0.50249999999999995</v>
      </c>
      <c r="Z1835">
        <v>1</v>
      </c>
    </row>
    <row r="1836" spans="1:26" x14ac:dyDescent="0.2">
      <c r="A1836" t="s">
        <v>158</v>
      </c>
      <c r="B1836">
        <v>2017</v>
      </c>
      <c r="C1836" t="str">
        <f t="shared" si="28"/>
        <v>THB2017</v>
      </c>
      <c r="D1836">
        <v>9.2856093642840667E-14</v>
      </c>
      <c r="E1836">
        <v>6.2335764031485157E-2</v>
      </c>
      <c r="F1836">
        <v>1.1995750229003961</v>
      </c>
      <c r="G1836">
        <v>26.508609107200439</v>
      </c>
      <c r="H1836">
        <v>1.055450663983911</v>
      </c>
      <c r="I1836">
        <v>0.51514064353655442</v>
      </c>
      <c r="J1836">
        <v>-5.7318671937946701E-2</v>
      </c>
      <c r="K1836">
        <v>2.4127314762021779E-2</v>
      </c>
      <c r="L1836">
        <v>0.33831294661959399</v>
      </c>
      <c r="M1836">
        <v>21</v>
      </c>
      <c r="N1836">
        <v>0</v>
      </c>
      <c r="O1836">
        <v>0</v>
      </c>
      <c r="P1836">
        <v>0.69840000000000002</v>
      </c>
      <c r="Q1836">
        <v>6.2600000000000003E-2</v>
      </c>
      <c r="R1836">
        <v>8.6999999999999994E-2</v>
      </c>
      <c r="S1836">
        <v>0.55000000000000004</v>
      </c>
      <c r="T1836">
        <v>0.63700000000000001</v>
      </c>
      <c r="U1836">
        <v>5</v>
      </c>
      <c r="V1836">
        <v>0</v>
      </c>
      <c r="W1836">
        <v>0.2</v>
      </c>
      <c r="X1836">
        <v>0</v>
      </c>
      <c r="Y1836">
        <v>0.47399999999999998</v>
      </c>
      <c r="Z1836">
        <v>1</v>
      </c>
    </row>
    <row r="1837" spans="1:26" x14ac:dyDescent="0.2">
      <c r="A1837" t="s">
        <v>158</v>
      </c>
      <c r="B1837">
        <v>2018</v>
      </c>
      <c r="C1837" t="str">
        <f t="shared" si="28"/>
        <v>THB2018</v>
      </c>
      <c r="D1837">
        <v>4.8868963513873159E-14</v>
      </c>
      <c r="E1837">
        <v>3.8320340142809987E-2</v>
      </c>
      <c r="F1837">
        <v>0.92114041819888981</v>
      </c>
      <c r="G1837">
        <v>26.566610436531541</v>
      </c>
      <c r="H1837">
        <v>1.0597340515404849</v>
      </c>
      <c r="I1837">
        <v>0.56011810424017638</v>
      </c>
      <c r="J1837">
        <v>5.9716404423325598E-2</v>
      </c>
      <c r="K1837">
        <v>8.1928581869457492E-2</v>
      </c>
      <c r="L1837">
        <v>0.27004973346601269</v>
      </c>
      <c r="M1837">
        <v>22</v>
      </c>
      <c r="N1837">
        <v>0</v>
      </c>
      <c r="O1837">
        <v>0</v>
      </c>
      <c r="P1837">
        <v>0.71640000000000004</v>
      </c>
      <c r="Q1837">
        <v>6.2699999999999992E-2</v>
      </c>
      <c r="R1837">
        <v>0.105</v>
      </c>
      <c r="S1837">
        <v>0.55000000000000004</v>
      </c>
      <c r="T1837">
        <v>0.65500000000000003</v>
      </c>
      <c r="U1837">
        <v>5</v>
      </c>
      <c r="V1837">
        <v>0</v>
      </c>
      <c r="W1837">
        <v>0.2</v>
      </c>
      <c r="X1837">
        <v>0</v>
      </c>
      <c r="Y1837">
        <v>0.48899999999999999</v>
      </c>
      <c r="Z1837">
        <v>1</v>
      </c>
    </row>
    <row r="1838" spans="1:26" x14ac:dyDescent="0.2">
      <c r="A1838" t="s">
        <v>158</v>
      </c>
      <c r="B1838">
        <v>2019</v>
      </c>
      <c r="C1838" t="str">
        <f t="shared" si="28"/>
        <v>THB2019</v>
      </c>
      <c r="D1838">
        <v>1.7772847376563889E-13</v>
      </c>
      <c r="E1838">
        <v>0.10367583091410421</v>
      </c>
      <c r="F1838">
        <v>0.92857505290451792</v>
      </c>
      <c r="G1838">
        <v>26.409667847836491</v>
      </c>
      <c r="H1838">
        <v>1.1690514154214819</v>
      </c>
      <c r="I1838">
        <v>0.49457990864156531</v>
      </c>
      <c r="J1838">
        <v>-0.14524687009834339</v>
      </c>
      <c r="K1838">
        <v>0.1086735683459461</v>
      </c>
      <c r="L1838">
        <v>0.26014726068094007</v>
      </c>
      <c r="M1838">
        <v>23</v>
      </c>
      <c r="N1838">
        <v>0</v>
      </c>
      <c r="O1838">
        <v>1</v>
      </c>
      <c r="P1838">
        <v>0.61130000000000007</v>
      </c>
      <c r="Q1838">
        <v>6.5299999999999997E-2</v>
      </c>
      <c r="R1838">
        <v>0</v>
      </c>
      <c r="S1838">
        <v>0.55000000000000004</v>
      </c>
      <c r="T1838">
        <v>0.55000000000000004</v>
      </c>
      <c r="U1838">
        <v>5</v>
      </c>
      <c r="V1838">
        <v>0</v>
      </c>
      <c r="W1838">
        <v>0</v>
      </c>
      <c r="X1838">
        <v>0</v>
      </c>
      <c r="Y1838">
        <v>0.49700000000000011</v>
      </c>
      <c r="Z1838">
        <v>1</v>
      </c>
    </row>
    <row r="1839" spans="1:26" x14ac:dyDescent="0.2">
      <c r="A1839" t="s">
        <v>158</v>
      </c>
      <c r="B1839">
        <v>2020</v>
      </c>
      <c r="C1839" t="str">
        <f t="shared" si="28"/>
        <v>THB2020</v>
      </c>
      <c r="D1839">
        <v>3.3615720048726417E-14</v>
      </c>
      <c r="E1839">
        <v>2.0902053477205008E-2</v>
      </c>
      <c r="F1839">
        <v>0.86826869657589933</v>
      </c>
      <c r="G1839">
        <v>26.435640887460131</v>
      </c>
      <c r="H1839">
        <v>1.3293720487457801</v>
      </c>
      <c r="I1839">
        <v>0.51336154264167577</v>
      </c>
      <c r="J1839">
        <v>2.6313278308194299E-2</v>
      </c>
      <c r="K1839">
        <v>0.2059025092248648</v>
      </c>
      <c r="L1839">
        <v>0.20858735931126221</v>
      </c>
      <c r="M1839">
        <v>24</v>
      </c>
      <c r="N1839">
        <v>0</v>
      </c>
      <c r="O1839">
        <v>1</v>
      </c>
      <c r="P1839">
        <v>0.61130000000000007</v>
      </c>
      <c r="Q1839">
        <v>6.5299999999999997E-2</v>
      </c>
      <c r="R1839">
        <v>0</v>
      </c>
      <c r="S1839">
        <v>0.55000000000000004</v>
      </c>
      <c r="T1839">
        <v>0.55000000000000004</v>
      </c>
      <c r="U1839">
        <v>5</v>
      </c>
      <c r="V1839">
        <v>0</v>
      </c>
      <c r="W1839">
        <v>0</v>
      </c>
      <c r="X1839">
        <v>0</v>
      </c>
      <c r="Y1839">
        <v>0.51400000000000001</v>
      </c>
      <c r="Z1839">
        <v>1</v>
      </c>
    </row>
    <row r="1840" spans="1:26" x14ac:dyDescent="0.2">
      <c r="A1840" t="s">
        <v>158</v>
      </c>
      <c r="B1840">
        <v>2021</v>
      </c>
      <c r="C1840" t="str">
        <f t="shared" si="28"/>
        <v>THB2021</v>
      </c>
      <c r="D1840">
        <v>5.907096599829838E-14</v>
      </c>
      <c r="E1840">
        <v>3.752409737262017E-2</v>
      </c>
      <c r="F1840">
        <v>1.082544119747384</v>
      </c>
      <c r="G1840">
        <v>26.453476928685969</v>
      </c>
      <c r="H1840">
        <v>1.4427329853124231</v>
      </c>
      <c r="I1840">
        <v>0.51508806207036106</v>
      </c>
      <c r="J1840">
        <v>1.7996053320920469E-2</v>
      </c>
      <c r="K1840">
        <v>0.1138760262192535</v>
      </c>
      <c r="L1840">
        <v>0.14428379454204501</v>
      </c>
      <c r="M1840">
        <v>25</v>
      </c>
      <c r="N1840">
        <v>0</v>
      </c>
      <c r="O1840">
        <v>0</v>
      </c>
      <c r="P1840">
        <v>0.66299999999999992</v>
      </c>
      <c r="Q1840">
        <v>7.4099999999999999E-2</v>
      </c>
      <c r="R1840">
        <v>0</v>
      </c>
      <c r="S1840">
        <v>0.55000000000000004</v>
      </c>
      <c r="T1840">
        <v>0.55000000000000004</v>
      </c>
      <c r="U1840">
        <v>4</v>
      </c>
      <c r="V1840">
        <v>0</v>
      </c>
      <c r="W1840">
        <v>0</v>
      </c>
      <c r="X1840">
        <v>0</v>
      </c>
      <c r="Y1840">
        <v>0.52400000000000002</v>
      </c>
      <c r="Z1840">
        <v>1</v>
      </c>
    </row>
    <row r="1841" spans="1:26" x14ac:dyDescent="0.2">
      <c r="A1841" t="s">
        <v>158</v>
      </c>
      <c r="B1841">
        <v>2022</v>
      </c>
      <c r="C1841" t="str">
        <f t="shared" si="28"/>
        <v>THB2022</v>
      </c>
      <c r="D1841">
        <v>1.016716881030669E-13</v>
      </c>
      <c r="E1841">
        <v>6.4951614481338502E-2</v>
      </c>
      <c r="F1841">
        <v>0.96872614623121134</v>
      </c>
      <c r="G1841">
        <v>26.47075727173009</v>
      </c>
      <c r="H1841">
        <v>1.6321361575065709</v>
      </c>
      <c r="I1841">
        <v>0.50941541404018686</v>
      </c>
      <c r="J1841">
        <v>1.7430511914803711E-2</v>
      </c>
      <c r="K1841">
        <v>-7.8419544316506218E-2</v>
      </c>
      <c r="L1841">
        <v>0.16845879693271479</v>
      </c>
      <c r="M1841">
        <v>26</v>
      </c>
      <c r="N1841">
        <v>0</v>
      </c>
      <c r="O1841">
        <v>0</v>
      </c>
      <c r="P1841">
        <v>0.68049999999999999</v>
      </c>
      <c r="Q1841">
        <v>7.4099999999999999E-2</v>
      </c>
      <c r="R1841">
        <v>0</v>
      </c>
      <c r="S1841">
        <v>0.55000000000000004</v>
      </c>
      <c r="T1841">
        <v>0.55000000000000004</v>
      </c>
      <c r="U1841">
        <v>4</v>
      </c>
      <c r="V1841">
        <v>0</v>
      </c>
      <c r="W1841">
        <v>0</v>
      </c>
      <c r="X1841">
        <v>0</v>
      </c>
      <c r="Y1841">
        <v>0.53799999999999992</v>
      </c>
      <c r="Z1841">
        <v>1</v>
      </c>
    </row>
    <row r="1842" spans="1:26" x14ac:dyDescent="0.2">
      <c r="A1842" t="s">
        <v>158</v>
      </c>
      <c r="B1842">
        <v>2023</v>
      </c>
      <c r="C1842" t="str">
        <f t="shared" si="28"/>
        <v>THB2023</v>
      </c>
      <c r="D1842">
        <v>116969702442.64529</v>
      </c>
      <c r="E1842">
        <v>6.4951614481338502E-2</v>
      </c>
      <c r="F1842">
        <v>0.96872614623121134</v>
      </c>
      <c r="G1842">
        <v>26.484247879572941</v>
      </c>
      <c r="H1842">
        <v>1.626526421760137</v>
      </c>
      <c r="I1842">
        <v>0.50941541404018686</v>
      </c>
      <c r="J1842">
        <v>1.3582016683912681E-2</v>
      </c>
      <c r="K1842">
        <v>8.0478071103113155E-2</v>
      </c>
      <c r="L1842">
        <v>0.15722272995175959</v>
      </c>
      <c r="M1842">
        <v>27</v>
      </c>
      <c r="N1842">
        <v>0</v>
      </c>
      <c r="O1842">
        <v>0</v>
      </c>
      <c r="P1842">
        <v>0.68049999999999999</v>
      </c>
      <c r="Q1842">
        <v>7.4099999999999999E-2</v>
      </c>
      <c r="R1842">
        <v>0</v>
      </c>
      <c r="S1842">
        <v>0.55000000000000004</v>
      </c>
      <c r="T1842">
        <v>0.55000000000000004</v>
      </c>
      <c r="U1842">
        <v>4</v>
      </c>
      <c r="V1842">
        <v>0</v>
      </c>
      <c r="W1842">
        <v>0</v>
      </c>
      <c r="X1842">
        <v>0</v>
      </c>
      <c r="Y1842">
        <v>0.53799999999999992</v>
      </c>
      <c r="Z1842">
        <v>1</v>
      </c>
    </row>
    <row r="1843" spans="1:26" x14ac:dyDescent="0.2">
      <c r="A1843" t="s">
        <v>159</v>
      </c>
      <c r="B1843">
        <v>2012</v>
      </c>
      <c r="C1843" t="str">
        <f t="shared" si="28"/>
        <v>THG2012</v>
      </c>
      <c r="D1843">
        <v>1.1716600739741589E-13</v>
      </c>
      <c r="E1843">
        <v>0.121187114733804</v>
      </c>
      <c r="F1843">
        <v>0.74492952440595384</v>
      </c>
      <c r="G1843">
        <v>26.71247684963954</v>
      </c>
      <c r="H1843">
        <v>1.402441992213465</v>
      </c>
      <c r="I1843">
        <v>0.60060464952934467</v>
      </c>
      <c r="J1843">
        <v>-9.8724886985307791E-2</v>
      </c>
      <c r="K1843">
        <v>0.16961372500272151</v>
      </c>
      <c r="L1843">
        <v>0.2755948793526426</v>
      </c>
      <c r="M1843">
        <v>32</v>
      </c>
      <c r="N1843">
        <v>0</v>
      </c>
      <c r="O1843">
        <v>0</v>
      </c>
      <c r="P1843">
        <v>5.0099999999999999E-2</v>
      </c>
      <c r="Q1843">
        <v>5.7000000000000002E-2</v>
      </c>
      <c r="R1843">
        <v>0</v>
      </c>
      <c r="S1843">
        <v>5.0099999999999999E-2</v>
      </c>
      <c r="T1843">
        <v>5.0099999999999999E-2</v>
      </c>
      <c r="U1843">
        <v>5</v>
      </c>
      <c r="V1843">
        <v>0</v>
      </c>
      <c r="W1843">
        <v>0</v>
      </c>
      <c r="X1843">
        <v>0</v>
      </c>
      <c r="Y1843">
        <v>0.44299999999999989</v>
      </c>
      <c r="Z1843">
        <v>0.8</v>
      </c>
    </row>
    <row r="1844" spans="1:26" x14ac:dyDescent="0.2">
      <c r="A1844" t="s">
        <v>159</v>
      </c>
      <c r="B1844">
        <v>2013</v>
      </c>
      <c r="C1844" t="str">
        <f t="shared" si="28"/>
        <v>THG2013</v>
      </c>
      <c r="D1844">
        <v>1.040156892172822E-13</v>
      </c>
      <c r="E1844">
        <v>8.8498628563572976E-2</v>
      </c>
      <c r="F1844">
        <v>0.74741247174542791</v>
      </c>
      <c r="G1844">
        <v>26.614898040498421</v>
      </c>
      <c r="H1844">
        <v>1.887254670704426</v>
      </c>
      <c r="I1844">
        <v>0.55956491216664828</v>
      </c>
      <c r="J1844">
        <v>-9.2969143583758629E-2</v>
      </c>
      <c r="K1844">
        <v>0.10215288708959511</v>
      </c>
      <c r="L1844">
        <v>0.28880095482264578</v>
      </c>
      <c r="M1844">
        <v>33</v>
      </c>
      <c r="N1844">
        <v>0</v>
      </c>
      <c r="O1844">
        <v>0</v>
      </c>
      <c r="P1844">
        <v>5.04E-2</v>
      </c>
      <c r="Q1844">
        <v>5.7000000000000002E-2</v>
      </c>
      <c r="R1844">
        <v>0</v>
      </c>
      <c r="S1844">
        <v>0</v>
      </c>
      <c r="T1844">
        <v>0</v>
      </c>
      <c r="U1844">
        <v>5</v>
      </c>
      <c r="V1844">
        <v>0</v>
      </c>
      <c r="W1844">
        <v>0</v>
      </c>
      <c r="X1844">
        <v>0</v>
      </c>
      <c r="Y1844">
        <v>0.45300000000000001</v>
      </c>
      <c r="Z1844">
        <v>0.8</v>
      </c>
    </row>
    <row r="1845" spans="1:26" x14ac:dyDescent="0.2">
      <c r="A1845" t="s">
        <v>159</v>
      </c>
      <c r="B1845">
        <v>2014</v>
      </c>
      <c r="C1845" t="str">
        <f t="shared" si="28"/>
        <v>THG2014</v>
      </c>
      <c r="D1845">
        <v>1.033570571479859E-13</v>
      </c>
      <c r="E1845">
        <v>0.1076740009729952</v>
      </c>
      <c r="F1845">
        <v>0.96771215683849099</v>
      </c>
      <c r="G1845">
        <v>26.72889128226921</v>
      </c>
      <c r="H1845">
        <v>1.235102804565213</v>
      </c>
      <c r="I1845">
        <v>0.5979850709540544</v>
      </c>
      <c r="J1845">
        <v>0.1207445506099956</v>
      </c>
      <c r="K1845">
        <v>0.2252577405751027</v>
      </c>
      <c r="L1845">
        <v>0.23213515274259611</v>
      </c>
      <c r="M1845">
        <v>34</v>
      </c>
      <c r="N1845">
        <v>0</v>
      </c>
      <c r="O1845">
        <v>0</v>
      </c>
      <c r="P1845">
        <v>5.04E-2</v>
      </c>
      <c r="Q1845">
        <v>0.1182</v>
      </c>
      <c r="R1845">
        <v>0</v>
      </c>
      <c r="S1845">
        <v>0</v>
      </c>
      <c r="T1845">
        <v>0</v>
      </c>
      <c r="U1845">
        <v>5</v>
      </c>
      <c r="V1845">
        <v>0</v>
      </c>
      <c r="W1845">
        <v>0</v>
      </c>
      <c r="X1845">
        <v>0</v>
      </c>
      <c r="Y1845">
        <v>0.43830000000000002</v>
      </c>
      <c r="Z1845">
        <v>0.8</v>
      </c>
    </row>
    <row r="1846" spans="1:26" x14ac:dyDescent="0.2">
      <c r="A1846" t="s">
        <v>159</v>
      </c>
      <c r="B1846">
        <v>2015</v>
      </c>
      <c r="C1846" t="str">
        <f t="shared" si="28"/>
        <v>THG2015</v>
      </c>
      <c r="D1846">
        <v>1.544463753767094E-13</v>
      </c>
      <c r="E1846">
        <v>0.27335047933472179</v>
      </c>
      <c r="F1846">
        <v>1.1994224132779709</v>
      </c>
      <c r="G1846">
        <v>27.123872508647331</v>
      </c>
      <c r="H1846">
        <v>1.24851405475309</v>
      </c>
      <c r="I1846">
        <v>0.65974380656931786</v>
      </c>
      <c r="J1846">
        <v>0.4843563239149753</v>
      </c>
      <c r="K1846">
        <v>-0.1377974780236261</v>
      </c>
      <c r="L1846">
        <v>0.18139390578019091</v>
      </c>
      <c r="M1846">
        <v>35</v>
      </c>
      <c r="N1846">
        <v>0</v>
      </c>
      <c r="O1846">
        <v>0</v>
      </c>
      <c r="P1846">
        <v>6.5700000000000008E-2</v>
      </c>
      <c r="Q1846">
        <v>0.20979999999999999</v>
      </c>
      <c r="R1846">
        <v>0</v>
      </c>
      <c r="S1846">
        <v>0</v>
      </c>
      <c r="T1846">
        <v>0</v>
      </c>
      <c r="U1846">
        <v>5</v>
      </c>
      <c r="V1846">
        <v>0</v>
      </c>
      <c r="W1846">
        <v>0.2</v>
      </c>
      <c r="X1846">
        <v>0</v>
      </c>
      <c r="Y1846">
        <v>0.4592</v>
      </c>
      <c r="Z1846">
        <v>1</v>
      </c>
    </row>
    <row r="1847" spans="1:26" x14ac:dyDescent="0.2">
      <c r="A1847" t="s">
        <v>159</v>
      </c>
      <c r="B1847">
        <v>2016</v>
      </c>
      <c r="C1847" t="str">
        <f t="shared" si="28"/>
        <v>THG2016</v>
      </c>
      <c r="D1847">
        <v>1.798375122237613E-13</v>
      </c>
      <c r="E1847">
        <v>0.31380884867219172</v>
      </c>
      <c r="F1847">
        <v>1.5645863894504319</v>
      </c>
      <c r="G1847">
        <v>27.265055132998061</v>
      </c>
      <c r="H1847">
        <v>1.2336419154046221</v>
      </c>
      <c r="I1847">
        <v>0.60255403369164151</v>
      </c>
      <c r="J1847">
        <v>0.15163494536561431</v>
      </c>
      <c r="K1847">
        <v>0.35112884468856081</v>
      </c>
      <c r="L1847">
        <v>0.26915427014719878</v>
      </c>
      <c r="M1847">
        <v>36</v>
      </c>
      <c r="N1847">
        <v>0</v>
      </c>
      <c r="O1847">
        <v>0</v>
      </c>
      <c r="P1847">
        <v>6.5700000000000008E-2</v>
      </c>
      <c r="Q1847">
        <v>0.20979999999999999</v>
      </c>
      <c r="R1847">
        <v>0</v>
      </c>
      <c r="S1847">
        <v>0</v>
      </c>
      <c r="T1847">
        <v>0</v>
      </c>
      <c r="U1847">
        <v>4</v>
      </c>
      <c r="V1847">
        <v>0</v>
      </c>
      <c r="W1847">
        <v>0.25</v>
      </c>
      <c r="X1847">
        <v>0</v>
      </c>
      <c r="Y1847">
        <v>0.47639999999999999</v>
      </c>
      <c r="Z1847">
        <v>1</v>
      </c>
    </row>
    <row r="1848" spans="1:26" x14ac:dyDescent="0.2">
      <c r="A1848" t="s">
        <v>159</v>
      </c>
      <c r="B1848">
        <v>2017</v>
      </c>
      <c r="C1848" t="str">
        <f t="shared" si="28"/>
        <v>THG2017</v>
      </c>
      <c r="D1848">
        <v>1.238839612800161E-13</v>
      </c>
      <c r="E1848">
        <v>0.2854756515778637</v>
      </c>
      <c r="F1848">
        <v>1.2480184715507301</v>
      </c>
      <c r="G1848">
        <v>27.481303182158701</v>
      </c>
      <c r="H1848">
        <v>1.202466542427933</v>
      </c>
      <c r="I1848">
        <v>0.62638497044814712</v>
      </c>
      <c r="J1848">
        <v>0.24141027158728931</v>
      </c>
      <c r="K1848">
        <v>7.8929765691315351E-2</v>
      </c>
      <c r="L1848">
        <v>0.35452025934346348</v>
      </c>
      <c r="M1848">
        <v>37</v>
      </c>
      <c r="N1848">
        <v>0</v>
      </c>
      <c r="O1848">
        <v>0</v>
      </c>
      <c r="P1848">
        <v>6.5700000000000008E-2</v>
      </c>
      <c r="Q1848">
        <v>0.1923</v>
      </c>
      <c r="R1848">
        <v>0</v>
      </c>
      <c r="S1848">
        <v>0</v>
      </c>
      <c r="T1848">
        <v>0</v>
      </c>
      <c r="U1848">
        <v>5</v>
      </c>
      <c r="V1848">
        <v>0</v>
      </c>
      <c r="W1848">
        <v>0.2</v>
      </c>
      <c r="X1848">
        <v>0</v>
      </c>
      <c r="Y1848">
        <v>0.46100000000000002</v>
      </c>
      <c r="Z1848">
        <v>1</v>
      </c>
    </row>
    <row r="1849" spans="1:26" x14ac:dyDescent="0.2">
      <c r="A1849" t="s">
        <v>159</v>
      </c>
      <c r="B1849">
        <v>2018</v>
      </c>
      <c r="C1849" t="str">
        <f t="shared" si="28"/>
        <v>THG2018</v>
      </c>
      <c r="D1849">
        <v>8.302276568162175E-14</v>
      </c>
      <c r="E1849">
        <v>0.22473258458338999</v>
      </c>
      <c r="F1849">
        <v>1.075093885830638</v>
      </c>
      <c r="G1849">
        <v>27.603102075213581</v>
      </c>
      <c r="H1849">
        <v>1.207816476818002</v>
      </c>
      <c r="I1849">
        <v>0.64074231684790317</v>
      </c>
      <c r="J1849">
        <v>0.1111290135777849</v>
      </c>
      <c r="K1849">
        <v>1.356295365658248E-2</v>
      </c>
      <c r="L1849">
        <v>0.32572770991591149</v>
      </c>
      <c r="M1849">
        <v>38</v>
      </c>
      <c r="N1849">
        <v>0</v>
      </c>
      <c r="O1849">
        <v>0</v>
      </c>
      <c r="P1849">
        <v>6.5700000000000008E-2</v>
      </c>
      <c r="Q1849">
        <v>0.20949999999999999</v>
      </c>
      <c r="R1849">
        <v>0</v>
      </c>
      <c r="S1849">
        <v>0</v>
      </c>
      <c r="T1849">
        <v>0</v>
      </c>
      <c r="U1849">
        <v>5</v>
      </c>
      <c r="V1849">
        <v>0</v>
      </c>
      <c r="W1849">
        <v>0.2</v>
      </c>
      <c r="X1849">
        <v>0</v>
      </c>
      <c r="Y1849">
        <v>0.47099999999999997</v>
      </c>
      <c r="Z1849">
        <v>1</v>
      </c>
    </row>
    <row r="1850" spans="1:26" x14ac:dyDescent="0.2">
      <c r="A1850" t="s">
        <v>159</v>
      </c>
      <c r="B1850">
        <v>2019</v>
      </c>
      <c r="C1850" t="str">
        <f t="shared" si="28"/>
        <v>THG2019</v>
      </c>
      <c r="D1850">
        <v>7.0028131832301716E-14</v>
      </c>
      <c r="E1850">
        <v>0.27063577060664962</v>
      </c>
      <c r="F1850">
        <v>1.146257528731222</v>
      </c>
      <c r="G1850">
        <v>27.847737090094011</v>
      </c>
      <c r="H1850">
        <v>1.0927477153269389</v>
      </c>
      <c r="I1850">
        <v>0.67862958431006493</v>
      </c>
      <c r="J1850">
        <v>0.29830203028879931</v>
      </c>
      <c r="K1850">
        <v>0.12896636752628249</v>
      </c>
      <c r="L1850">
        <v>0.36239903719059818</v>
      </c>
      <c r="M1850">
        <v>39</v>
      </c>
      <c r="N1850">
        <v>0</v>
      </c>
      <c r="O1850">
        <v>1</v>
      </c>
      <c r="P1850">
        <v>6.5700000000000008E-2</v>
      </c>
      <c r="Q1850">
        <v>0.22750000000000001</v>
      </c>
      <c r="R1850">
        <v>0</v>
      </c>
      <c r="S1850">
        <v>0</v>
      </c>
      <c r="T1850">
        <v>0</v>
      </c>
      <c r="U1850">
        <v>6</v>
      </c>
      <c r="V1850">
        <v>0</v>
      </c>
      <c r="W1850">
        <v>0.33333333333333331</v>
      </c>
      <c r="X1850">
        <v>0</v>
      </c>
      <c r="Y1850">
        <v>0.47089999999999999</v>
      </c>
      <c r="Z1850">
        <v>1</v>
      </c>
    </row>
    <row r="1851" spans="1:26" x14ac:dyDescent="0.2">
      <c r="A1851" t="s">
        <v>159</v>
      </c>
      <c r="B1851">
        <v>2020</v>
      </c>
      <c r="C1851" t="str">
        <f t="shared" si="28"/>
        <v>THG2020</v>
      </c>
      <c r="D1851">
        <v>8.0614155326886781E-14</v>
      </c>
      <c r="E1851">
        <v>0.34312209906271052</v>
      </c>
      <c r="F1851">
        <v>1.2238308742782069</v>
      </c>
      <c r="G1851">
        <v>28.00176783826495</v>
      </c>
      <c r="H1851">
        <v>1.1139156898289519</v>
      </c>
      <c r="I1851">
        <v>0.65961072061045001</v>
      </c>
      <c r="J1851">
        <v>0.16652675479105181</v>
      </c>
      <c r="K1851">
        <v>0.15964972524672361</v>
      </c>
      <c r="L1851">
        <v>0.386334179737582</v>
      </c>
      <c r="M1851">
        <v>40</v>
      </c>
      <c r="N1851">
        <v>0</v>
      </c>
      <c r="O1851">
        <v>1</v>
      </c>
      <c r="P1851">
        <v>6.0199999999999997E-2</v>
      </c>
      <c r="Q1851">
        <v>0.2258</v>
      </c>
      <c r="R1851">
        <v>0</v>
      </c>
      <c r="S1851">
        <v>0</v>
      </c>
      <c r="T1851">
        <v>0</v>
      </c>
      <c r="U1851">
        <v>6</v>
      </c>
      <c r="V1851">
        <v>0</v>
      </c>
      <c r="W1851">
        <v>0.33333333333333331</v>
      </c>
      <c r="X1851">
        <v>0</v>
      </c>
      <c r="Y1851">
        <v>0.48089999999999999</v>
      </c>
      <c r="Z1851">
        <v>1</v>
      </c>
    </row>
    <row r="1852" spans="1:26" x14ac:dyDescent="0.2">
      <c r="A1852" t="s">
        <v>159</v>
      </c>
      <c r="B1852">
        <v>2021</v>
      </c>
      <c r="C1852" t="str">
        <f t="shared" si="28"/>
        <v>THG2021</v>
      </c>
      <c r="D1852">
        <v>5.3114168430518991E-14</v>
      </c>
      <c r="E1852">
        <v>0.24226163527665401</v>
      </c>
      <c r="F1852">
        <v>1.506961057537576</v>
      </c>
      <c r="G1852">
        <v>28.072913257131891</v>
      </c>
      <c r="H1852">
        <v>1.120882618005814</v>
      </c>
      <c r="I1852">
        <v>0.6589350737840719</v>
      </c>
      <c r="J1852">
        <v>7.3737356185664904E-2</v>
      </c>
      <c r="K1852">
        <v>6.7531446491512312E-2</v>
      </c>
      <c r="L1852">
        <v>0.35125083391179218</v>
      </c>
      <c r="M1852">
        <v>41</v>
      </c>
      <c r="N1852">
        <v>0</v>
      </c>
      <c r="O1852">
        <v>0</v>
      </c>
      <c r="P1852">
        <v>6.0199999999999997E-2</v>
      </c>
      <c r="Q1852">
        <v>0.25779999999999997</v>
      </c>
      <c r="R1852">
        <v>0</v>
      </c>
      <c r="S1852">
        <v>0</v>
      </c>
      <c r="T1852">
        <v>0</v>
      </c>
      <c r="U1852">
        <v>6</v>
      </c>
      <c r="V1852">
        <v>1</v>
      </c>
      <c r="W1852">
        <v>0.33333333333333331</v>
      </c>
      <c r="X1852">
        <v>0</v>
      </c>
      <c r="Y1852">
        <v>0.47770000000000001</v>
      </c>
      <c r="Z1852">
        <v>1</v>
      </c>
    </row>
    <row r="1853" spans="1:26" x14ac:dyDescent="0.2">
      <c r="A1853" t="s">
        <v>159</v>
      </c>
      <c r="B1853">
        <v>2022</v>
      </c>
      <c r="C1853" t="str">
        <f t="shared" si="28"/>
        <v>THG2022</v>
      </c>
      <c r="D1853">
        <v>4.2112118461502563E-14</v>
      </c>
      <c r="E1853">
        <v>0.22424766332791601</v>
      </c>
      <c r="F1853">
        <v>1.0778120777976361</v>
      </c>
      <c r="G1853">
        <v>28.24544059674907</v>
      </c>
      <c r="H1853">
        <v>1.206996338889269</v>
      </c>
      <c r="I1853">
        <v>0.65284921392283457</v>
      </c>
      <c r="J1853">
        <v>0.18830430795576689</v>
      </c>
      <c r="K1853">
        <v>2.1419175306898641E-2</v>
      </c>
      <c r="L1853">
        <v>0.29672221267532273</v>
      </c>
      <c r="M1853">
        <v>42</v>
      </c>
      <c r="N1853">
        <v>0</v>
      </c>
      <c r="O1853">
        <v>0</v>
      </c>
      <c r="P1853">
        <v>5.3499999999999999E-2</v>
      </c>
      <c r="Q1853">
        <v>0.23899999999999999</v>
      </c>
      <c r="R1853">
        <v>0</v>
      </c>
      <c r="S1853">
        <v>0</v>
      </c>
      <c r="T1853">
        <v>0</v>
      </c>
      <c r="U1853">
        <v>6</v>
      </c>
      <c r="V1853">
        <v>0</v>
      </c>
      <c r="W1853">
        <v>0.33333333333333331</v>
      </c>
      <c r="X1853">
        <v>0</v>
      </c>
      <c r="Y1853">
        <v>0.44080000000000003</v>
      </c>
      <c r="Z1853">
        <v>1</v>
      </c>
    </row>
    <row r="1854" spans="1:26" x14ac:dyDescent="0.2">
      <c r="A1854" t="s">
        <v>159</v>
      </c>
      <c r="B1854">
        <v>2023</v>
      </c>
      <c r="C1854" t="str">
        <f t="shared" si="28"/>
        <v>THG2023</v>
      </c>
      <c r="D1854">
        <v>60235535268084.789</v>
      </c>
      <c r="E1854">
        <v>8.6957109599601679E-2</v>
      </c>
      <c r="F1854">
        <v>0.8558495515486102</v>
      </c>
      <c r="G1854">
        <v>28.247411488134709</v>
      </c>
      <c r="H1854">
        <v>1.3779218948088541</v>
      </c>
      <c r="I1854">
        <v>0.26219180254448088</v>
      </c>
      <c r="J1854">
        <v>1.9728348686554038E-3</v>
      </c>
      <c r="K1854">
        <v>5.5503031771849523E-2</v>
      </c>
      <c r="L1854">
        <v>0.25692546804882732</v>
      </c>
      <c r="M1854">
        <v>43</v>
      </c>
      <c r="N1854">
        <v>0</v>
      </c>
      <c r="O1854">
        <v>0</v>
      </c>
      <c r="P1854">
        <v>5.3499999999999999E-2</v>
      </c>
      <c r="Q1854">
        <v>0.23899999999999999</v>
      </c>
      <c r="R1854">
        <v>0</v>
      </c>
      <c r="S1854">
        <v>0</v>
      </c>
      <c r="T1854">
        <v>0</v>
      </c>
      <c r="U1854">
        <v>6</v>
      </c>
      <c r="V1854">
        <v>0</v>
      </c>
      <c r="W1854">
        <v>0.33333333333333331</v>
      </c>
      <c r="X1854">
        <v>0</v>
      </c>
      <c r="Y1854">
        <v>0.44080000000000003</v>
      </c>
      <c r="Z1854">
        <v>1</v>
      </c>
    </row>
    <row r="1855" spans="1:26" x14ac:dyDescent="0.2">
      <c r="A1855" t="s">
        <v>160</v>
      </c>
      <c r="B1855">
        <v>2012</v>
      </c>
      <c r="C1855" t="str">
        <f t="shared" si="28"/>
        <v>TKU2012</v>
      </c>
      <c r="D1855">
        <v>3.419632197235965E-15</v>
      </c>
      <c r="E1855">
        <v>5.435845169252369E-3</v>
      </c>
      <c r="F1855">
        <v>0.78477897978776767</v>
      </c>
      <c r="G1855">
        <v>27.189909190059499</v>
      </c>
      <c r="H1855">
        <v>1.2014122690385201</v>
      </c>
      <c r="I1855">
        <v>0.59529381271746751</v>
      </c>
      <c r="J1855">
        <v>-2.9851520997532521E-3</v>
      </c>
      <c r="K1855">
        <v>0.20085886658154661</v>
      </c>
      <c r="L1855">
        <v>0.245686268930848</v>
      </c>
      <c r="M1855">
        <v>17</v>
      </c>
      <c r="N1855">
        <v>0</v>
      </c>
      <c r="O1855">
        <v>0</v>
      </c>
      <c r="P1855">
        <v>0.76029999999999998</v>
      </c>
      <c r="Q1855">
        <v>0.13039999999999999</v>
      </c>
      <c r="R1855">
        <v>0.76029999999999998</v>
      </c>
      <c r="S1855">
        <v>0</v>
      </c>
      <c r="T1855">
        <v>0.76029999999999998</v>
      </c>
      <c r="U1855">
        <v>10</v>
      </c>
      <c r="V1855">
        <v>0</v>
      </c>
      <c r="W1855">
        <v>0</v>
      </c>
      <c r="X1855">
        <v>0</v>
      </c>
      <c r="Y1855">
        <v>0.5</v>
      </c>
      <c r="Z1855">
        <v>1</v>
      </c>
    </row>
    <row r="1856" spans="1:26" x14ac:dyDescent="0.2">
      <c r="A1856" t="s">
        <v>160</v>
      </c>
      <c r="B1856">
        <v>2013</v>
      </c>
      <c r="C1856" t="str">
        <f t="shared" si="28"/>
        <v>TKU2013</v>
      </c>
      <c r="D1856">
        <v>1.3488965283592819E-13</v>
      </c>
      <c r="E1856">
        <v>0.19842755830820311</v>
      </c>
      <c r="F1856">
        <v>0.93218628368178069</v>
      </c>
      <c r="G1856">
        <v>27.26174166293918</v>
      </c>
      <c r="H1856">
        <v>1.266613606099787</v>
      </c>
      <c r="I1856">
        <v>0.53010522069547517</v>
      </c>
      <c r="J1856">
        <v>7.4475325228134048E-2</v>
      </c>
      <c r="K1856">
        <v>6.9371447525218427E-2</v>
      </c>
      <c r="L1856">
        <v>0.19627858731404871</v>
      </c>
      <c r="M1856">
        <v>18</v>
      </c>
      <c r="N1856">
        <v>0</v>
      </c>
      <c r="O1856">
        <v>0</v>
      </c>
      <c r="P1856">
        <v>0.76029999999999998</v>
      </c>
      <c r="Q1856">
        <v>0.875</v>
      </c>
      <c r="R1856">
        <v>0.76029999999999998</v>
      </c>
      <c r="S1856">
        <v>0</v>
      </c>
      <c r="T1856">
        <v>0.76029999999999998</v>
      </c>
      <c r="U1856">
        <v>9</v>
      </c>
      <c r="V1856">
        <v>0</v>
      </c>
      <c r="W1856">
        <v>0</v>
      </c>
      <c r="X1856">
        <v>0</v>
      </c>
      <c r="Y1856">
        <v>0.51</v>
      </c>
      <c r="Z1856">
        <v>1</v>
      </c>
    </row>
    <row r="1857" spans="1:26" x14ac:dyDescent="0.2">
      <c r="A1857" t="s">
        <v>160</v>
      </c>
      <c r="B1857">
        <v>2014</v>
      </c>
      <c r="C1857" t="str">
        <f t="shared" si="28"/>
        <v>TKU2014</v>
      </c>
      <c r="D1857">
        <v>6.7229816705155521E-14</v>
      </c>
      <c r="E1857">
        <v>0.1232191625615138</v>
      </c>
      <c r="F1857">
        <v>0.93730687682150249</v>
      </c>
      <c r="G1857">
        <v>27.414014942630839</v>
      </c>
      <c r="H1857">
        <v>1.78519123943608</v>
      </c>
      <c r="I1857">
        <v>0.56082350258585056</v>
      </c>
      <c r="J1857">
        <v>0.16447842125730119</v>
      </c>
      <c r="K1857">
        <v>-8.1620863993239159E-2</v>
      </c>
      <c r="L1857">
        <v>0.22994950978410719</v>
      </c>
      <c r="M1857">
        <v>19</v>
      </c>
      <c r="N1857">
        <v>0</v>
      </c>
      <c r="O1857">
        <v>0</v>
      </c>
      <c r="P1857">
        <v>0.76029999999999998</v>
      </c>
      <c r="Q1857">
        <v>0.85270000000000001</v>
      </c>
      <c r="R1857">
        <v>0.76029999999999998</v>
      </c>
      <c r="S1857">
        <v>0</v>
      </c>
      <c r="T1857">
        <v>0.76029999999999998</v>
      </c>
      <c r="U1857">
        <v>9</v>
      </c>
      <c r="V1857">
        <v>0</v>
      </c>
      <c r="W1857">
        <v>0.1111111111111111</v>
      </c>
      <c r="X1857">
        <v>0</v>
      </c>
      <c r="Y1857">
        <v>0.49419999999999997</v>
      </c>
      <c r="Z1857">
        <v>1</v>
      </c>
    </row>
    <row r="1858" spans="1:26" x14ac:dyDescent="0.2">
      <c r="A1858" t="s">
        <v>160</v>
      </c>
      <c r="B1858">
        <v>2015</v>
      </c>
      <c r="C1858" t="str">
        <f t="shared" si="28"/>
        <v>TKU2015</v>
      </c>
      <c r="D1858">
        <v>1.6252787076211291E-14</v>
      </c>
      <c r="E1858">
        <v>1.258617912046122E-2</v>
      </c>
      <c r="F1858">
        <v>0.79186569726313616</v>
      </c>
      <c r="G1858">
        <v>26.99594472844079</v>
      </c>
      <c r="H1858">
        <v>1.521901158980713</v>
      </c>
      <c r="I1858">
        <v>0.31573588151958548</v>
      </c>
      <c r="J1858">
        <v>-0.34168399632296481</v>
      </c>
      <c r="K1858">
        <v>0.48715954687342888</v>
      </c>
      <c r="L1858">
        <v>0.25486418232369579</v>
      </c>
      <c r="M1858">
        <v>20</v>
      </c>
      <c r="N1858">
        <v>0</v>
      </c>
      <c r="O1858">
        <v>0</v>
      </c>
      <c r="P1858">
        <v>0.76029999999999998</v>
      </c>
      <c r="Q1858">
        <v>0.85409999999999997</v>
      </c>
      <c r="R1858">
        <v>0.76029999999999998</v>
      </c>
      <c r="S1858">
        <v>0</v>
      </c>
      <c r="T1858">
        <v>0.76029999999999998</v>
      </c>
      <c r="U1858">
        <v>9</v>
      </c>
      <c r="V1858">
        <v>0</v>
      </c>
      <c r="W1858">
        <v>0.1111111111111111</v>
      </c>
      <c r="X1858">
        <v>0</v>
      </c>
      <c r="Y1858">
        <v>0.50419999999999998</v>
      </c>
      <c r="Z1858">
        <v>1</v>
      </c>
    </row>
    <row r="1859" spans="1:26" x14ac:dyDescent="0.2">
      <c r="A1859" t="s">
        <v>160</v>
      </c>
      <c r="B1859">
        <v>2016</v>
      </c>
      <c r="C1859" t="str">
        <f t="shared" ref="C1859:C1922" si="29">A1859&amp;B1859</f>
        <v>TKU2016</v>
      </c>
      <c r="D1859">
        <v>1.6228719579432441E-13</v>
      </c>
      <c r="E1859">
        <v>0.20215074719210299</v>
      </c>
      <c r="F1859">
        <v>0.82744593172995573</v>
      </c>
      <c r="G1859">
        <v>27.346203379146509</v>
      </c>
      <c r="H1859">
        <v>2.3066276205210929</v>
      </c>
      <c r="I1859">
        <v>0.39617076823564962</v>
      </c>
      <c r="J1859">
        <v>0.41943463888820892</v>
      </c>
      <c r="K1859">
        <v>6.2094587012475798E-2</v>
      </c>
      <c r="L1859">
        <v>0.21817039642233721</v>
      </c>
      <c r="M1859">
        <v>21</v>
      </c>
      <c r="N1859">
        <v>0</v>
      </c>
      <c r="O1859">
        <v>0</v>
      </c>
      <c r="P1859">
        <v>0.76029999999999998</v>
      </c>
      <c r="Q1859">
        <v>0.85409999999999997</v>
      </c>
      <c r="R1859">
        <v>0.76029999999999998</v>
      </c>
      <c r="S1859">
        <v>0</v>
      </c>
      <c r="T1859">
        <v>0.76029999999999998</v>
      </c>
      <c r="U1859">
        <v>9</v>
      </c>
      <c r="V1859">
        <v>0</v>
      </c>
      <c r="W1859">
        <v>0.1111111111111111</v>
      </c>
      <c r="X1859">
        <v>0</v>
      </c>
      <c r="Y1859">
        <v>0.51419999999999999</v>
      </c>
      <c r="Z1859">
        <v>1</v>
      </c>
    </row>
    <row r="1860" spans="1:26" x14ac:dyDescent="0.2">
      <c r="A1860" t="s">
        <v>160</v>
      </c>
      <c r="B1860">
        <v>2017</v>
      </c>
      <c r="C1860" t="str">
        <f t="shared" si="29"/>
        <v>TKU2017</v>
      </c>
      <c r="D1860">
        <v>1.14161613284495E-13</v>
      </c>
      <c r="E1860">
        <v>0.1742558615267697</v>
      </c>
      <c r="F1860">
        <v>0.87994367361062986</v>
      </c>
      <c r="G1860">
        <v>27.436819580577961</v>
      </c>
      <c r="H1860">
        <v>1.935450797039761</v>
      </c>
      <c r="I1860">
        <v>0.46049925758955662</v>
      </c>
      <c r="J1860">
        <v>9.4848723239044266E-2</v>
      </c>
      <c r="K1860">
        <v>3.5198343627580432E-2</v>
      </c>
      <c r="L1860">
        <v>0.29657190147474571</v>
      </c>
      <c r="M1860">
        <v>22</v>
      </c>
      <c r="N1860">
        <v>0</v>
      </c>
      <c r="O1860">
        <v>0</v>
      </c>
      <c r="P1860">
        <v>0.76029999999999998</v>
      </c>
      <c r="Q1860">
        <v>0.85409999999999997</v>
      </c>
      <c r="R1860">
        <v>0.76029999999999998</v>
      </c>
      <c r="S1860">
        <v>0</v>
      </c>
      <c r="T1860">
        <v>0.76029999999999998</v>
      </c>
      <c r="U1860">
        <v>8</v>
      </c>
      <c r="V1860">
        <v>0</v>
      </c>
      <c r="W1860">
        <v>0.125</v>
      </c>
      <c r="X1860">
        <v>0</v>
      </c>
      <c r="Y1860">
        <v>0.53820000000000001</v>
      </c>
      <c r="Z1860">
        <v>1</v>
      </c>
    </row>
    <row r="1861" spans="1:26" x14ac:dyDescent="0.2">
      <c r="A1861" t="s">
        <v>160</v>
      </c>
      <c r="B1861">
        <v>2018</v>
      </c>
      <c r="C1861" t="str">
        <f t="shared" si="29"/>
        <v>TKU2018</v>
      </c>
      <c r="D1861">
        <v>9.2398626732939601E-14</v>
      </c>
      <c r="E1861">
        <v>0.13540960495812451</v>
      </c>
      <c r="F1861">
        <v>0.78997247757352762</v>
      </c>
      <c r="G1861">
        <v>27.430875344170399</v>
      </c>
      <c r="H1861">
        <v>1.487934171360251</v>
      </c>
      <c r="I1861">
        <v>0.44140911938452809</v>
      </c>
      <c r="J1861">
        <v>-5.9266043879252486E-3</v>
      </c>
      <c r="K1861">
        <v>4.6140871613935673E-2</v>
      </c>
      <c r="L1861">
        <v>0.29109855466796541</v>
      </c>
      <c r="M1861">
        <v>23</v>
      </c>
      <c r="N1861">
        <v>0</v>
      </c>
      <c r="O1861">
        <v>0</v>
      </c>
      <c r="P1861">
        <v>0.76029999999999998</v>
      </c>
      <c r="Q1861">
        <v>0.85409999999999997</v>
      </c>
      <c r="R1861">
        <v>0.76029999999999998</v>
      </c>
      <c r="S1861">
        <v>0</v>
      </c>
      <c r="T1861">
        <v>0.76029999999999998</v>
      </c>
      <c r="U1861">
        <v>8</v>
      </c>
      <c r="V1861">
        <v>0</v>
      </c>
      <c r="W1861">
        <v>0.125</v>
      </c>
      <c r="X1861">
        <v>0</v>
      </c>
      <c r="Y1861">
        <v>0.54820000000000002</v>
      </c>
      <c r="Z1861">
        <v>1</v>
      </c>
    </row>
    <row r="1862" spans="1:26" x14ac:dyDescent="0.2">
      <c r="A1862" t="s">
        <v>160</v>
      </c>
      <c r="B1862">
        <v>2019</v>
      </c>
      <c r="C1862" t="str">
        <f t="shared" si="29"/>
        <v>TKU2019</v>
      </c>
      <c r="D1862">
        <v>5.2881212954620852E-14</v>
      </c>
      <c r="E1862">
        <v>8.9143096014535295E-2</v>
      </c>
      <c r="F1862">
        <v>1.0225060838277611</v>
      </c>
      <c r="G1862">
        <v>27.51872880051382</v>
      </c>
      <c r="H1862">
        <v>1.5613223406617101</v>
      </c>
      <c r="I1862">
        <v>0.46979262809931172</v>
      </c>
      <c r="J1862">
        <v>9.182810982053112E-2</v>
      </c>
      <c r="K1862">
        <v>0.14669545322919109</v>
      </c>
      <c r="L1862">
        <v>0.3468494523800727</v>
      </c>
      <c r="M1862">
        <v>24</v>
      </c>
      <c r="N1862">
        <v>0</v>
      </c>
      <c r="O1862">
        <v>1</v>
      </c>
      <c r="P1862">
        <v>0.76029999999999998</v>
      </c>
      <c r="Q1862">
        <v>0.85409999999999997</v>
      </c>
      <c r="R1862">
        <v>0.76029999999999998</v>
      </c>
      <c r="S1862">
        <v>0</v>
      </c>
      <c r="T1862">
        <v>0.76029999999999998</v>
      </c>
      <c r="U1862">
        <v>9</v>
      </c>
      <c r="V1862">
        <v>0</v>
      </c>
      <c r="W1862">
        <v>0.1111111111111111</v>
      </c>
      <c r="X1862">
        <v>0</v>
      </c>
      <c r="Y1862">
        <v>0.54420000000000002</v>
      </c>
      <c r="Z1862">
        <v>1</v>
      </c>
    </row>
    <row r="1863" spans="1:26" x14ac:dyDescent="0.2">
      <c r="A1863" t="s">
        <v>160</v>
      </c>
      <c r="B1863">
        <v>2020</v>
      </c>
      <c r="C1863" t="str">
        <f t="shared" si="29"/>
        <v>TKU2020</v>
      </c>
      <c r="D1863">
        <v>6.8303149606034973E-14</v>
      </c>
      <c r="E1863">
        <v>0.1269144891848849</v>
      </c>
      <c r="F1863">
        <v>0.85366740959759135</v>
      </c>
      <c r="G1863">
        <v>27.6156282638403</v>
      </c>
      <c r="H1863">
        <v>1.5743133714907129</v>
      </c>
      <c r="I1863">
        <v>0.47003828900999572</v>
      </c>
      <c r="J1863">
        <v>0.10174960181277019</v>
      </c>
      <c r="K1863">
        <v>6.3702512331539701E-2</v>
      </c>
      <c r="L1863">
        <v>0.325128181809967</v>
      </c>
      <c r="M1863">
        <v>25</v>
      </c>
      <c r="N1863">
        <v>0</v>
      </c>
      <c r="O1863">
        <v>1</v>
      </c>
      <c r="P1863">
        <v>0.82330000000000003</v>
      </c>
      <c r="Q1863">
        <v>0.1082</v>
      </c>
      <c r="R1863">
        <v>0.82330000000000003</v>
      </c>
      <c r="S1863">
        <v>0</v>
      </c>
      <c r="T1863">
        <v>0.76029999999999998</v>
      </c>
      <c r="U1863">
        <v>9</v>
      </c>
      <c r="V1863">
        <v>0</v>
      </c>
      <c r="W1863">
        <v>0.1111111111111111</v>
      </c>
      <c r="X1863">
        <v>0</v>
      </c>
      <c r="Y1863">
        <v>0.55420000000000003</v>
      </c>
      <c r="Z1863">
        <v>1</v>
      </c>
    </row>
    <row r="1864" spans="1:26" x14ac:dyDescent="0.2">
      <c r="A1864" t="s">
        <v>160</v>
      </c>
      <c r="B1864">
        <v>2021</v>
      </c>
      <c r="C1864" t="str">
        <f t="shared" si="29"/>
        <v>TKU2021</v>
      </c>
      <c r="D1864">
        <v>6.085526866311144E-14</v>
      </c>
      <c r="E1864">
        <v>0.1765460076890206</v>
      </c>
      <c r="F1864">
        <v>1.3050807373437781</v>
      </c>
      <c r="G1864">
        <v>27.865305364064199</v>
      </c>
      <c r="H1864">
        <v>1.509310944936973</v>
      </c>
      <c r="I1864">
        <v>0.56429891731913961</v>
      </c>
      <c r="J1864">
        <v>0.28361087209997221</v>
      </c>
      <c r="K1864">
        <v>-8.2102414283116251E-2</v>
      </c>
      <c r="L1864">
        <v>0.24989557493864631</v>
      </c>
      <c r="M1864">
        <v>26</v>
      </c>
      <c r="N1864">
        <v>0</v>
      </c>
      <c r="O1864">
        <v>0</v>
      </c>
      <c r="P1864">
        <v>0.84519999999999995</v>
      </c>
      <c r="Q1864">
        <v>4.1399999999999999E-2</v>
      </c>
      <c r="R1864">
        <v>0.84519999999999995</v>
      </c>
      <c r="S1864">
        <v>0</v>
      </c>
      <c r="T1864">
        <v>0.84519999999999995</v>
      </c>
      <c r="U1864">
        <v>9</v>
      </c>
      <c r="V1864">
        <v>0</v>
      </c>
      <c r="W1864">
        <v>0.22222222222222221</v>
      </c>
      <c r="X1864">
        <v>0</v>
      </c>
      <c r="Y1864">
        <v>0.54299999999999993</v>
      </c>
      <c r="Z1864">
        <v>1</v>
      </c>
    </row>
    <row r="1865" spans="1:26" x14ac:dyDescent="0.2">
      <c r="A1865" t="s">
        <v>160</v>
      </c>
      <c r="B1865">
        <v>2022</v>
      </c>
      <c r="C1865" t="str">
        <f t="shared" si="29"/>
        <v>TKU2022</v>
      </c>
      <c r="D1865">
        <v>5.0765565466471368E-14</v>
      </c>
      <c r="E1865">
        <v>0.11725401765713379</v>
      </c>
      <c r="F1865">
        <v>0.93853371107725947</v>
      </c>
      <c r="G1865">
        <v>27.77172896456981</v>
      </c>
      <c r="H1865">
        <v>1.370200152607342</v>
      </c>
      <c r="I1865">
        <v>0.50163201256266099</v>
      </c>
      <c r="J1865">
        <v>-8.9331559839992428E-2</v>
      </c>
      <c r="K1865">
        <v>-3.4184624981484578E-2</v>
      </c>
      <c r="L1865">
        <v>0.28806533981517218</v>
      </c>
      <c r="M1865">
        <v>27</v>
      </c>
      <c r="N1865">
        <v>0</v>
      </c>
      <c r="O1865">
        <v>0</v>
      </c>
      <c r="P1865">
        <v>0.84519999999999995</v>
      </c>
      <c r="Q1865">
        <v>0.91480000000000006</v>
      </c>
      <c r="R1865">
        <v>0.84519999999999995</v>
      </c>
      <c r="S1865">
        <v>0</v>
      </c>
      <c r="T1865">
        <v>0.84519999999999995</v>
      </c>
      <c r="U1865">
        <v>9</v>
      </c>
      <c r="V1865">
        <v>0</v>
      </c>
      <c r="W1865">
        <v>0.1111111111111111</v>
      </c>
      <c r="X1865">
        <v>0</v>
      </c>
      <c r="Y1865">
        <v>0.55299999999999994</v>
      </c>
      <c r="Z1865">
        <v>1</v>
      </c>
    </row>
    <row r="1866" spans="1:26" x14ac:dyDescent="0.2">
      <c r="A1866" t="s">
        <v>160</v>
      </c>
      <c r="B1866">
        <v>2023</v>
      </c>
      <c r="C1866" t="str">
        <f t="shared" si="29"/>
        <v>TKU2023</v>
      </c>
      <c r="D1866">
        <v>650935490056.01538</v>
      </c>
      <c r="E1866">
        <v>-5.902236424062858E-2</v>
      </c>
      <c r="F1866">
        <v>0.85808909873381234</v>
      </c>
      <c r="G1866">
        <v>27.4069852197443</v>
      </c>
      <c r="H1866">
        <v>1.407016532248804</v>
      </c>
      <c r="I1866">
        <v>0.22462520961411511</v>
      </c>
      <c r="J1866">
        <v>-0.30562543484336102</v>
      </c>
      <c r="K1866">
        <v>0.32173377463642339</v>
      </c>
      <c r="L1866">
        <v>0.29280049790266671</v>
      </c>
      <c r="M1866">
        <v>28</v>
      </c>
      <c r="N1866">
        <v>0</v>
      </c>
      <c r="O1866">
        <v>0</v>
      </c>
      <c r="P1866">
        <v>0.84519999999999995</v>
      </c>
      <c r="Q1866">
        <v>0.91480000000000006</v>
      </c>
      <c r="R1866">
        <v>0.84519999999999995</v>
      </c>
      <c r="S1866">
        <v>0</v>
      </c>
      <c r="T1866">
        <v>0.84519999999999995</v>
      </c>
      <c r="U1866">
        <v>9</v>
      </c>
      <c r="V1866">
        <v>0</v>
      </c>
      <c r="W1866">
        <v>0.1111111111111111</v>
      </c>
      <c r="X1866">
        <v>0</v>
      </c>
      <c r="Y1866">
        <v>0.55299999999999994</v>
      </c>
      <c r="Z1866">
        <v>1</v>
      </c>
    </row>
    <row r="1867" spans="1:26" x14ac:dyDescent="0.2">
      <c r="A1867" t="s">
        <v>161</v>
      </c>
      <c r="B1867">
        <v>2012</v>
      </c>
      <c r="C1867" t="str">
        <f t="shared" si="29"/>
        <v>TLG2012</v>
      </c>
      <c r="D1867">
        <v>1.080913725399335E-13</v>
      </c>
      <c r="E1867">
        <v>0.18151730309718569</v>
      </c>
      <c r="F1867">
        <v>0.83385628259343902</v>
      </c>
      <c r="G1867">
        <v>27.592883617555369</v>
      </c>
      <c r="H1867">
        <v>1.4763549943489811</v>
      </c>
      <c r="I1867">
        <v>0.42679483367121529</v>
      </c>
      <c r="J1867">
        <v>1.336397437053671E-2</v>
      </c>
      <c r="K1867">
        <v>0.20917405557455171</v>
      </c>
      <c r="L1867">
        <v>0.20548446710453391</v>
      </c>
      <c r="M1867">
        <v>16</v>
      </c>
      <c r="N1867">
        <v>1</v>
      </c>
      <c r="O1867">
        <v>0</v>
      </c>
      <c r="P1867">
        <v>0.65939999999999999</v>
      </c>
      <c r="Q1867">
        <v>0.17100000000000001</v>
      </c>
      <c r="R1867">
        <v>0</v>
      </c>
      <c r="S1867">
        <v>0</v>
      </c>
      <c r="T1867">
        <v>0.59489999999999998</v>
      </c>
      <c r="U1867">
        <v>9</v>
      </c>
      <c r="V1867">
        <v>0</v>
      </c>
      <c r="W1867">
        <v>0.33333333333333331</v>
      </c>
      <c r="X1867">
        <v>0</v>
      </c>
      <c r="Y1867">
        <v>0.44879999999999998</v>
      </c>
      <c r="Z1867">
        <v>0.88888888888888884</v>
      </c>
    </row>
    <row r="1868" spans="1:26" x14ac:dyDescent="0.2">
      <c r="A1868" t="s">
        <v>161</v>
      </c>
      <c r="B1868">
        <v>2013</v>
      </c>
      <c r="C1868" t="str">
        <f t="shared" si="29"/>
        <v>TLG2013</v>
      </c>
      <c r="D1868">
        <v>1.1444948514506351E-13</v>
      </c>
      <c r="E1868">
        <v>0.18514082966179041</v>
      </c>
      <c r="F1868">
        <v>1.357289509984088</v>
      </c>
      <c r="G1868">
        <v>27.640168423410081</v>
      </c>
      <c r="H1868">
        <v>1.6908533371936461</v>
      </c>
      <c r="I1868">
        <v>0.37614413416983539</v>
      </c>
      <c r="J1868">
        <v>4.8420562877213857E-2</v>
      </c>
      <c r="K1868">
        <v>8.6072215361275906E-2</v>
      </c>
      <c r="L1868">
        <v>0.1779032304526971</v>
      </c>
      <c r="M1868">
        <v>17</v>
      </c>
      <c r="N1868">
        <v>1</v>
      </c>
      <c r="O1868">
        <v>0</v>
      </c>
      <c r="P1868">
        <v>0.70079999999999998</v>
      </c>
      <c r="Q1868">
        <v>0.18329999999999999</v>
      </c>
      <c r="R1868">
        <v>0.1119</v>
      </c>
      <c r="S1868">
        <v>0</v>
      </c>
      <c r="T1868">
        <v>0.63629999999999998</v>
      </c>
      <c r="U1868">
        <v>9</v>
      </c>
      <c r="V1868">
        <v>0</v>
      </c>
      <c r="W1868">
        <v>0.33333333333333331</v>
      </c>
      <c r="X1868">
        <v>0</v>
      </c>
      <c r="Y1868">
        <v>0.46389999999999998</v>
      </c>
      <c r="Z1868">
        <v>0.88888888888888884</v>
      </c>
    </row>
    <row r="1869" spans="1:26" x14ac:dyDescent="0.2">
      <c r="A1869" t="s">
        <v>161</v>
      </c>
      <c r="B1869">
        <v>2014</v>
      </c>
      <c r="C1869" t="str">
        <f t="shared" si="29"/>
        <v>TLG2014</v>
      </c>
      <c r="D1869">
        <v>1.2001971631565309E-13</v>
      </c>
      <c r="E1869">
        <v>0.20131528635977289</v>
      </c>
      <c r="F1869">
        <v>1.6206671203028611</v>
      </c>
      <c r="G1869">
        <v>27.733760484495061</v>
      </c>
      <c r="H1869">
        <v>2.102962108947116</v>
      </c>
      <c r="I1869">
        <v>0.33931418344750042</v>
      </c>
      <c r="J1869">
        <v>9.8111692041862111E-2</v>
      </c>
      <c r="K1869">
        <v>0.2051032896040976</v>
      </c>
      <c r="L1869">
        <v>0.15454072472791261</v>
      </c>
      <c r="M1869">
        <v>18</v>
      </c>
      <c r="N1869">
        <v>1</v>
      </c>
      <c r="O1869">
        <v>0</v>
      </c>
      <c r="P1869">
        <v>0.70079999999999998</v>
      </c>
      <c r="Q1869">
        <v>0.18379999999999999</v>
      </c>
      <c r="R1869">
        <v>0.1119</v>
      </c>
      <c r="S1869">
        <v>0</v>
      </c>
      <c r="T1869">
        <v>0.63629999999999998</v>
      </c>
      <c r="U1869">
        <v>9</v>
      </c>
      <c r="V1869">
        <v>0</v>
      </c>
      <c r="W1869">
        <v>0.33333333333333331</v>
      </c>
      <c r="X1869">
        <v>1</v>
      </c>
      <c r="Y1869">
        <v>0.46789999999999998</v>
      </c>
      <c r="Z1869">
        <v>0.88888888888888884</v>
      </c>
    </row>
    <row r="1870" spans="1:26" x14ac:dyDescent="0.2">
      <c r="A1870" t="s">
        <v>161</v>
      </c>
      <c r="B1870">
        <v>2015</v>
      </c>
      <c r="C1870" t="str">
        <f t="shared" si="29"/>
        <v>TLG2015</v>
      </c>
      <c r="D1870">
        <v>1.123657027104049E-13</v>
      </c>
      <c r="E1870">
        <v>0.22863685860362659</v>
      </c>
      <c r="F1870">
        <v>2.3019591624381248</v>
      </c>
      <c r="G1870">
        <v>27.887984881239419</v>
      </c>
      <c r="H1870">
        <v>2.4686152414935099</v>
      </c>
      <c r="I1870">
        <v>0.36454401706218909</v>
      </c>
      <c r="J1870">
        <v>0.16675267290663109</v>
      </c>
      <c r="K1870">
        <v>0.12714044987030429</v>
      </c>
      <c r="L1870">
        <v>0.1329260128330832</v>
      </c>
      <c r="M1870">
        <v>19</v>
      </c>
      <c r="N1870">
        <v>1</v>
      </c>
      <c r="O1870">
        <v>0</v>
      </c>
      <c r="P1870">
        <v>0.65479999999999994</v>
      </c>
      <c r="Q1870">
        <v>0.18529999999999999</v>
      </c>
      <c r="R1870">
        <v>6.59E-2</v>
      </c>
      <c r="S1870">
        <v>0</v>
      </c>
      <c r="T1870">
        <v>0.59030000000000005</v>
      </c>
      <c r="U1870">
        <v>9</v>
      </c>
      <c r="V1870">
        <v>0</v>
      </c>
      <c r="W1870">
        <v>0.33333333333333331</v>
      </c>
      <c r="X1870">
        <v>1</v>
      </c>
      <c r="Y1870">
        <v>0.47789999999999999</v>
      </c>
      <c r="Z1870">
        <v>0.88888888888888884</v>
      </c>
    </row>
    <row r="1871" spans="1:26" x14ac:dyDescent="0.2">
      <c r="A1871" t="s">
        <v>161</v>
      </c>
      <c r="B1871">
        <v>2016</v>
      </c>
      <c r="C1871" t="str">
        <f t="shared" si="29"/>
        <v>TLG2016</v>
      </c>
      <c r="D1871">
        <v>1.2527801883305601E-13</v>
      </c>
      <c r="E1871">
        <v>0.25975549244980728</v>
      </c>
      <c r="F1871">
        <v>3.1276651649747138</v>
      </c>
      <c r="G1871">
        <v>27.956224718396701</v>
      </c>
      <c r="H1871">
        <v>2.3682790305900241</v>
      </c>
      <c r="I1871">
        <v>0.3323570499256352</v>
      </c>
      <c r="J1871">
        <v>7.0622052638777522E-2</v>
      </c>
      <c r="K1871">
        <v>0.2226635292234441</v>
      </c>
      <c r="L1871">
        <v>0.15110845338399659</v>
      </c>
      <c r="M1871">
        <v>20</v>
      </c>
      <c r="N1871">
        <v>1</v>
      </c>
      <c r="O1871">
        <v>0</v>
      </c>
      <c r="P1871">
        <v>0.64679999999999993</v>
      </c>
      <c r="Q1871">
        <v>0.18529999999999999</v>
      </c>
      <c r="R1871">
        <v>5.79E-2</v>
      </c>
      <c r="S1871">
        <v>0</v>
      </c>
      <c r="T1871">
        <v>0.58229999999999993</v>
      </c>
      <c r="U1871">
        <v>9</v>
      </c>
      <c r="V1871">
        <v>0</v>
      </c>
      <c r="W1871">
        <v>0.33333333333333331</v>
      </c>
      <c r="X1871">
        <v>1</v>
      </c>
      <c r="Y1871">
        <v>0.4879</v>
      </c>
      <c r="Z1871">
        <v>0.88888888888888884</v>
      </c>
    </row>
    <row r="1872" spans="1:26" x14ac:dyDescent="0.2">
      <c r="A1872" t="s">
        <v>161</v>
      </c>
      <c r="B1872">
        <v>2017</v>
      </c>
      <c r="C1872" t="str">
        <f t="shared" si="29"/>
        <v>TLG2017</v>
      </c>
      <c r="D1872">
        <v>1.089558624786297E-13</v>
      </c>
      <c r="E1872">
        <v>0.25289577285599663</v>
      </c>
      <c r="F1872">
        <v>3.5796518700450188</v>
      </c>
      <c r="G1872">
        <v>28.081151522114229</v>
      </c>
      <c r="H1872">
        <v>2.4815443842080862</v>
      </c>
      <c r="I1872">
        <v>0.3242311260428003</v>
      </c>
      <c r="J1872">
        <v>0.13306551384803281</v>
      </c>
      <c r="K1872">
        <v>8.6122257139177788E-2</v>
      </c>
      <c r="L1872">
        <v>0.20499291704878661</v>
      </c>
      <c r="M1872">
        <v>21</v>
      </c>
      <c r="N1872">
        <v>1</v>
      </c>
      <c r="O1872">
        <v>0</v>
      </c>
      <c r="P1872">
        <v>0.58019999999999994</v>
      </c>
      <c r="Q1872">
        <v>0.1231</v>
      </c>
      <c r="R1872">
        <v>0</v>
      </c>
      <c r="S1872">
        <v>0</v>
      </c>
      <c r="T1872">
        <v>0.51659999999999995</v>
      </c>
      <c r="U1872">
        <v>8</v>
      </c>
      <c r="V1872">
        <v>0</v>
      </c>
      <c r="W1872">
        <v>0.375</v>
      </c>
      <c r="X1872">
        <v>1</v>
      </c>
      <c r="Y1872">
        <v>0.47889999999999999</v>
      </c>
      <c r="Z1872">
        <v>0.875</v>
      </c>
    </row>
    <row r="1873" spans="1:26" x14ac:dyDescent="0.2">
      <c r="A1873" t="s">
        <v>161</v>
      </c>
      <c r="B1873">
        <v>2018</v>
      </c>
      <c r="C1873" t="str">
        <f t="shared" si="29"/>
        <v>TLG2018</v>
      </c>
      <c r="D1873">
        <v>9.1400877449487296E-14</v>
      </c>
      <c r="E1873">
        <v>0.23204191333267191</v>
      </c>
      <c r="F1873">
        <v>2.6734744427752681</v>
      </c>
      <c r="G1873">
        <v>28.215836506724479</v>
      </c>
      <c r="H1873">
        <v>2.3009404986568969</v>
      </c>
      <c r="I1873">
        <v>0.29308690890145411</v>
      </c>
      <c r="J1873">
        <v>0.14417629443302599</v>
      </c>
      <c r="K1873">
        <v>2.85000039893425E-2</v>
      </c>
      <c r="L1873">
        <v>0.25151033966385011</v>
      </c>
      <c r="M1873">
        <v>22</v>
      </c>
      <c r="N1873">
        <v>1</v>
      </c>
      <c r="O1873">
        <v>0</v>
      </c>
      <c r="P1873">
        <v>0.58019999999999994</v>
      </c>
      <c r="Q1873">
        <v>0.1231</v>
      </c>
      <c r="R1873">
        <v>0</v>
      </c>
      <c r="S1873">
        <v>0</v>
      </c>
      <c r="T1873">
        <v>0.51659999999999995</v>
      </c>
      <c r="U1873">
        <v>8</v>
      </c>
      <c r="V1873">
        <v>0</v>
      </c>
      <c r="W1873">
        <v>0.375</v>
      </c>
      <c r="X1873">
        <v>1</v>
      </c>
      <c r="Y1873">
        <v>0.4889</v>
      </c>
      <c r="Z1873">
        <v>0.875</v>
      </c>
    </row>
    <row r="1874" spans="1:26" x14ac:dyDescent="0.2">
      <c r="A1874" t="s">
        <v>161</v>
      </c>
      <c r="B1874">
        <v>2019</v>
      </c>
      <c r="C1874" t="str">
        <f t="shared" si="29"/>
        <v>TLG2019</v>
      </c>
      <c r="D1874">
        <v>5.9760601763418704E-14</v>
      </c>
      <c r="E1874">
        <v>0.19318737427129931</v>
      </c>
      <c r="F1874">
        <v>1.5366418532575681</v>
      </c>
      <c r="G1874">
        <v>28.513508468401071</v>
      </c>
      <c r="H1874">
        <v>2.3727057968377729</v>
      </c>
      <c r="I1874">
        <v>0.25235469613391642</v>
      </c>
      <c r="J1874">
        <v>0.3467199396608302</v>
      </c>
      <c r="K1874">
        <v>0.1114250527953901</v>
      </c>
      <c r="L1874">
        <v>0.1909419924339556</v>
      </c>
      <c r="M1874">
        <v>23</v>
      </c>
      <c r="N1874">
        <v>1</v>
      </c>
      <c r="O1874">
        <v>1</v>
      </c>
      <c r="P1874">
        <v>0.6099</v>
      </c>
      <c r="Q1874">
        <v>0.1123</v>
      </c>
      <c r="R1874">
        <v>7.0699999999999999E-2</v>
      </c>
      <c r="S1874">
        <v>0</v>
      </c>
      <c r="T1874">
        <v>0.55079999999999996</v>
      </c>
      <c r="U1874">
        <v>9</v>
      </c>
      <c r="V1874">
        <v>0</v>
      </c>
      <c r="W1874">
        <v>0.33333333333333331</v>
      </c>
      <c r="X1874">
        <v>1</v>
      </c>
      <c r="Y1874">
        <v>0.4975</v>
      </c>
      <c r="Z1874">
        <v>0.88888888888888884</v>
      </c>
    </row>
    <row r="1875" spans="1:26" x14ac:dyDescent="0.2">
      <c r="A1875" t="s">
        <v>161</v>
      </c>
      <c r="B1875">
        <v>2020</v>
      </c>
      <c r="C1875" t="str">
        <f t="shared" si="29"/>
        <v>TLG2020</v>
      </c>
      <c r="D1875">
        <v>4.4769182106950452E-14</v>
      </c>
      <c r="E1875">
        <v>0.13719074202157849</v>
      </c>
      <c r="F1875">
        <v>1.555484536182467</v>
      </c>
      <c r="G1875">
        <v>28.47025763156709</v>
      </c>
      <c r="H1875">
        <v>3.3009686228108399</v>
      </c>
      <c r="I1875">
        <v>0.2446814635215285</v>
      </c>
      <c r="J1875">
        <v>-4.2328859260333133E-2</v>
      </c>
      <c r="K1875">
        <v>0.17170175283244141</v>
      </c>
      <c r="L1875">
        <v>0.19544580203448289</v>
      </c>
      <c r="M1875">
        <v>24</v>
      </c>
      <c r="N1875">
        <v>1</v>
      </c>
      <c r="O1875">
        <v>1</v>
      </c>
      <c r="P1875">
        <v>0.61180000000000001</v>
      </c>
      <c r="Q1875">
        <v>0.1193</v>
      </c>
      <c r="R1875">
        <v>7.0699999999999999E-2</v>
      </c>
      <c r="S1875">
        <v>0</v>
      </c>
      <c r="T1875">
        <v>0.55079999999999996</v>
      </c>
      <c r="U1875">
        <v>9</v>
      </c>
      <c r="V1875">
        <v>0</v>
      </c>
      <c r="W1875">
        <v>0.33333333333333331</v>
      </c>
      <c r="X1875">
        <v>1</v>
      </c>
      <c r="Y1875">
        <v>0.52329999999999999</v>
      </c>
      <c r="Z1875">
        <v>0.88888888888888884</v>
      </c>
    </row>
    <row r="1876" spans="1:26" x14ac:dyDescent="0.2">
      <c r="A1876" t="s">
        <v>161</v>
      </c>
      <c r="B1876">
        <v>2021</v>
      </c>
      <c r="C1876" t="str">
        <f t="shared" si="29"/>
        <v>TLG2021</v>
      </c>
      <c r="D1876">
        <v>4.6244351142119987E-14</v>
      </c>
      <c r="E1876">
        <v>0.1515724584006411</v>
      </c>
      <c r="F1876">
        <v>1.7039047763135811</v>
      </c>
      <c r="G1876">
        <v>28.525531795468311</v>
      </c>
      <c r="H1876">
        <v>3.4065253157643789</v>
      </c>
      <c r="I1876">
        <v>0.25368967894953293</v>
      </c>
      <c r="J1876">
        <v>5.6830319683720758E-2</v>
      </c>
      <c r="K1876">
        <v>0.10277648161205891</v>
      </c>
      <c r="L1876">
        <v>0.18168680770203899</v>
      </c>
      <c r="M1876">
        <v>25</v>
      </c>
      <c r="N1876">
        <v>1</v>
      </c>
      <c r="O1876">
        <v>0</v>
      </c>
      <c r="P1876">
        <v>0.61180000000000001</v>
      </c>
      <c r="Q1876">
        <v>0.10920000000000001</v>
      </c>
      <c r="R1876">
        <v>7.0699999999999999E-2</v>
      </c>
      <c r="S1876">
        <v>0</v>
      </c>
      <c r="T1876">
        <v>0.55079999999999996</v>
      </c>
      <c r="U1876">
        <v>9</v>
      </c>
      <c r="V1876">
        <v>0</v>
      </c>
      <c r="W1876">
        <v>0.33333333333333331</v>
      </c>
      <c r="X1876">
        <v>1</v>
      </c>
      <c r="Y1876">
        <v>0.49669999999999997</v>
      </c>
      <c r="Z1876">
        <v>0.88888888888888884</v>
      </c>
    </row>
    <row r="1877" spans="1:26" x14ac:dyDescent="0.2">
      <c r="A1877" t="s">
        <v>161</v>
      </c>
      <c r="B1877">
        <v>2022</v>
      </c>
      <c r="C1877" t="str">
        <f t="shared" si="29"/>
        <v>TLG2022</v>
      </c>
      <c r="D1877">
        <v>4.8708478000325797E-14</v>
      </c>
      <c r="E1877">
        <v>0.20478225865303759</v>
      </c>
      <c r="F1877">
        <v>1.7004601232629599</v>
      </c>
      <c r="G1877">
        <v>28.684997218674901</v>
      </c>
      <c r="H1877">
        <v>3.2292369910989298</v>
      </c>
      <c r="I1877">
        <v>0.317585515909663</v>
      </c>
      <c r="J1877">
        <v>0.1728837069619642</v>
      </c>
      <c r="K1877">
        <v>0.10828620702736449</v>
      </c>
      <c r="L1877">
        <v>0.19397493179744599</v>
      </c>
      <c r="M1877">
        <v>26</v>
      </c>
      <c r="N1877">
        <v>1</v>
      </c>
      <c r="O1877">
        <v>0</v>
      </c>
      <c r="P1877">
        <v>0.61199999999999999</v>
      </c>
      <c r="Q1877">
        <v>0.1116</v>
      </c>
      <c r="R1877">
        <v>7.0999999999999994E-2</v>
      </c>
      <c r="S1877">
        <v>0</v>
      </c>
      <c r="T1877">
        <v>0.55100000000000005</v>
      </c>
      <c r="U1877">
        <v>7</v>
      </c>
      <c r="V1877">
        <v>0</v>
      </c>
      <c r="W1877">
        <v>0.42857142857142849</v>
      </c>
      <c r="X1877">
        <v>1</v>
      </c>
      <c r="Y1877">
        <v>0.50219999999999998</v>
      </c>
      <c r="Z1877">
        <v>0.8571428571428571</v>
      </c>
    </row>
    <row r="1878" spans="1:26" x14ac:dyDescent="0.2">
      <c r="A1878" t="s">
        <v>161</v>
      </c>
      <c r="B1878">
        <v>2023</v>
      </c>
      <c r="C1878" t="str">
        <f t="shared" si="29"/>
        <v>TLG2023</v>
      </c>
      <c r="D1878">
        <v>-5666229634819.4189</v>
      </c>
      <c r="E1878">
        <v>0.1410698905485048</v>
      </c>
      <c r="F1878">
        <v>1.3573531722851619</v>
      </c>
      <c r="G1878">
        <v>28.663653197198371</v>
      </c>
      <c r="H1878">
        <v>2.566253777415215</v>
      </c>
      <c r="I1878">
        <v>0.10099563191515749</v>
      </c>
      <c r="J1878">
        <v>-2.1117849845555429E-2</v>
      </c>
      <c r="K1878">
        <v>9.7630797298922115E-2</v>
      </c>
      <c r="L1878">
        <v>0.1985869935588892</v>
      </c>
      <c r="M1878">
        <v>27</v>
      </c>
      <c r="N1878">
        <v>0</v>
      </c>
      <c r="O1878">
        <v>0</v>
      </c>
      <c r="P1878">
        <v>0.61199999999999999</v>
      </c>
      <c r="Q1878">
        <v>0.1116</v>
      </c>
      <c r="R1878">
        <v>7.0999999999999994E-2</v>
      </c>
      <c r="S1878">
        <v>0</v>
      </c>
      <c r="T1878">
        <v>0.55100000000000005</v>
      </c>
      <c r="U1878">
        <v>7</v>
      </c>
      <c r="V1878">
        <v>0</v>
      </c>
      <c r="W1878">
        <v>0.42857142857142849</v>
      </c>
      <c r="X1878">
        <v>1</v>
      </c>
      <c r="Y1878">
        <v>0.50219999999999998</v>
      </c>
      <c r="Z1878">
        <v>0.8571428571428571</v>
      </c>
    </row>
    <row r="1879" spans="1:26" x14ac:dyDescent="0.2">
      <c r="A1879" t="s">
        <v>162</v>
      </c>
      <c r="B1879">
        <v>2012</v>
      </c>
      <c r="C1879" t="str">
        <f t="shared" si="29"/>
        <v>TMT2012</v>
      </c>
      <c r="D1879">
        <v>3.3741458979997629E-15</v>
      </c>
      <c r="E1879">
        <v>3.9488189702430211E-3</v>
      </c>
      <c r="F1879">
        <v>0.67548933316747972</v>
      </c>
      <c r="G1879">
        <v>27.1310305196948</v>
      </c>
      <c r="H1879">
        <v>1.3795710237824641</v>
      </c>
      <c r="I1879">
        <v>0.45820554418139531</v>
      </c>
      <c r="J1879">
        <v>-4.3231359226957977E-2</v>
      </c>
      <c r="K1879">
        <v>6.6931949932245612E-3</v>
      </c>
      <c r="L1879">
        <v>0.40578531933291001</v>
      </c>
      <c r="M1879">
        <v>19</v>
      </c>
      <c r="N1879">
        <v>0</v>
      </c>
      <c r="O1879">
        <v>0</v>
      </c>
      <c r="P1879">
        <v>0.71560000000000001</v>
      </c>
      <c r="Q1879">
        <v>0.40589999999999998</v>
      </c>
      <c r="R1879">
        <v>0</v>
      </c>
      <c r="S1879">
        <v>0.21540000000000001</v>
      </c>
      <c r="T1879">
        <v>0.30330000000000001</v>
      </c>
      <c r="U1879">
        <v>7</v>
      </c>
      <c r="V1879">
        <v>1</v>
      </c>
      <c r="W1879">
        <v>0</v>
      </c>
      <c r="X1879">
        <v>0</v>
      </c>
      <c r="Y1879">
        <v>0.46100000000000002</v>
      </c>
      <c r="Z1879">
        <v>1</v>
      </c>
    </row>
    <row r="1880" spans="1:26" x14ac:dyDescent="0.2">
      <c r="A1880" t="s">
        <v>162</v>
      </c>
      <c r="B1880">
        <v>2013</v>
      </c>
      <c r="C1880" t="str">
        <f t="shared" si="29"/>
        <v>TMT2013</v>
      </c>
      <c r="D1880">
        <v>2.0164879726704439E-14</v>
      </c>
      <c r="E1880">
        <v>1.7746895657889401E-2</v>
      </c>
      <c r="F1880">
        <v>0.63617611592450218</v>
      </c>
      <c r="G1880">
        <v>26.995480766588781</v>
      </c>
      <c r="H1880">
        <v>1.2616486140389871</v>
      </c>
      <c r="I1880">
        <v>0.3714675580156514</v>
      </c>
      <c r="J1880">
        <v>-0.1268292994403912</v>
      </c>
      <c r="K1880">
        <v>0.1943909052932602</v>
      </c>
      <c r="L1880">
        <v>0.36909910039015092</v>
      </c>
      <c r="M1880">
        <v>20</v>
      </c>
      <c r="N1880">
        <v>0</v>
      </c>
      <c r="O1880">
        <v>0</v>
      </c>
      <c r="P1880">
        <v>0.71560000000000001</v>
      </c>
      <c r="Q1880">
        <v>0.38340000000000002</v>
      </c>
      <c r="R1880">
        <v>0</v>
      </c>
      <c r="S1880">
        <v>0.21540000000000001</v>
      </c>
      <c r="T1880">
        <v>0.30330000000000001</v>
      </c>
      <c r="U1880">
        <v>7</v>
      </c>
      <c r="V1880">
        <v>1</v>
      </c>
      <c r="W1880">
        <v>0</v>
      </c>
      <c r="X1880">
        <v>0</v>
      </c>
      <c r="Y1880">
        <v>0.46899999999999997</v>
      </c>
      <c r="Z1880">
        <v>1</v>
      </c>
    </row>
    <row r="1881" spans="1:26" x14ac:dyDescent="0.2">
      <c r="A1881" t="s">
        <v>162</v>
      </c>
      <c r="B1881">
        <v>2014</v>
      </c>
      <c r="C1881" t="str">
        <f t="shared" si="29"/>
        <v>TMT2014</v>
      </c>
      <c r="D1881">
        <v>4.2590816011444002E-14</v>
      </c>
      <c r="E1881">
        <v>0.20586080485050379</v>
      </c>
      <c r="F1881">
        <v>1.15609799014071</v>
      </c>
      <c r="G1881">
        <v>27.83514079858347</v>
      </c>
      <c r="H1881">
        <v>1.6018587523480721</v>
      </c>
      <c r="I1881">
        <v>0.734309716710706</v>
      </c>
      <c r="J1881">
        <v>1.3155796199660681</v>
      </c>
      <c r="K1881">
        <v>-8.1149390428539345E-2</v>
      </c>
      <c r="L1881">
        <v>0.16439046193923601</v>
      </c>
      <c r="M1881">
        <v>21</v>
      </c>
      <c r="N1881">
        <v>0</v>
      </c>
      <c r="O1881">
        <v>0</v>
      </c>
      <c r="P1881">
        <v>0.74140000000000006</v>
      </c>
      <c r="Q1881">
        <v>0.5474</v>
      </c>
      <c r="R1881">
        <v>0</v>
      </c>
      <c r="S1881">
        <v>0.21560000000000001</v>
      </c>
      <c r="T1881">
        <v>0.21560000000000001</v>
      </c>
      <c r="U1881">
        <v>7</v>
      </c>
      <c r="V1881">
        <v>1</v>
      </c>
      <c r="W1881">
        <v>0</v>
      </c>
      <c r="X1881">
        <v>0</v>
      </c>
      <c r="Y1881">
        <v>0.47570000000000001</v>
      </c>
      <c r="Z1881">
        <v>1</v>
      </c>
    </row>
    <row r="1882" spans="1:26" x14ac:dyDescent="0.2">
      <c r="A1882" t="s">
        <v>162</v>
      </c>
      <c r="B1882">
        <v>2015</v>
      </c>
      <c r="C1882" t="str">
        <f t="shared" si="29"/>
        <v>TMT2015</v>
      </c>
      <c r="D1882">
        <v>4.6876349113892941E-14</v>
      </c>
      <c r="E1882">
        <v>0.47854996888694218</v>
      </c>
      <c r="F1882">
        <v>1.5819318658374311</v>
      </c>
      <c r="G1882">
        <v>28.322222976404721</v>
      </c>
      <c r="H1882">
        <v>1.1155066496477439</v>
      </c>
      <c r="I1882">
        <v>0.80447079180372671</v>
      </c>
      <c r="J1882">
        <v>0.62756035324690362</v>
      </c>
      <c r="K1882">
        <v>-0.35414935434504158</v>
      </c>
      <c r="L1882">
        <v>0.1359347889327093</v>
      </c>
      <c r="M1882">
        <v>22</v>
      </c>
      <c r="N1882">
        <v>0</v>
      </c>
      <c r="O1882">
        <v>0</v>
      </c>
      <c r="P1882">
        <v>0.7641</v>
      </c>
      <c r="Q1882">
        <v>0.56269999999999998</v>
      </c>
      <c r="R1882">
        <v>0</v>
      </c>
      <c r="S1882">
        <v>0</v>
      </c>
      <c r="T1882">
        <v>0.21560000000000001</v>
      </c>
      <c r="U1882">
        <v>7</v>
      </c>
      <c r="V1882">
        <v>1</v>
      </c>
      <c r="W1882">
        <v>0</v>
      </c>
      <c r="X1882">
        <v>0</v>
      </c>
      <c r="Y1882">
        <v>0.45400000000000001</v>
      </c>
      <c r="Z1882">
        <v>1</v>
      </c>
    </row>
    <row r="1883" spans="1:26" x14ac:dyDescent="0.2">
      <c r="A1883" t="s">
        <v>162</v>
      </c>
      <c r="B1883">
        <v>2016</v>
      </c>
      <c r="C1883" t="str">
        <f t="shared" si="29"/>
        <v>TMT2016</v>
      </c>
      <c r="D1883">
        <v>1.1799552239206341E-14</v>
      </c>
      <c r="E1883">
        <v>0.1122596982863667</v>
      </c>
      <c r="F1883">
        <v>1.048301429820538</v>
      </c>
      <c r="G1883">
        <v>28.33505748311476</v>
      </c>
      <c r="H1883">
        <v>1.0727455449590091</v>
      </c>
      <c r="I1883">
        <v>0.7874795308340754</v>
      </c>
      <c r="J1883">
        <v>1.291722248453642E-2</v>
      </c>
      <c r="K1883">
        <v>1.8087134174128699E-2</v>
      </c>
      <c r="L1883">
        <v>0.15241269433969401</v>
      </c>
      <c r="M1883">
        <v>23</v>
      </c>
      <c r="N1883">
        <v>0</v>
      </c>
      <c r="O1883">
        <v>0</v>
      </c>
      <c r="P1883">
        <v>0.745</v>
      </c>
      <c r="Q1883">
        <v>0.50890000000000002</v>
      </c>
      <c r="R1883">
        <v>0</v>
      </c>
      <c r="S1883">
        <v>0</v>
      </c>
      <c r="T1883">
        <v>0.19339999999999999</v>
      </c>
      <c r="U1883">
        <v>7</v>
      </c>
      <c r="V1883">
        <v>1</v>
      </c>
      <c r="W1883">
        <v>0</v>
      </c>
      <c r="X1883">
        <v>0</v>
      </c>
      <c r="Y1883">
        <v>0.44299999999999989</v>
      </c>
      <c r="Z1883">
        <v>1</v>
      </c>
    </row>
    <row r="1884" spans="1:26" x14ac:dyDescent="0.2">
      <c r="A1884" t="s">
        <v>162</v>
      </c>
      <c r="B1884">
        <v>2017</v>
      </c>
      <c r="C1884" t="str">
        <f t="shared" si="29"/>
        <v>TMT2017</v>
      </c>
      <c r="D1884">
        <v>1.5266920699060031E-15</v>
      </c>
      <c r="E1884">
        <v>2.582782478631529E-2</v>
      </c>
      <c r="F1884">
        <v>0.95940416085394919</v>
      </c>
      <c r="G1884">
        <v>28.633367405335949</v>
      </c>
      <c r="H1884">
        <v>1.105726470239202</v>
      </c>
      <c r="I1884">
        <v>0.8389439362356903</v>
      </c>
      <c r="J1884">
        <v>0.34757936795848932</v>
      </c>
      <c r="K1884">
        <v>-0.1173150896968003</v>
      </c>
      <c r="L1884">
        <v>0.124723251272534</v>
      </c>
      <c r="M1884">
        <v>24</v>
      </c>
      <c r="N1884">
        <v>0</v>
      </c>
      <c r="O1884">
        <v>0</v>
      </c>
      <c r="P1884">
        <v>0.65890000000000004</v>
      </c>
      <c r="Q1884">
        <v>0.50919999999999999</v>
      </c>
      <c r="R1884">
        <v>0</v>
      </c>
      <c r="S1884">
        <v>0</v>
      </c>
      <c r="T1884">
        <v>0.10730000000000001</v>
      </c>
      <c r="U1884">
        <v>8</v>
      </c>
      <c r="V1884">
        <v>1</v>
      </c>
      <c r="W1884">
        <v>0</v>
      </c>
      <c r="X1884">
        <v>0</v>
      </c>
      <c r="Y1884">
        <v>0.44379999999999997</v>
      </c>
      <c r="Z1884">
        <v>1</v>
      </c>
    </row>
    <row r="1885" spans="1:26" x14ac:dyDescent="0.2">
      <c r="A1885" t="s">
        <v>162</v>
      </c>
      <c r="B1885">
        <v>2018</v>
      </c>
      <c r="C1885" t="str">
        <f t="shared" si="29"/>
        <v>TMT2018</v>
      </c>
      <c r="D1885">
        <v>9.5595657259261768E-16</v>
      </c>
      <c r="E1885">
        <v>6.8688028639589498E-3</v>
      </c>
      <c r="F1885">
        <v>0.96232587545881643</v>
      </c>
      <c r="G1885">
        <v>28.162651471767731</v>
      </c>
      <c r="H1885">
        <v>1.0532424148852699</v>
      </c>
      <c r="I1885">
        <v>0.76316753172454455</v>
      </c>
      <c r="J1885">
        <v>-0.37810983914441088</v>
      </c>
      <c r="K1885">
        <v>0.27863272275853729</v>
      </c>
      <c r="L1885">
        <v>0.1696658366098388</v>
      </c>
      <c r="M1885">
        <v>25</v>
      </c>
      <c r="N1885">
        <v>0</v>
      </c>
      <c r="O1885">
        <v>0</v>
      </c>
      <c r="P1885">
        <v>0.75840000000000007</v>
      </c>
      <c r="Q1885">
        <v>0.442</v>
      </c>
      <c r="R1885">
        <v>0</v>
      </c>
      <c r="S1885">
        <v>0</v>
      </c>
      <c r="T1885">
        <v>0.27339999999999998</v>
      </c>
      <c r="U1885">
        <v>7</v>
      </c>
      <c r="V1885">
        <v>1</v>
      </c>
      <c r="W1885">
        <v>0.2857142857142857</v>
      </c>
      <c r="X1885">
        <v>0</v>
      </c>
      <c r="Y1885">
        <v>0.4425</v>
      </c>
      <c r="Z1885">
        <v>1</v>
      </c>
    </row>
    <row r="1886" spans="1:26" x14ac:dyDescent="0.2">
      <c r="A1886" t="s">
        <v>162</v>
      </c>
      <c r="B1886">
        <v>2019</v>
      </c>
      <c r="C1886" t="str">
        <f t="shared" si="29"/>
        <v>TMT2019</v>
      </c>
      <c r="D1886">
        <v>1.5376545016713959E-15</v>
      </c>
      <c r="E1886">
        <v>9.3608961941668879E-3</v>
      </c>
      <c r="F1886">
        <v>0.86553711283015144</v>
      </c>
      <c r="G1886">
        <v>28.095150140505059</v>
      </c>
      <c r="H1886">
        <v>1.0850295865610979</v>
      </c>
      <c r="I1886">
        <v>0.73871768877685673</v>
      </c>
      <c r="J1886">
        <v>-6.1268208593737938E-2</v>
      </c>
      <c r="K1886">
        <v>3.0961507268834579E-2</v>
      </c>
      <c r="L1886">
        <v>0.17145594642828429</v>
      </c>
      <c r="M1886">
        <v>26</v>
      </c>
      <c r="N1886">
        <v>0</v>
      </c>
      <c r="O1886">
        <v>1</v>
      </c>
      <c r="P1886">
        <v>0.48499999999999999</v>
      </c>
      <c r="Q1886">
        <v>0.44080000000000003</v>
      </c>
      <c r="R1886">
        <v>0</v>
      </c>
      <c r="S1886">
        <v>0</v>
      </c>
      <c r="T1886">
        <v>0</v>
      </c>
      <c r="U1886">
        <v>7</v>
      </c>
      <c r="V1886">
        <v>1</v>
      </c>
      <c r="W1886">
        <v>0.2857142857142857</v>
      </c>
      <c r="X1886">
        <v>0</v>
      </c>
      <c r="Y1886">
        <v>0.43</v>
      </c>
      <c r="Z1886">
        <v>1</v>
      </c>
    </row>
    <row r="1887" spans="1:26" x14ac:dyDescent="0.2">
      <c r="A1887" t="s">
        <v>162</v>
      </c>
      <c r="B1887">
        <v>2020</v>
      </c>
      <c r="C1887" t="str">
        <f t="shared" si="29"/>
        <v>TMT2020</v>
      </c>
      <c r="D1887">
        <v>6.2122567224428633E-16</v>
      </c>
      <c r="E1887">
        <v>4.3354351546711929E-3</v>
      </c>
      <c r="F1887">
        <v>0.87151651079464731</v>
      </c>
      <c r="G1887">
        <v>28.16548214754193</v>
      </c>
      <c r="H1887">
        <v>1.111071559297738</v>
      </c>
      <c r="I1887">
        <v>0.75547110986470023</v>
      </c>
      <c r="J1887">
        <v>7.2864320634617119E-2</v>
      </c>
      <c r="K1887">
        <v>0.25480693844177671</v>
      </c>
      <c r="L1887">
        <v>0.15905882898441451</v>
      </c>
      <c r="M1887">
        <v>27</v>
      </c>
      <c r="N1887">
        <v>0</v>
      </c>
      <c r="O1887">
        <v>1</v>
      </c>
      <c r="P1887">
        <v>0.58150000000000002</v>
      </c>
      <c r="Q1887">
        <v>0.44130000000000003</v>
      </c>
      <c r="R1887">
        <v>0</v>
      </c>
      <c r="S1887">
        <v>0</v>
      </c>
      <c r="T1887">
        <v>0</v>
      </c>
      <c r="U1887">
        <v>7</v>
      </c>
      <c r="V1887">
        <v>0</v>
      </c>
      <c r="W1887">
        <v>0.2857142857142857</v>
      </c>
      <c r="X1887">
        <v>0</v>
      </c>
      <c r="Y1887">
        <v>0.39629999999999999</v>
      </c>
      <c r="Z1887">
        <v>1</v>
      </c>
    </row>
    <row r="1888" spans="1:26" x14ac:dyDescent="0.2">
      <c r="A1888" t="s">
        <v>162</v>
      </c>
      <c r="B1888">
        <v>2021</v>
      </c>
      <c r="C1888" t="str">
        <f t="shared" si="29"/>
        <v>TMT2021</v>
      </c>
      <c r="D1888">
        <v>4.2472261703728907E-15</v>
      </c>
      <c r="E1888">
        <v>9.0157130343251429E-2</v>
      </c>
      <c r="F1888">
        <v>1.081050165059666</v>
      </c>
      <c r="G1888">
        <v>28.769101189846911</v>
      </c>
      <c r="H1888">
        <v>1.0839840970633661</v>
      </c>
      <c r="I1888">
        <v>0.85298311910158986</v>
      </c>
      <c r="J1888">
        <v>0.82872507239228965</v>
      </c>
      <c r="K1888">
        <v>-4.0239432823278028E-2</v>
      </c>
      <c r="L1888">
        <v>8.3954166116980353E-2</v>
      </c>
      <c r="M1888">
        <v>28</v>
      </c>
      <c r="N1888">
        <v>0</v>
      </c>
      <c r="O1888">
        <v>0</v>
      </c>
      <c r="P1888">
        <v>0.65099999999999991</v>
      </c>
      <c r="Q1888">
        <v>0.44169999999999998</v>
      </c>
      <c r="R1888">
        <v>0</v>
      </c>
      <c r="S1888">
        <v>0</v>
      </c>
      <c r="T1888">
        <v>0</v>
      </c>
      <c r="U1888">
        <v>7</v>
      </c>
      <c r="V1888">
        <v>0</v>
      </c>
      <c r="W1888">
        <v>0.2857142857142857</v>
      </c>
      <c r="X1888">
        <v>0</v>
      </c>
      <c r="Y1888">
        <v>0.42099999999999999</v>
      </c>
      <c r="Z1888">
        <v>1</v>
      </c>
    </row>
    <row r="1889" spans="1:26" x14ac:dyDescent="0.2">
      <c r="A1889" t="s">
        <v>162</v>
      </c>
      <c r="B1889">
        <v>2022</v>
      </c>
      <c r="C1889" t="str">
        <f t="shared" si="29"/>
        <v>TMT2022</v>
      </c>
      <c r="D1889">
        <v>3.937559161907667E-15</v>
      </c>
      <c r="E1889">
        <v>0.11115438589696799</v>
      </c>
      <c r="F1889">
        <v>0.97443970487654341</v>
      </c>
      <c r="G1889">
        <v>28.885617035711011</v>
      </c>
      <c r="H1889">
        <v>1.0499071981990209</v>
      </c>
      <c r="I1889">
        <v>0.87578770860245803</v>
      </c>
      <c r="J1889">
        <v>0.12357531434788679</v>
      </c>
      <c r="K1889">
        <v>-2.6996316942774129E-2</v>
      </c>
      <c r="L1889">
        <v>7.3374658840776541E-2</v>
      </c>
      <c r="M1889">
        <v>29</v>
      </c>
      <c r="N1889">
        <v>0</v>
      </c>
      <c r="O1889">
        <v>0</v>
      </c>
      <c r="P1889">
        <v>0.65099999999999991</v>
      </c>
      <c r="Q1889">
        <v>0.44109999999999999</v>
      </c>
      <c r="R1889">
        <v>0</v>
      </c>
      <c r="S1889">
        <v>0</v>
      </c>
      <c r="T1889">
        <v>0</v>
      </c>
      <c r="U1889">
        <v>7</v>
      </c>
      <c r="V1889">
        <v>0</v>
      </c>
      <c r="W1889">
        <v>0</v>
      </c>
      <c r="X1889">
        <v>0</v>
      </c>
      <c r="Y1889">
        <v>0.4264</v>
      </c>
      <c r="Z1889">
        <v>1</v>
      </c>
    </row>
    <row r="1890" spans="1:26" x14ac:dyDescent="0.2">
      <c r="A1890" t="s">
        <v>162</v>
      </c>
      <c r="B1890">
        <v>2023</v>
      </c>
      <c r="C1890" t="str">
        <f t="shared" si="29"/>
        <v>TMT2023</v>
      </c>
      <c r="D1890">
        <v>24829125767.49514</v>
      </c>
      <c r="E1890">
        <v>2.6672129822720709E-3</v>
      </c>
      <c r="F1890">
        <v>0.85293044124301187</v>
      </c>
      <c r="G1890">
        <v>28.405634124893641</v>
      </c>
      <c r="H1890">
        <v>1.017098071245373</v>
      </c>
      <c r="I1890">
        <v>0.58608694548218199</v>
      </c>
      <c r="J1890">
        <v>-0.3812060336011126</v>
      </c>
      <c r="K1890">
        <v>-0.16624476643376129</v>
      </c>
      <c r="L1890">
        <v>0.1229509392196034</v>
      </c>
      <c r="M1890">
        <v>30</v>
      </c>
      <c r="N1890">
        <v>0</v>
      </c>
      <c r="O1890">
        <v>0</v>
      </c>
      <c r="P1890">
        <v>0.65099999999999991</v>
      </c>
      <c r="Q1890">
        <v>0.44109999999999999</v>
      </c>
      <c r="R1890">
        <v>0</v>
      </c>
      <c r="S1890">
        <v>0</v>
      </c>
      <c r="T1890">
        <v>0</v>
      </c>
      <c r="U1890">
        <v>7</v>
      </c>
      <c r="V1890">
        <v>0</v>
      </c>
      <c r="W1890">
        <v>0</v>
      </c>
      <c r="X1890">
        <v>0</v>
      </c>
      <c r="Y1890">
        <v>0.4264</v>
      </c>
      <c r="Z1890">
        <v>1</v>
      </c>
    </row>
    <row r="1891" spans="1:26" x14ac:dyDescent="0.2">
      <c r="A1891" t="s">
        <v>163</v>
      </c>
      <c r="B1891">
        <v>2012</v>
      </c>
      <c r="C1891" t="str">
        <f t="shared" si="29"/>
        <v>TMX2012</v>
      </c>
      <c r="D1891">
        <v>1.819865826250865E-13</v>
      </c>
      <c r="E1891">
        <v>0.10442963056374351</v>
      </c>
      <c r="F1891">
        <v>0.79926118854231143</v>
      </c>
      <c r="G1891">
        <v>26.097313831172109</v>
      </c>
      <c r="H1891">
        <v>1.5307167420949761</v>
      </c>
      <c r="I1891">
        <v>0.62404573366497185</v>
      </c>
      <c r="J1891">
        <v>-3.5746302097121818E-2</v>
      </c>
      <c r="K1891">
        <v>8.3403388085818916E-2</v>
      </c>
      <c r="L1891">
        <v>2.503348714888123E-2</v>
      </c>
      <c r="M1891">
        <v>19</v>
      </c>
      <c r="N1891">
        <v>0</v>
      </c>
      <c r="O1891">
        <v>0</v>
      </c>
      <c r="P1891">
        <v>0.69669999999999999</v>
      </c>
      <c r="Q1891">
        <v>0.104</v>
      </c>
      <c r="R1891">
        <v>0</v>
      </c>
      <c r="S1891">
        <v>0.59640000000000004</v>
      </c>
      <c r="T1891">
        <v>0.59640000000000004</v>
      </c>
      <c r="U1891">
        <v>5</v>
      </c>
      <c r="V1891">
        <v>0</v>
      </c>
      <c r="W1891">
        <v>0.4</v>
      </c>
      <c r="X1891">
        <v>0</v>
      </c>
      <c r="Y1891">
        <v>0.49</v>
      </c>
      <c r="Z1891">
        <v>1</v>
      </c>
    </row>
    <row r="1892" spans="1:26" x14ac:dyDescent="0.2">
      <c r="A1892" t="s">
        <v>163</v>
      </c>
      <c r="B1892">
        <v>2013</v>
      </c>
      <c r="C1892" t="str">
        <f t="shared" si="29"/>
        <v>TMX2013</v>
      </c>
      <c r="D1892">
        <v>2.4909539102717309E-13</v>
      </c>
      <c r="E1892">
        <v>0.1300613882626491</v>
      </c>
      <c r="F1892">
        <v>0.86729228986199514</v>
      </c>
      <c r="G1892">
        <v>26.051613376055581</v>
      </c>
      <c r="H1892">
        <v>1.5819590289230669</v>
      </c>
      <c r="I1892">
        <v>0.60527990150797117</v>
      </c>
      <c r="J1892">
        <v>-4.2628762451762281E-2</v>
      </c>
      <c r="K1892">
        <v>-4.0573567351122462E-2</v>
      </c>
      <c r="L1892">
        <v>2.885182990044555E-2</v>
      </c>
      <c r="M1892">
        <v>20</v>
      </c>
      <c r="N1892">
        <v>0</v>
      </c>
      <c r="O1892">
        <v>0</v>
      </c>
      <c r="P1892">
        <v>0.69669999999999999</v>
      </c>
      <c r="Q1892">
        <v>0.1061</v>
      </c>
      <c r="R1892">
        <v>0</v>
      </c>
      <c r="S1892">
        <v>0.59640000000000004</v>
      </c>
      <c r="T1892">
        <v>0.59640000000000004</v>
      </c>
      <c r="U1892">
        <v>5</v>
      </c>
      <c r="V1892">
        <v>0</v>
      </c>
      <c r="W1892">
        <v>0.4</v>
      </c>
      <c r="X1892">
        <v>0</v>
      </c>
      <c r="Y1892">
        <v>0.48709999999999998</v>
      </c>
      <c r="Z1892">
        <v>1</v>
      </c>
    </row>
    <row r="1893" spans="1:26" x14ac:dyDescent="0.2">
      <c r="A1893" t="s">
        <v>163</v>
      </c>
      <c r="B1893">
        <v>2014</v>
      </c>
      <c r="C1893" t="str">
        <f t="shared" si="29"/>
        <v>TMX2014</v>
      </c>
      <c r="D1893">
        <v>2.3691564598830411E-13</v>
      </c>
      <c r="E1893">
        <v>8.1026844529505121E-2</v>
      </c>
      <c r="F1893">
        <v>0.96725015726476149</v>
      </c>
      <c r="G1893">
        <v>25.87154750443699</v>
      </c>
      <c r="H1893">
        <v>1.675285883277015</v>
      </c>
      <c r="I1893">
        <v>0.49669049072307631</v>
      </c>
      <c r="J1893">
        <v>-0.1665672650841318</v>
      </c>
      <c r="K1893">
        <v>-6.6905047014869309E-2</v>
      </c>
      <c r="L1893">
        <v>3.083579721001542E-2</v>
      </c>
      <c r="M1893">
        <v>21</v>
      </c>
      <c r="N1893">
        <v>0</v>
      </c>
      <c r="O1893">
        <v>0</v>
      </c>
      <c r="P1893">
        <v>0.69669999999999999</v>
      </c>
      <c r="Q1893">
        <v>0.1061</v>
      </c>
      <c r="R1893">
        <v>0</v>
      </c>
      <c r="S1893">
        <v>0.59640000000000004</v>
      </c>
      <c r="T1893">
        <v>0.59640000000000004</v>
      </c>
      <c r="U1893">
        <v>5</v>
      </c>
      <c r="V1893">
        <v>0</v>
      </c>
      <c r="W1893">
        <v>0.4</v>
      </c>
      <c r="X1893">
        <v>0</v>
      </c>
      <c r="Y1893">
        <v>0.49709999999999999</v>
      </c>
      <c r="Z1893">
        <v>1</v>
      </c>
    </row>
    <row r="1894" spans="1:26" x14ac:dyDescent="0.2">
      <c r="A1894" t="s">
        <v>163</v>
      </c>
      <c r="B1894">
        <v>2015</v>
      </c>
      <c r="C1894" t="str">
        <f t="shared" si="29"/>
        <v>TMX2015</v>
      </c>
      <c r="D1894">
        <v>5.3621788350462899E-13</v>
      </c>
      <c r="E1894">
        <v>0.1217466728269555</v>
      </c>
      <c r="F1894">
        <v>0.5420057065597389</v>
      </c>
      <c r="G1894">
        <v>25.686355856207861</v>
      </c>
      <c r="H1894">
        <v>1.9995156685245801</v>
      </c>
      <c r="I1894">
        <v>0.37001994312508651</v>
      </c>
      <c r="J1894">
        <v>-0.14986824673658711</v>
      </c>
      <c r="K1894">
        <v>-0.1395124740339638</v>
      </c>
      <c r="L1894">
        <v>3.388322099693071E-2</v>
      </c>
      <c r="M1894">
        <v>22</v>
      </c>
      <c r="N1894">
        <v>0</v>
      </c>
      <c r="O1894">
        <v>0</v>
      </c>
      <c r="P1894">
        <v>0.76019999999999999</v>
      </c>
      <c r="Q1894">
        <v>0.22170000000000001</v>
      </c>
      <c r="R1894">
        <v>6.3500000000000001E-2</v>
      </c>
      <c r="S1894">
        <v>0.59640000000000004</v>
      </c>
      <c r="T1894">
        <v>0.65989999999999993</v>
      </c>
      <c r="U1894">
        <v>5</v>
      </c>
      <c r="V1894">
        <v>0</v>
      </c>
      <c r="W1894">
        <v>0.2</v>
      </c>
      <c r="X1894">
        <v>0</v>
      </c>
      <c r="Y1894">
        <v>0.45629999999999998</v>
      </c>
      <c r="Z1894">
        <v>1</v>
      </c>
    </row>
    <row r="1895" spans="1:26" x14ac:dyDescent="0.2">
      <c r="A1895" t="s">
        <v>163</v>
      </c>
      <c r="B1895">
        <v>2016</v>
      </c>
      <c r="C1895" t="str">
        <f t="shared" si="29"/>
        <v>TMX2016</v>
      </c>
      <c r="D1895">
        <v>4.4784202471290158E-13</v>
      </c>
      <c r="E1895">
        <v>9.4022770817209778E-2</v>
      </c>
      <c r="F1895">
        <v>0.78297311670511727</v>
      </c>
      <c r="G1895">
        <v>25.691173318541971</v>
      </c>
      <c r="H1895">
        <v>2.8023930251254252</v>
      </c>
      <c r="I1895">
        <v>0.31541622027575611</v>
      </c>
      <c r="J1895">
        <v>-1.784903299707041E-2</v>
      </c>
      <c r="K1895">
        <v>5.2284623701705273E-2</v>
      </c>
      <c r="L1895">
        <v>3.5168181331902942E-2</v>
      </c>
      <c r="M1895">
        <v>23</v>
      </c>
      <c r="N1895">
        <v>0</v>
      </c>
      <c r="O1895">
        <v>0</v>
      </c>
      <c r="P1895">
        <v>0.77680000000000005</v>
      </c>
      <c r="Q1895">
        <v>0.1053</v>
      </c>
      <c r="R1895">
        <v>8.0100000000000005E-2</v>
      </c>
      <c r="S1895">
        <v>0.59640000000000004</v>
      </c>
      <c r="T1895">
        <v>0.6765000000000001</v>
      </c>
      <c r="U1895">
        <v>5</v>
      </c>
      <c r="V1895">
        <v>0</v>
      </c>
      <c r="W1895">
        <v>0.2</v>
      </c>
      <c r="X1895">
        <v>0</v>
      </c>
      <c r="Y1895">
        <v>0.46629999999999999</v>
      </c>
      <c r="Z1895">
        <v>1</v>
      </c>
    </row>
    <row r="1896" spans="1:26" x14ac:dyDescent="0.2">
      <c r="A1896" t="s">
        <v>163</v>
      </c>
      <c r="B1896">
        <v>2017</v>
      </c>
      <c r="C1896" t="str">
        <f t="shared" si="29"/>
        <v>TMX2017</v>
      </c>
      <c r="D1896">
        <v>3.1379921353833728E-13</v>
      </c>
      <c r="E1896">
        <v>0.1040302286699492</v>
      </c>
      <c r="F1896">
        <v>0.74183154647176464</v>
      </c>
      <c r="G1896">
        <v>25.902158181041521</v>
      </c>
      <c r="H1896">
        <v>3.1954591755886508</v>
      </c>
      <c r="I1896">
        <v>0.46462675334584952</v>
      </c>
      <c r="J1896">
        <v>0.23489366171654799</v>
      </c>
      <c r="K1896">
        <v>0.2498826925573415</v>
      </c>
      <c r="L1896">
        <v>2.3929779135873429E-2</v>
      </c>
      <c r="M1896">
        <v>24</v>
      </c>
      <c r="N1896">
        <v>0</v>
      </c>
      <c r="O1896">
        <v>0</v>
      </c>
      <c r="P1896">
        <v>0.77680000000000005</v>
      </c>
      <c r="Q1896">
        <v>0.1053</v>
      </c>
      <c r="R1896">
        <v>8.0100000000000005E-2</v>
      </c>
      <c r="S1896">
        <v>0.59640000000000004</v>
      </c>
      <c r="T1896">
        <v>0.6765000000000001</v>
      </c>
      <c r="U1896">
        <v>5</v>
      </c>
      <c r="V1896">
        <v>0</v>
      </c>
      <c r="W1896">
        <v>0.2</v>
      </c>
      <c r="X1896">
        <v>0</v>
      </c>
      <c r="Y1896">
        <v>0.4763</v>
      </c>
      <c r="Z1896">
        <v>1</v>
      </c>
    </row>
    <row r="1897" spans="1:26" x14ac:dyDescent="0.2">
      <c r="A1897" t="s">
        <v>163</v>
      </c>
      <c r="B1897">
        <v>2018</v>
      </c>
      <c r="C1897" t="str">
        <f t="shared" si="29"/>
        <v>TMX2018</v>
      </c>
      <c r="D1897">
        <v>5.7116149176285026E-13</v>
      </c>
      <c r="E1897">
        <v>0.16315258083722881</v>
      </c>
      <c r="F1897">
        <v>0.67544332612347335</v>
      </c>
      <c r="G1897">
        <v>25.89175322826771</v>
      </c>
      <c r="H1897">
        <v>2.168209391451243</v>
      </c>
      <c r="I1897">
        <v>0.38509145958301388</v>
      </c>
      <c r="J1897">
        <v>-8.6660597421949204E-3</v>
      </c>
      <c r="K1897">
        <v>0.18018011314230559</v>
      </c>
      <c r="L1897">
        <v>2.6251558005190911E-2</v>
      </c>
      <c r="M1897">
        <v>25</v>
      </c>
      <c r="N1897">
        <v>0</v>
      </c>
      <c r="O1897">
        <v>0</v>
      </c>
      <c r="P1897">
        <v>0.78099999999999992</v>
      </c>
      <c r="Q1897">
        <v>0.1043</v>
      </c>
      <c r="R1897">
        <v>8.43E-2</v>
      </c>
      <c r="S1897">
        <v>0.59640000000000004</v>
      </c>
      <c r="T1897">
        <v>0.68069999999999997</v>
      </c>
      <c r="U1897">
        <v>7</v>
      </c>
      <c r="V1897">
        <v>0</v>
      </c>
      <c r="W1897">
        <v>0.14285714285714279</v>
      </c>
      <c r="X1897">
        <v>0</v>
      </c>
      <c r="Y1897">
        <v>0.4929</v>
      </c>
      <c r="Z1897">
        <v>1</v>
      </c>
    </row>
    <row r="1898" spans="1:26" x14ac:dyDescent="0.2">
      <c r="A1898" t="s">
        <v>163</v>
      </c>
      <c r="B1898">
        <v>2019</v>
      </c>
      <c r="C1898" t="str">
        <f t="shared" si="29"/>
        <v>TMX2019</v>
      </c>
      <c r="D1898">
        <v>3.588847670093788E-13</v>
      </c>
      <c r="E1898">
        <v>0.1003381719835575</v>
      </c>
      <c r="F1898">
        <v>0.82167702521307984</v>
      </c>
      <c r="G1898">
        <v>25.84260044490334</v>
      </c>
      <c r="H1898">
        <v>2.6216596230567228</v>
      </c>
      <c r="I1898">
        <v>0.40188098194778299</v>
      </c>
      <c r="J1898">
        <v>-4.958249096599731E-2</v>
      </c>
      <c r="K1898">
        <v>5.9704604952875398E-2</v>
      </c>
      <c r="L1898">
        <v>1.8319422680188428E-2</v>
      </c>
      <c r="M1898">
        <v>26</v>
      </c>
      <c r="N1898">
        <v>0</v>
      </c>
      <c r="O1898">
        <v>1</v>
      </c>
      <c r="P1898">
        <v>0.83109999999999995</v>
      </c>
      <c r="Q1898">
        <v>0.1043</v>
      </c>
      <c r="R1898">
        <v>8.4000000000000005E-2</v>
      </c>
      <c r="S1898">
        <v>0.59640000000000004</v>
      </c>
      <c r="T1898">
        <v>0.68040000000000012</v>
      </c>
      <c r="U1898">
        <v>5</v>
      </c>
      <c r="V1898">
        <v>0</v>
      </c>
      <c r="W1898">
        <v>0.2</v>
      </c>
      <c r="X1898">
        <v>0</v>
      </c>
      <c r="Y1898">
        <v>0.50829999999999997</v>
      </c>
      <c r="Z1898">
        <v>1</v>
      </c>
    </row>
    <row r="1899" spans="1:26" x14ac:dyDescent="0.2">
      <c r="A1899" t="s">
        <v>163</v>
      </c>
      <c r="B1899">
        <v>2020</v>
      </c>
      <c r="C1899" t="str">
        <f t="shared" si="29"/>
        <v>TMX2020</v>
      </c>
      <c r="D1899">
        <v>3.7494048819452611E-13</v>
      </c>
      <c r="E1899">
        <v>8.6945825171905106E-2</v>
      </c>
      <c r="F1899">
        <v>1.0359338789007071</v>
      </c>
      <c r="G1899">
        <v>25.74668507801163</v>
      </c>
      <c r="H1899">
        <v>2.5288291996542061</v>
      </c>
      <c r="I1899">
        <v>0.34482568449525891</v>
      </c>
      <c r="J1899">
        <v>-9.1459094544197553E-2</v>
      </c>
      <c r="K1899">
        <v>-1.17134023438875E-2</v>
      </c>
      <c r="L1899">
        <v>1.7025141680766701E-2</v>
      </c>
      <c r="M1899">
        <v>27</v>
      </c>
      <c r="N1899">
        <v>0</v>
      </c>
      <c r="O1899">
        <v>1</v>
      </c>
      <c r="P1899">
        <v>0.84099999999999997</v>
      </c>
      <c r="Q1899">
        <v>0.1043</v>
      </c>
      <c r="R1899">
        <v>8.4000000000000005E-2</v>
      </c>
      <c r="S1899">
        <v>0.59640000000000004</v>
      </c>
      <c r="T1899">
        <v>0.68040000000000012</v>
      </c>
      <c r="U1899">
        <v>5</v>
      </c>
      <c r="V1899">
        <v>0</v>
      </c>
      <c r="W1899">
        <v>0.2</v>
      </c>
      <c r="X1899">
        <v>0</v>
      </c>
      <c r="Y1899">
        <v>0.51829999999999998</v>
      </c>
      <c r="Z1899">
        <v>1</v>
      </c>
    </row>
    <row r="1900" spans="1:26" x14ac:dyDescent="0.2">
      <c r="A1900" t="s">
        <v>163</v>
      </c>
      <c r="B1900">
        <v>2021</v>
      </c>
      <c r="C1900" t="str">
        <f t="shared" si="29"/>
        <v>TMX2021</v>
      </c>
      <c r="D1900">
        <v>1.706487098746162E-13</v>
      </c>
      <c r="E1900">
        <v>3.2601504506966368E-2</v>
      </c>
      <c r="F1900">
        <v>0.8633075813491321</v>
      </c>
      <c r="G1900">
        <v>25.624208927794811</v>
      </c>
      <c r="H1900">
        <v>2.986219195232672</v>
      </c>
      <c r="I1900">
        <v>0.29641283677344632</v>
      </c>
      <c r="J1900">
        <v>-0.11527299476088471</v>
      </c>
      <c r="K1900">
        <v>-1.275349021324964E-3</v>
      </c>
      <c r="L1900">
        <v>1.614688455472538E-2</v>
      </c>
      <c r="M1900">
        <v>28</v>
      </c>
      <c r="N1900">
        <v>0</v>
      </c>
      <c r="O1900">
        <v>0</v>
      </c>
      <c r="P1900">
        <v>0.83600000000000008</v>
      </c>
      <c r="Q1900">
        <v>0.1043</v>
      </c>
      <c r="R1900">
        <v>7.5899999999999995E-2</v>
      </c>
      <c r="S1900">
        <v>0.59640000000000004</v>
      </c>
      <c r="T1900">
        <v>0.67230000000000001</v>
      </c>
      <c r="U1900">
        <v>5</v>
      </c>
      <c r="V1900">
        <v>0</v>
      </c>
      <c r="W1900">
        <v>0.2</v>
      </c>
      <c r="X1900">
        <v>0</v>
      </c>
      <c r="Y1900">
        <v>0.52829999999999999</v>
      </c>
      <c r="Z1900">
        <v>1</v>
      </c>
    </row>
    <row r="1901" spans="1:26" x14ac:dyDescent="0.2">
      <c r="A1901" t="s">
        <v>163</v>
      </c>
      <c r="B1901">
        <v>2022</v>
      </c>
      <c r="C1901" t="str">
        <f t="shared" si="29"/>
        <v>TMX2022</v>
      </c>
      <c r="D1901">
        <v>2.8675838113374008E-13</v>
      </c>
      <c r="E1901">
        <v>6.0011727090952621E-2</v>
      </c>
      <c r="F1901">
        <v>0.65886966686201431</v>
      </c>
      <c r="G1901">
        <v>25.67553882022359</v>
      </c>
      <c r="H1901">
        <v>3.5208573118672981</v>
      </c>
      <c r="I1901">
        <v>0.32387837923411328</v>
      </c>
      <c r="J1901">
        <v>5.2670103906259591E-2</v>
      </c>
      <c r="K1901">
        <v>7.2251424978530987E-2</v>
      </c>
      <c r="L1901">
        <v>1.2603154303871709E-2</v>
      </c>
      <c r="M1901">
        <v>29</v>
      </c>
      <c r="N1901">
        <v>0</v>
      </c>
      <c r="O1901">
        <v>0</v>
      </c>
      <c r="P1901">
        <v>0.59640000000000004</v>
      </c>
      <c r="Q1901">
        <v>0.69669999999999999</v>
      </c>
      <c r="R1901">
        <v>0</v>
      </c>
      <c r="S1901">
        <v>0.59640000000000004</v>
      </c>
      <c r="T1901">
        <v>0.59640000000000004</v>
      </c>
      <c r="U1901">
        <v>5</v>
      </c>
      <c r="V1901">
        <v>0</v>
      </c>
      <c r="W1901">
        <v>0.2</v>
      </c>
      <c r="X1901">
        <v>0</v>
      </c>
      <c r="Y1901">
        <v>0.47249999999999998</v>
      </c>
      <c r="Z1901">
        <v>1</v>
      </c>
    </row>
    <row r="1902" spans="1:26" x14ac:dyDescent="0.2">
      <c r="A1902" t="s">
        <v>163</v>
      </c>
      <c r="B1902">
        <v>2023</v>
      </c>
      <c r="C1902" t="str">
        <f t="shared" si="29"/>
        <v>TMX2023</v>
      </c>
      <c r="D1902">
        <v>-94628500097.578064</v>
      </c>
      <c r="E1902">
        <v>2.5161839981305261E-2</v>
      </c>
      <c r="F1902">
        <v>0.51029288608654078</v>
      </c>
      <c r="G1902">
        <v>25.66433413795087</v>
      </c>
      <c r="H1902">
        <v>3.1943833738133138</v>
      </c>
      <c r="I1902">
        <v>0</v>
      </c>
      <c r="J1902">
        <v>-1.1142143613508401E-2</v>
      </c>
      <c r="K1902">
        <v>-7.3982787711918286E-3</v>
      </c>
      <c r="L1902">
        <v>2.2340330856876419E-2</v>
      </c>
      <c r="M1902">
        <v>30</v>
      </c>
      <c r="N1902">
        <v>0</v>
      </c>
      <c r="O1902">
        <v>0</v>
      </c>
      <c r="P1902">
        <v>0.59640000000000004</v>
      </c>
      <c r="Q1902">
        <v>0.69669999999999999</v>
      </c>
      <c r="R1902">
        <v>0</v>
      </c>
      <c r="S1902">
        <v>0.59640000000000004</v>
      </c>
      <c r="T1902">
        <v>0.59640000000000004</v>
      </c>
      <c r="U1902">
        <v>5</v>
      </c>
      <c r="V1902">
        <v>0</v>
      </c>
      <c r="W1902">
        <v>0.2</v>
      </c>
      <c r="X1902">
        <v>0</v>
      </c>
      <c r="Y1902">
        <v>0.47249999999999998</v>
      </c>
      <c r="Z1902">
        <v>1</v>
      </c>
    </row>
    <row r="1903" spans="1:26" x14ac:dyDescent="0.2">
      <c r="A1903" t="s">
        <v>164</v>
      </c>
      <c r="B1903">
        <v>2012</v>
      </c>
      <c r="C1903" t="str">
        <f t="shared" si="29"/>
        <v>TNC2012</v>
      </c>
      <c r="D1903">
        <v>4.9384601559407977E-13</v>
      </c>
      <c r="E1903">
        <v>0.2161604225519666</v>
      </c>
      <c r="F1903">
        <v>0.9226871111386753</v>
      </c>
      <c r="G1903">
        <v>26.663085939515579</v>
      </c>
      <c r="H1903">
        <v>6.0797524293659793</v>
      </c>
      <c r="I1903">
        <v>0.13214640348853979</v>
      </c>
      <c r="J1903">
        <v>0.1087499496492941</v>
      </c>
      <c r="K1903">
        <v>0.22020338552915419</v>
      </c>
      <c r="L1903">
        <v>0.26083684807454838</v>
      </c>
      <c r="M1903">
        <v>20</v>
      </c>
      <c r="N1903">
        <v>0</v>
      </c>
      <c r="O1903">
        <v>0</v>
      </c>
      <c r="P1903">
        <v>0.56189999999999996</v>
      </c>
      <c r="Q1903">
        <v>2.2000000000000001E-3</v>
      </c>
      <c r="R1903">
        <v>0</v>
      </c>
      <c r="S1903">
        <v>0.51</v>
      </c>
      <c r="T1903">
        <v>0.56189999999999996</v>
      </c>
      <c r="U1903">
        <v>5</v>
      </c>
      <c r="V1903">
        <v>1</v>
      </c>
      <c r="W1903">
        <v>0</v>
      </c>
      <c r="X1903">
        <v>0</v>
      </c>
      <c r="Y1903">
        <v>0.46750000000000003</v>
      </c>
      <c r="Z1903">
        <v>0.8</v>
      </c>
    </row>
    <row r="1904" spans="1:26" x14ac:dyDescent="0.2">
      <c r="A1904" t="s">
        <v>164</v>
      </c>
      <c r="B1904">
        <v>2013</v>
      </c>
      <c r="C1904" t="str">
        <f t="shared" si="29"/>
        <v>TNC2013</v>
      </c>
      <c r="D1904">
        <v>2.8237734694639682E-13</v>
      </c>
      <c r="E1904">
        <v>0.1081851079665871</v>
      </c>
      <c r="F1904">
        <v>0.86578082550800672</v>
      </c>
      <c r="G1904">
        <v>26.575657728838749</v>
      </c>
      <c r="H1904">
        <v>5.2275931159373226</v>
      </c>
      <c r="I1904">
        <v>9.1502209794358302E-2</v>
      </c>
      <c r="J1904">
        <v>-8.6385066229311067E-2</v>
      </c>
      <c r="K1904">
        <v>-4.4003222762960113E-2</v>
      </c>
      <c r="L1904">
        <v>0.2925921313362051</v>
      </c>
      <c r="M1904">
        <v>21</v>
      </c>
      <c r="N1904">
        <v>0</v>
      </c>
      <c r="O1904">
        <v>0</v>
      </c>
      <c r="P1904">
        <v>0.56189999999999996</v>
      </c>
      <c r="Q1904">
        <v>2.2000000000000001E-3</v>
      </c>
      <c r="R1904">
        <v>0</v>
      </c>
      <c r="S1904">
        <v>0.51</v>
      </c>
      <c r="T1904">
        <v>0.56189999999999996</v>
      </c>
      <c r="U1904">
        <v>6</v>
      </c>
      <c r="V1904">
        <v>1</v>
      </c>
      <c r="W1904">
        <v>0</v>
      </c>
      <c r="X1904">
        <v>0</v>
      </c>
      <c r="Y1904">
        <v>0.46439999999999998</v>
      </c>
      <c r="Z1904">
        <v>0.83333333333333337</v>
      </c>
    </row>
    <row r="1905" spans="1:26" x14ac:dyDescent="0.2">
      <c r="A1905" t="s">
        <v>164</v>
      </c>
      <c r="B1905">
        <v>2014</v>
      </c>
      <c r="C1905" t="str">
        <f t="shared" si="29"/>
        <v>TNC2014</v>
      </c>
      <c r="D1905">
        <v>1.676860725924339E-13</v>
      </c>
      <c r="E1905">
        <v>6.1485668197884369E-2</v>
      </c>
      <c r="F1905">
        <v>0.77584939053706792</v>
      </c>
      <c r="G1905">
        <v>26.530221263817321</v>
      </c>
      <c r="H1905">
        <v>6.8741581254263924</v>
      </c>
      <c r="I1905">
        <v>9.2907043722210855E-2</v>
      </c>
      <c r="J1905">
        <v>-4.4419686581965052E-2</v>
      </c>
      <c r="K1905">
        <v>5.955361554618048E-2</v>
      </c>
      <c r="L1905">
        <v>0.3035159210087951</v>
      </c>
      <c r="M1905">
        <v>22</v>
      </c>
      <c r="N1905">
        <v>0</v>
      </c>
      <c r="O1905">
        <v>0</v>
      </c>
      <c r="P1905">
        <v>0.56189999999999996</v>
      </c>
      <c r="Q1905">
        <v>2.2599999999999999E-2</v>
      </c>
      <c r="R1905">
        <v>0</v>
      </c>
      <c r="S1905">
        <v>0.51</v>
      </c>
      <c r="T1905">
        <v>0.56189999999999996</v>
      </c>
      <c r="U1905">
        <v>5</v>
      </c>
      <c r="V1905">
        <v>1</v>
      </c>
      <c r="W1905">
        <v>0</v>
      </c>
      <c r="X1905">
        <v>0</v>
      </c>
      <c r="Y1905">
        <v>0.4763</v>
      </c>
      <c r="Z1905">
        <v>0.8</v>
      </c>
    </row>
    <row r="1906" spans="1:26" x14ac:dyDescent="0.2">
      <c r="A1906" t="s">
        <v>164</v>
      </c>
      <c r="B1906">
        <v>2015</v>
      </c>
      <c r="C1906" t="str">
        <f t="shared" si="29"/>
        <v>TNC2015</v>
      </c>
      <c r="D1906">
        <v>1.250580682881232E-13</v>
      </c>
      <c r="E1906">
        <v>4.2628371246949993E-2</v>
      </c>
      <c r="F1906">
        <v>0.63361392640480108</v>
      </c>
      <c r="G1906">
        <v>26.494954225671989</v>
      </c>
      <c r="H1906">
        <v>6.8386271590438517</v>
      </c>
      <c r="I1906">
        <v>5.8055325262013013E-2</v>
      </c>
      <c r="J1906">
        <v>-3.4652402796610533E-2</v>
      </c>
      <c r="K1906">
        <v>4.8815560092808786E-3</v>
      </c>
      <c r="L1906">
        <v>0.32677510959930067</v>
      </c>
      <c r="M1906">
        <v>23</v>
      </c>
      <c r="N1906">
        <v>0</v>
      </c>
      <c r="O1906">
        <v>0</v>
      </c>
      <c r="P1906">
        <v>0.56189999999999996</v>
      </c>
      <c r="Q1906">
        <v>2.2599999999999999E-2</v>
      </c>
      <c r="R1906">
        <v>0</v>
      </c>
      <c r="S1906">
        <v>0.51</v>
      </c>
      <c r="T1906">
        <v>0.56189999999999996</v>
      </c>
      <c r="U1906">
        <v>5</v>
      </c>
      <c r="V1906">
        <v>1</v>
      </c>
      <c r="W1906">
        <v>0</v>
      </c>
      <c r="X1906">
        <v>0</v>
      </c>
      <c r="Y1906">
        <v>0.48630000000000001</v>
      </c>
      <c r="Z1906">
        <v>0.8</v>
      </c>
    </row>
    <row r="1907" spans="1:26" x14ac:dyDescent="0.2">
      <c r="A1907" t="s">
        <v>164</v>
      </c>
      <c r="B1907">
        <v>2016</v>
      </c>
      <c r="C1907" t="str">
        <f t="shared" si="29"/>
        <v>TNC2016</v>
      </c>
      <c r="D1907">
        <v>2.133172813069044E-13</v>
      </c>
      <c r="E1907">
        <v>7.3330263994835429E-2</v>
      </c>
      <c r="F1907">
        <v>0.67606487956594941</v>
      </c>
      <c r="G1907">
        <v>26.507368691696978</v>
      </c>
      <c r="H1907">
        <v>10.079908502563709</v>
      </c>
      <c r="I1907">
        <v>5.4314469555682192E-2</v>
      </c>
      <c r="J1907">
        <v>1.249184538459569E-2</v>
      </c>
      <c r="K1907">
        <v>4.5759918245393633E-2</v>
      </c>
      <c r="L1907">
        <v>0.34720834281399388</v>
      </c>
      <c r="M1907">
        <v>24</v>
      </c>
      <c r="N1907">
        <v>0</v>
      </c>
      <c r="O1907">
        <v>0</v>
      </c>
      <c r="P1907">
        <v>0.56189999999999996</v>
      </c>
      <c r="Q1907">
        <v>2.1399999999999999E-2</v>
      </c>
      <c r="R1907">
        <v>0</v>
      </c>
      <c r="S1907">
        <v>0.51</v>
      </c>
      <c r="T1907">
        <v>0.56189999999999996</v>
      </c>
      <c r="U1907">
        <v>5</v>
      </c>
      <c r="V1907">
        <v>0</v>
      </c>
      <c r="W1907">
        <v>0</v>
      </c>
      <c r="X1907">
        <v>0</v>
      </c>
      <c r="Y1907">
        <v>0.4733</v>
      </c>
      <c r="Z1907">
        <v>0.8</v>
      </c>
    </row>
    <row r="1908" spans="1:26" x14ac:dyDescent="0.2">
      <c r="A1908" t="s">
        <v>164</v>
      </c>
      <c r="B1908">
        <v>2017</v>
      </c>
      <c r="C1908" t="str">
        <f t="shared" si="29"/>
        <v>TNC2017</v>
      </c>
      <c r="D1908">
        <v>2.376565506738675E-13</v>
      </c>
      <c r="E1908">
        <v>8.5673726147778267E-2</v>
      </c>
      <c r="F1908">
        <v>0.72908582842766911</v>
      </c>
      <c r="G1908">
        <v>26.538939664188689</v>
      </c>
      <c r="H1908">
        <v>10.41030365671473</v>
      </c>
      <c r="I1908">
        <v>6.9283988210985109E-2</v>
      </c>
      <c r="J1908">
        <v>3.2074621903927403E-2</v>
      </c>
      <c r="K1908">
        <v>9.5636967826678576E-2</v>
      </c>
      <c r="L1908">
        <v>0.3425885949159016</v>
      </c>
      <c r="M1908">
        <v>25</v>
      </c>
      <c r="N1908">
        <v>0</v>
      </c>
      <c r="O1908">
        <v>0</v>
      </c>
      <c r="P1908">
        <v>0.56189999999999996</v>
      </c>
      <c r="Q1908">
        <v>2.0799999999999999E-2</v>
      </c>
      <c r="R1908">
        <v>0</v>
      </c>
      <c r="S1908">
        <v>0.51</v>
      </c>
      <c r="T1908">
        <v>0.56189999999999996</v>
      </c>
      <c r="U1908">
        <v>5</v>
      </c>
      <c r="V1908">
        <v>0</v>
      </c>
      <c r="W1908">
        <v>0</v>
      </c>
      <c r="X1908">
        <v>0</v>
      </c>
      <c r="Y1908">
        <v>0.4929</v>
      </c>
      <c r="Z1908">
        <v>0.8</v>
      </c>
    </row>
    <row r="1909" spans="1:26" x14ac:dyDescent="0.2">
      <c r="A1909" t="s">
        <v>164</v>
      </c>
      <c r="B1909">
        <v>2018</v>
      </c>
      <c r="C1909" t="str">
        <f t="shared" si="29"/>
        <v>TNC2018</v>
      </c>
      <c r="D1909">
        <v>2.3389454577025518E-13</v>
      </c>
      <c r="E1909">
        <v>8.6666616348474682E-2</v>
      </c>
      <c r="F1909">
        <v>0.71773161992068224</v>
      </c>
      <c r="G1909">
        <v>26.55507514765009</v>
      </c>
      <c r="H1909">
        <v>8.2807311215814643</v>
      </c>
      <c r="I1909">
        <v>7.9781719209432111E-2</v>
      </c>
      <c r="J1909">
        <v>1.6266363363957481E-2</v>
      </c>
      <c r="K1909">
        <v>5.4902700760987952E-2</v>
      </c>
      <c r="L1909">
        <v>0.34285426964458138</v>
      </c>
      <c r="M1909">
        <v>26</v>
      </c>
      <c r="N1909">
        <v>0</v>
      </c>
      <c r="O1909">
        <v>0</v>
      </c>
      <c r="P1909">
        <v>0.56200000000000006</v>
      </c>
      <c r="Q1909">
        <v>2.0799999999999999E-2</v>
      </c>
      <c r="R1909">
        <v>0</v>
      </c>
      <c r="S1909">
        <v>0.51</v>
      </c>
      <c r="T1909">
        <v>0.56200000000000006</v>
      </c>
      <c r="U1909">
        <v>6</v>
      </c>
      <c r="V1909">
        <v>0</v>
      </c>
      <c r="W1909">
        <v>0</v>
      </c>
      <c r="X1909">
        <v>0</v>
      </c>
      <c r="Y1909">
        <v>0.49780000000000002</v>
      </c>
      <c r="Z1909">
        <v>0.83333333333333337</v>
      </c>
    </row>
    <row r="1910" spans="1:26" x14ac:dyDescent="0.2">
      <c r="A1910" t="s">
        <v>164</v>
      </c>
      <c r="B1910">
        <v>2019</v>
      </c>
      <c r="C1910" t="str">
        <f t="shared" si="29"/>
        <v>TNC2019</v>
      </c>
      <c r="D1910">
        <v>3.0393252089051122E-13</v>
      </c>
      <c r="E1910">
        <v>0.1167438837153241</v>
      </c>
      <c r="F1910">
        <v>0.99798856596011765</v>
      </c>
      <c r="G1910">
        <v>26.59223703046586</v>
      </c>
      <c r="H1910">
        <v>8.2662699058049469</v>
      </c>
      <c r="I1910">
        <v>7.8692006658425948E-2</v>
      </c>
      <c r="J1910">
        <v>3.7861019103925919E-2</v>
      </c>
      <c r="K1910">
        <v>6.0914037575496523E-2</v>
      </c>
      <c r="L1910">
        <v>0.33043088249100178</v>
      </c>
      <c r="M1910">
        <v>27</v>
      </c>
      <c r="N1910">
        <v>0</v>
      </c>
      <c r="O1910">
        <v>1</v>
      </c>
      <c r="P1910">
        <v>0.56200000000000006</v>
      </c>
      <c r="Q1910">
        <v>2.0799999999999999E-2</v>
      </c>
      <c r="R1910">
        <v>0</v>
      </c>
      <c r="S1910">
        <v>0.51</v>
      </c>
      <c r="T1910">
        <v>0.56200000000000006</v>
      </c>
      <c r="U1910">
        <v>6</v>
      </c>
      <c r="V1910">
        <v>0</v>
      </c>
      <c r="W1910">
        <v>0</v>
      </c>
      <c r="X1910">
        <v>0</v>
      </c>
      <c r="Y1910">
        <v>0.50780000000000003</v>
      </c>
      <c r="Z1910">
        <v>0.83333333333333337</v>
      </c>
    </row>
    <row r="1911" spans="1:26" x14ac:dyDescent="0.2">
      <c r="A1911" t="s">
        <v>164</v>
      </c>
      <c r="B1911">
        <v>2020</v>
      </c>
      <c r="C1911" t="str">
        <f t="shared" si="29"/>
        <v>TNC2020</v>
      </c>
      <c r="D1911">
        <v>3.7227738610942988E-13</v>
      </c>
      <c r="E1911">
        <v>0.15926588206095091</v>
      </c>
      <c r="F1911">
        <v>1.706501707861003</v>
      </c>
      <c r="G1911">
        <v>26.67394072850081</v>
      </c>
      <c r="H1911">
        <v>10.93396372104878</v>
      </c>
      <c r="I1911">
        <v>0.1023869174478914</v>
      </c>
      <c r="J1911">
        <v>8.513423478412975E-2</v>
      </c>
      <c r="K1911">
        <v>0.15618839898075229</v>
      </c>
      <c r="L1911">
        <v>0.30149981169945927</v>
      </c>
      <c r="M1911">
        <v>28</v>
      </c>
      <c r="N1911">
        <v>0</v>
      </c>
      <c r="O1911">
        <v>1</v>
      </c>
      <c r="P1911">
        <v>0.63200000000000001</v>
      </c>
      <c r="Q1911">
        <v>2.0799999999999999E-2</v>
      </c>
      <c r="R1911">
        <v>0</v>
      </c>
      <c r="S1911">
        <v>0.51</v>
      </c>
      <c r="T1911">
        <v>0.56200000000000006</v>
      </c>
      <c r="U1911">
        <v>6</v>
      </c>
      <c r="V1911">
        <v>0</v>
      </c>
      <c r="W1911">
        <v>0</v>
      </c>
      <c r="X1911">
        <v>0</v>
      </c>
      <c r="Y1911">
        <v>0.51780000000000004</v>
      </c>
      <c r="Z1911">
        <v>0.83333333333333337</v>
      </c>
    </row>
    <row r="1912" spans="1:26" x14ac:dyDescent="0.2">
      <c r="A1912" t="s">
        <v>164</v>
      </c>
      <c r="B1912">
        <v>2021</v>
      </c>
      <c r="C1912" t="str">
        <f t="shared" si="29"/>
        <v>TNC2021</v>
      </c>
      <c r="D1912">
        <v>2.6394663812596032E-13</v>
      </c>
      <c r="E1912">
        <v>0.1159537993597156</v>
      </c>
      <c r="F1912">
        <v>1.9360922512104519</v>
      </c>
      <c r="G1912">
        <v>26.678376571885629</v>
      </c>
      <c r="H1912">
        <v>9.3403579864223225</v>
      </c>
      <c r="I1912">
        <v>0.12198308488656109</v>
      </c>
      <c r="J1912">
        <v>4.4456963013674864E-3</v>
      </c>
      <c r="K1912">
        <v>6.2356330789283612E-2</v>
      </c>
      <c r="L1912">
        <v>0.33224666969157851</v>
      </c>
      <c r="M1912">
        <v>29</v>
      </c>
      <c r="N1912">
        <v>0</v>
      </c>
      <c r="O1912">
        <v>0</v>
      </c>
      <c r="P1912">
        <v>0.6402000000000001</v>
      </c>
      <c r="Q1912">
        <v>6.2300000000000001E-2</v>
      </c>
      <c r="R1912">
        <v>0</v>
      </c>
      <c r="S1912">
        <v>0.51</v>
      </c>
      <c r="T1912">
        <v>0.56200000000000006</v>
      </c>
      <c r="U1912">
        <v>7</v>
      </c>
      <c r="V1912">
        <v>0</v>
      </c>
      <c r="W1912">
        <v>0</v>
      </c>
      <c r="X1912">
        <v>0</v>
      </c>
      <c r="Y1912">
        <v>0.53560000000000008</v>
      </c>
      <c r="Z1912">
        <v>0.8571428571428571</v>
      </c>
    </row>
    <row r="1913" spans="1:26" x14ac:dyDescent="0.2">
      <c r="A1913" t="s">
        <v>164</v>
      </c>
      <c r="B1913">
        <v>2022</v>
      </c>
      <c r="C1913" t="str">
        <f t="shared" si="29"/>
        <v>TNC2022</v>
      </c>
      <c r="D1913">
        <v>3.1731423894433738E-13</v>
      </c>
      <c r="E1913">
        <v>0.1506614157791992</v>
      </c>
      <c r="F1913">
        <v>3.4081794068407532</v>
      </c>
      <c r="G1913">
        <v>26.724704534809511</v>
      </c>
      <c r="H1913">
        <v>5.8872534298364094</v>
      </c>
      <c r="I1913">
        <v>0.14909862290846959</v>
      </c>
      <c r="J1913">
        <v>4.7417868859920047E-2</v>
      </c>
      <c r="K1913">
        <v>3.9002135835646268E-2</v>
      </c>
      <c r="L1913">
        <v>0.31761574037618012</v>
      </c>
      <c r="M1913">
        <v>30</v>
      </c>
      <c r="N1913">
        <v>0</v>
      </c>
      <c r="O1913">
        <v>0</v>
      </c>
      <c r="P1913">
        <v>0.6402000000000001</v>
      </c>
      <c r="Q1913">
        <v>4.7399999999999998E-2</v>
      </c>
      <c r="R1913">
        <v>0</v>
      </c>
      <c r="S1913">
        <v>0.51</v>
      </c>
      <c r="T1913">
        <v>0.56200000000000006</v>
      </c>
      <c r="U1913">
        <v>7</v>
      </c>
      <c r="V1913">
        <v>0</v>
      </c>
      <c r="W1913">
        <v>0</v>
      </c>
      <c r="X1913">
        <v>0</v>
      </c>
      <c r="Y1913">
        <v>0.53880000000000006</v>
      </c>
      <c r="Z1913">
        <v>0.8571428571428571</v>
      </c>
    </row>
    <row r="1914" spans="1:26" x14ac:dyDescent="0.2">
      <c r="A1914" t="s">
        <v>164</v>
      </c>
      <c r="B1914">
        <v>2023</v>
      </c>
      <c r="C1914" t="str">
        <f t="shared" si="29"/>
        <v>TNC2023</v>
      </c>
      <c r="D1914">
        <v>644841466716.67505</v>
      </c>
      <c r="E1914">
        <v>8.9544784279230183E-2</v>
      </c>
      <c r="F1914">
        <v>3.375174159287591</v>
      </c>
      <c r="G1914">
        <v>26.62788960317878</v>
      </c>
      <c r="H1914">
        <v>4.7293313504672057</v>
      </c>
      <c r="I1914">
        <v>0</v>
      </c>
      <c r="J1914">
        <v>-9.2276018413655514E-2</v>
      </c>
      <c r="K1914">
        <v>9.1766268354897179E-2</v>
      </c>
      <c r="L1914">
        <v>0.35092283129372892</v>
      </c>
      <c r="M1914">
        <v>31</v>
      </c>
      <c r="N1914">
        <v>0</v>
      </c>
      <c r="O1914">
        <v>0</v>
      </c>
      <c r="P1914">
        <v>0.6402000000000001</v>
      </c>
      <c r="Q1914">
        <v>4.7399999999999998E-2</v>
      </c>
      <c r="R1914">
        <v>0</v>
      </c>
      <c r="S1914">
        <v>0.51</v>
      </c>
      <c r="T1914">
        <v>0.56200000000000006</v>
      </c>
      <c r="U1914">
        <v>7</v>
      </c>
      <c r="V1914">
        <v>0</v>
      </c>
      <c r="W1914">
        <v>0</v>
      </c>
      <c r="X1914">
        <v>0</v>
      </c>
      <c r="Y1914">
        <v>0.53880000000000006</v>
      </c>
      <c r="Z1914">
        <v>0.8571428571428571</v>
      </c>
    </row>
    <row r="1915" spans="1:26" x14ac:dyDescent="0.2">
      <c r="A1915" t="s">
        <v>165</v>
      </c>
      <c r="B1915">
        <v>2012</v>
      </c>
      <c r="C1915" t="str">
        <f t="shared" si="29"/>
        <v>TNG2012</v>
      </c>
      <c r="D1915">
        <v>2.417846434939521E-14</v>
      </c>
      <c r="E1915">
        <v>0.102707015248363</v>
      </c>
      <c r="F1915">
        <v>0.87651459166756895</v>
      </c>
      <c r="G1915">
        <v>27.581114349384752</v>
      </c>
      <c r="H1915">
        <v>0.77932715984689582</v>
      </c>
      <c r="I1915">
        <v>0.77604829549514676</v>
      </c>
      <c r="J1915">
        <v>0.15804811533987809</v>
      </c>
      <c r="K1915">
        <v>-6.801909675202937E-2</v>
      </c>
      <c r="L1915">
        <v>0.4913555275244213</v>
      </c>
      <c r="M1915">
        <v>15</v>
      </c>
      <c r="N1915">
        <v>1</v>
      </c>
      <c r="O1915">
        <v>0</v>
      </c>
      <c r="P1915">
        <v>0.2135</v>
      </c>
      <c r="Q1915">
        <v>0.19800000000000001</v>
      </c>
      <c r="R1915">
        <v>0</v>
      </c>
      <c r="S1915">
        <v>0</v>
      </c>
      <c r="T1915">
        <v>0</v>
      </c>
      <c r="U1915">
        <v>4</v>
      </c>
      <c r="V1915">
        <v>1</v>
      </c>
      <c r="W1915">
        <v>0.25</v>
      </c>
      <c r="X1915">
        <v>1</v>
      </c>
      <c r="Y1915">
        <v>0.41289999999999999</v>
      </c>
      <c r="Z1915">
        <v>0.75</v>
      </c>
    </row>
    <row r="1916" spans="1:26" x14ac:dyDescent="0.2">
      <c r="A1916" t="s">
        <v>165</v>
      </c>
      <c r="B1916">
        <v>2013</v>
      </c>
      <c r="C1916" t="str">
        <f t="shared" si="29"/>
        <v>TNG2013</v>
      </c>
      <c r="D1916">
        <v>1.5215014883171178E-14</v>
      </c>
      <c r="E1916">
        <v>6.6448319191520749E-2</v>
      </c>
      <c r="F1916">
        <v>0.93256063028344682</v>
      </c>
      <c r="G1916">
        <v>27.591447681139339</v>
      </c>
      <c r="H1916">
        <v>0.78164706242997972</v>
      </c>
      <c r="I1916">
        <v>0.77990921612167741</v>
      </c>
      <c r="J1916">
        <v>1.038690499819173E-2</v>
      </c>
      <c r="K1916">
        <v>0.12871284284692791</v>
      </c>
      <c r="L1916">
        <v>0.51175966403817852</v>
      </c>
      <c r="M1916">
        <v>16</v>
      </c>
      <c r="N1916">
        <v>1</v>
      </c>
      <c r="O1916">
        <v>0</v>
      </c>
      <c r="P1916">
        <v>0.2737</v>
      </c>
      <c r="Q1916">
        <v>0.2326</v>
      </c>
      <c r="R1916">
        <v>6.0199999999999997E-2</v>
      </c>
      <c r="S1916">
        <v>0</v>
      </c>
      <c r="T1916">
        <v>6.0199999999999997E-2</v>
      </c>
      <c r="U1916">
        <v>5</v>
      </c>
      <c r="V1916">
        <v>0</v>
      </c>
      <c r="W1916">
        <v>0.2</v>
      </c>
      <c r="X1916">
        <v>1</v>
      </c>
      <c r="Y1916">
        <v>0.43</v>
      </c>
      <c r="Z1916">
        <v>0.8</v>
      </c>
    </row>
    <row r="1917" spans="1:26" x14ac:dyDescent="0.2">
      <c r="A1917" t="s">
        <v>165</v>
      </c>
      <c r="B1917">
        <v>2014</v>
      </c>
      <c r="C1917" t="str">
        <f t="shared" si="29"/>
        <v>TNG2014</v>
      </c>
      <c r="D1917">
        <v>3.7044452168383539E-14</v>
      </c>
      <c r="E1917">
        <v>0.20280040352232739</v>
      </c>
      <c r="F1917">
        <v>1.0222247367839821</v>
      </c>
      <c r="G1917">
        <v>27.811599122575281</v>
      </c>
      <c r="H1917">
        <v>0.72725664813486013</v>
      </c>
      <c r="I1917">
        <v>0.78118434318483121</v>
      </c>
      <c r="J1917">
        <v>0.2462654525265506</v>
      </c>
      <c r="K1917">
        <v>-3.6379186756114968E-4</v>
      </c>
      <c r="L1917">
        <v>0.5023828958869494</v>
      </c>
      <c r="M1917">
        <v>17</v>
      </c>
      <c r="N1917">
        <v>1</v>
      </c>
      <c r="O1917">
        <v>0</v>
      </c>
      <c r="P1917">
        <v>0.311</v>
      </c>
      <c r="Q1917">
        <v>0.26740000000000003</v>
      </c>
      <c r="R1917">
        <v>7.8E-2</v>
      </c>
      <c r="S1917">
        <v>0</v>
      </c>
      <c r="T1917">
        <v>7.8E-2</v>
      </c>
      <c r="U1917">
        <v>5</v>
      </c>
      <c r="V1917">
        <v>0</v>
      </c>
      <c r="W1917">
        <v>0.2</v>
      </c>
      <c r="X1917">
        <v>1</v>
      </c>
      <c r="Y1917">
        <v>0.44900000000000001</v>
      </c>
      <c r="Z1917">
        <v>0.8</v>
      </c>
    </row>
    <row r="1918" spans="1:26" x14ac:dyDescent="0.2">
      <c r="A1918" t="s">
        <v>165</v>
      </c>
      <c r="B1918">
        <v>2015</v>
      </c>
      <c r="C1918" t="str">
        <f t="shared" si="29"/>
        <v>TNG2015</v>
      </c>
      <c r="D1918">
        <v>2.7382632430631941E-14</v>
      </c>
      <c r="E1918">
        <v>0.1665587371316628</v>
      </c>
      <c r="F1918">
        <v>1.018909799523376</v>
      </c>
      <c r="G1918">
        <v>28.10951745793227</v>
      </c>
      <c r="H1918">
        <v>0.71847293572574766</v>
      </c>
      <c r="I1918">
        <v>0.73471292069883565</v>
      </c>
      <c r="J1918">
        <v>0.34705177688513472</v>
      </c>
      <c r="K1918">
        <v>3.077220385041439E-2</v>
      </c>
      <c r="L1918">
        <v>0.52827215499683378</v>
      </c>
      <c r="M1918">
        <v>18</v>
      </c>
      <c r="N1918">
        <v>1</v>
      </c>
      <c r="O1918">
        <v>0</v>
      </c>
      <c r="P1918">
        <v>0.3135</v>
      </c>
      <c r="Q1918">
        <v>0.23549999999999999</v>
      </c>
      <c r="R1918">
        <v>6.0999999999999999E-2</v>
      </c>
      <c r="S1918">
        <v>0</v>
      </c>
      <c r="T1918">
        <v>6.0999999999999999E-2</v>
      </c>
      <c r="U1918">
        <v>5</v>
      </c>
      <c r="V1918">
        <v>0</v>
      </c>
      <c r="W1918">
        <v>0</v>
      </c>
      <c r="X1918">
        <v>1</v>
      </c>
      <c r="Y1918">
        <v>0.47220000000000001</v>
      </c>
      <c r="Z1918">
        <v>1</v>
      </c>
    </row>
    <row r="1919" spans="1:26" x14ac:dyDescent="0.2">
      <c r="A1919" t="s">
        <v>165</v>
      </c>
      <c r="B1919">
        <v>2016</v>
      </c>
      <c r="C1919" t="str">
        <f t="shared" si="29"/>
        <v>TNG2016</v>
      </c>
      <c r="D1919">
        <v>2.3816403144022891E-14</v>
      </c>
      <c r="E1919">
        <v>0.1557813262337695</v>
      </c>
      <c r="F1919">
        <v>0.94602483155596406</v>
      </c>
      <c r="G1919">
        <v>28.24416284182843</v>
      </c>
      <c r="H1919">
        <v>0.76876119288111455</v>
      </c>
      <c r="I1919">
        <v>0.71774291997849693</v>
      </c>
      <c r="J1919">
        <v>0.1441309851318657</v>
      </c>
      <c r="K1919">
        <v>7.3495147533280311E-5</v>
      </c>
      <c r="L1919">
        <v>0.53928456283074611</v>
      </c>
      <c r="M1919">
        <v>19</v>
      </c>
      <c r="N1919">
        <v>1</v>
      </c>
      <c r="O1919">
        <v>0</v>
      </c>
      <c r="P1919">
        <v>0.31119999999999998</v>
      </c>
      <c r="Q1919">
        <v>0.28460000000000002</v>
      </c>
      <c r="R1919">
        <v>5.7099999999999998E-2</v>
      </c>
      <c r="S1919">
        <v>0</v>
      </c>
      <c r="T1919">
        <v>5.7099999999999998E-2</v>
      </c>
      <c r="U1919">
        <v>5</v>
      </c>
      <c r="V1919">
        <v>0</v>
      </c>
      <c r="W1919">
        <v>0.2</v>
      </c>
      <c r="X1919">
        <v>1</v>
      </c>
      <c r="Y1919">
        <v>0.4289</v>
      </c>
      <c r="Z1919">
        <v>1</v>
      </c>
    </row>
    <row r="1920" spans="1:26" x14ac:dyDescent="0.2">
      <c r="A1920" t="s">
        <v>165</v>
      </c>
      <c r="B1920">
        <v>2017</v>
      </c>
      <c r="C1920" t="str">
        <f t="shared" si="29"/>
        <v>TNG2017</v>
      </c>
      <c r="D1920">
        <v>2.321804599584417E-14</v>
      </c>
      <c r="E1920">
        <v>0.18277621333500221</v>
      </c>
      <c r="F1920">
        <v>0.9685166392929071</v>
      </c>
      <c r="G1920">
        <v>28.43108792998574</v>
      </c>
      <c r="H1920">
        <v>0.76277560680521028</v>
      </c>
      <c r="I1920">
        <v>0.71727084570076327</v>
      </c>
      <c r="J1920">
        <v>0.20553697267118201</v>
      </c>
      <c r="K1920">
        <v>-2.975859227543878E-2</v>
      </c>
      <c r="L1920">
        <v>0.45870478473083348</v>
      </c>
      <c r="M1920">
        <v>20</v>
      </c>
      <c r="N1920">
        <v>1</v>
      </c>
      <c r="O1920">
        <v>0</v>
      </c>
      <c r="P1920">
        <v>0.31119999999999998</v>
      </c>
      <c r="Q1920">
        <v>8.4100000000000008E-2</v>
      </c>
      <c r="R1920">
        <v>5.7099999999999998E-2</v>
      </c>
      <c r="S1920">
        <v>0</v>
      </c>
      <c r="T1920">
        <v>5.7099999999999998E-2</v>
      </c>
      <c r="U1920">
        <v>5</v>
      </c>
      <c r="V1920">
        <v>1</v>
      </c>
      <c r="W1920">
        <v>0.2</v>
      </c>
      <c r="X1920">
        <v>1</v>
      </c>
      <c r="Y1920">
        <v>0.43780000000000002</v>
      </c>
      <c r="Z1920">
        <v>1</v>
      </c>
    </row>
    <row r="1921" spans="1:26" x14ac:dyDescent="0.2">
      <c r="A1921" t="s">
        <v>165</v>
      </c>
      <c r="B1921">
        <v>2018</v>
      </c>
      <c r="C1921" t="str">
        <f t="shared" si="29"/>
        <v>TNG2018</v>
      </c>
      <c r="D1921">
        <v>2.675963082585167E-14</v>
      </c>
      <c r="E1921">
        <v>0.2270098876812007</v>
      </c>
      <c r="F1921">
        <v>1.009625587444547</v>
      </c>
      <c r="G1921">
        <v>28.584775326844849</v>
      </c>
      <c r="H1921">
        <v>0.84083090812606609</v>
      </c>
      <c r="I1921">
        <v>0.69405346798186029</v>
      </c>
      <c r="J1921">
        <v>0.16612629505263721</v>
      </c>
      <c r="K1921">
        <v>4.4514487189593763E-2</v>
      </c>
      <c r="L1921">
        <v>0.41983620039292191</v>
      </c>
      <c r="M1921">
        <v>21</v>
      </c>
      <c r="N1921">
        <v>1</v>
      </c>
      <c r="O1921">
        <v>0</v>
      </c>
      <c r="P1921">
        <v>0.32579999999999998</v>
      </c>
      <c r="Q1921">
        <v>0.28699999999999998</v>
      </c>
      <c r="R1921">
        <v>5.1499999999999997E-2</v>
      </c>
      <c r="S1921">
        <v>0</v>
      </c>
      <c r="T1921">
        <v>5.1499999999999997E-2</v>
      </c>
      <c r="U1921">
        <v>5</v>
      </c>
      <c r="V1921">
        <v>1</v>
      </c>
      <c r="W1921">
        <v>0.4</v>
      </c>
      <c r="X1921">
        <v>1</v>
      </c>
      <c r="Y1921">
        <v>0.43559999999999999</v>
      </c>
      <c r="Z1921">
        <v>1</v>
      </c>
    </row>
    <row r="1922" spans="1:26" x14ac:dyDescent="0.2">
      <c r="A1922" t="s">
        <v>165</v>
      </c>
      <c r="B1922">
        <v>2019</v>
      </c>
      <c r="C1922" t="str">
        <f t="shared" si="29"/>
        <v>TNG2019</v>
      </c>
      <c r="D1922">
        <v>2.5107011173400691E-14</v>
      </c>
      <c r="E1922">
        <v>0.21571820850523829</v>
      </c>
      <c r="F1922">
        <v>0.96859696755138025</v>
      </c>
      <c r="G1922">
        <v>28.738728692099141</v>
      </c>
      <c r="H1922">
        <v>1.0013528711236841</v>
      </c>
      <c r="I1922">
        <v>0.64764576246620265</v>
      </c>
      <c r="J1922">
        <v>0.16643648904099079</v>
      </c>
      <c r="K1922">
        <v>0.13555401885690219</v>
      </c>
      <c r="L1922">
        <v>0.41655072159652712</v>
      </c>
      <c r="M1922">
        <v>22</v>
      </c>
      <c r="N1922">
        <v>1</v>
      </c>
      <c r="O1922">
        <v>1</v>
      </c>
      <c r="P1922">
        <v>0.26960000000000001</v>
      </c>
      <c r="Q1922">
        <v>0.1552</v>
      </c>
      <c r="R1922">
        <v>0</v>
      </c>
      <c r="S1922">
        <v>0</v>
      </c>
      <c r="T1922">
        <v>0</v>
      </c>
      <c r="U1922">
        <v>9</v>
      </c>
      <c r="V1922">
        <v>1</v>
      </c>
      <c r="W1922">
        <v>0.33333333333333331</v>
      </c>
      <c r="X1922">
        <v>1</v>
      </c>
      <c r="Y1922">
        <v>0.4738</v>
      </c>
      <c r="Z1922">
        <v>1</v>
      </c>
    </row>
    <row r="1923" spans="1:26" x14ac:dyDescent="0.2">
      <c r="A1923" t="s">
        <v>165</v>
      </c>
      <c r="B1923">
        <v>2020</v>
      </c>
      <c r="C1923" t="str">
        <f t="shared" ref="C1923:C1986" si="30">A1923&amp;B1923</f>
        <v>TNG2020</v>
      </c>
      <c r="D1923">
        <v>1.215436528075039E-14</v>
      </c>
      <c r="E1923">
        <v>0.13380310776731011</v>
      </c>
      <c r="F1923">
        <v>1.0017884178860981</v>
      </c>
      <c r="G1923">
        <v>28.89936351815874</v>
      </c>
      <c r="H1923">
        <v>1.126894922594192</v>
      </c>
      <c r="I1923">
        <v>0.67707609912639621</v>
      </c>
      <c r="J1923">
        <v>0.17425608278883689</v>
      </c>
      <c r="K1923">
        <v>5.5272140427058462E-2</v>
      </c>
      <c r="L1923">
        <v>0.47118135607177608</v>
      </c>
      <c r="M1923">
        <v>23</v>
      </c>
      <c r="N1923">
        <v>1</v>
      </c>
      <c r="O1923">
        <v>1</v>
      </c>
      <c r="P1923">
        <v>0.3397</v>
      </c>
      <c r="Q1923">
        <v>0.41410000000000002</v>
      </c>
      <c r="R1923">
        <v>0</v>
      </c>
      <c r="S1923">
        <v>0</v>
      </c>
      <c r="T1923">
        <v>0</v>
      </c>
      <c r="U1923">
        <v>9</v>
      </c>
      <c r="V1923">
        <v>0</v>
      </c>
      <c r="W1923">
        <v>0.22222222222222221</v>
      </c>
      <c r="X1923">
        <v>1</v>
      </c>
      <c r="Y1923">
        <v>0.47229999999999989</v>
      </c>
      <c r="Z1923">
        <v>1</v>
      </c>
    </row>
    <row r="1924" spans="1:26" x14ac:dyDescent="0.2">
      <c r="A1924" t="s">
        <v>165</v>
      </c>
      <c r="B1924">
        <v>2021</v>
      </c>
      <c r="C1924" t="str">
        <f t="shared" si="30"/>
        <v>TNG2021</v>
      </c>
      <c r="D1924">
        <v>1.2178188738268129E-14</v>
      </c>
      <c r="E1924">
        <v>0.15885528679129071</v>
      </c>
      <c r="F1924">
        <v>1.3613769440310599</v>
      </c>
      <c r="G1924">
        <v>29.105183278331548</v>
      </c>
      <c r="H1924">
        <v>0.92621291171738995</v>
      </c>
      <c r="I1924">
        <v>0.66518761072627364</v>
      </c>
      <c r="J1924">
        <v>0.22853175368784931</v>
      </c>
      <c r="K1924">
        <v>8.7330060820427179E-3</v>
      </c>
      <c r="L1924">
        <v>0.49186973633579822</v>
      </c>
      <c r="M1924">
        <v>24</v>
      </c>
      <c r="N1924">
        <v>1</v>
      </c>
      <c r="O1924">
        <v>0</v>
      </c>
      <c r="P1924">
        <v>0.39279999999999998</v>
      </c>
      <c r="Q1924">
        <v>0.38879999999999998</v>
      </c>
      <c r="R1924">
        <v>7.6499999999999999E-2</v>
      </c>
      <c r="S1924">
        <v>0</v>
      </c>
      <c r="T1924">
        <v>7.6499999999999999E-2</v>
      </c>
      <c r="U1924">
        <v>9</v>
      </c>
      <c r="V1924">
        <v>0</v>
      </c>
      <c r="W1924">
        <v>0.22222222222222221</v>
      </c>
      <c r="X1924">
        <v>1</v>
      </c>
      <c r="Y1924">
        <v>0.4753</v>
      </c>
      <c r="Z1924">
        <v>1</v>
      </c>
    </row>
    <row r="1925" spans="1:26" x14ac:dyDescent="0.2">
      <c r="A1925" t="s">
        <v>165</v>
      </c>
      <c r="B1925">
        <v>2022</v>
      </c>
      <c r="C1925" t="str">
        <f t="shared" si="30"/>
        <v>TNG2022</v>
      </c>
      <c r="D1925">
        <v>1.046281206188357E-14</v>
      </c>
      <c r="E1925">
        <v>0.17748457562804129</v>
      </c>
      <c r="F1925">
        <v>0.95223557111858925</v>
      </c>
      <c r="G1925">
        <v>29.297187852902329</v>
      </c>
      <c r="H1925">
        <v>0.82786022263347048</v>
      </c>
      <c r="I1925">
        <v>0.68804293356499246</v>
      </c>
      <c r="J1925">
        <v>0.2116760598501182</v>
      </c>
      <c r="K1925">
        <v>7.260217272626128E-2</v>
      </c>
      <c r="L1925">
        <v>0.46769494758374353</v>
      </c>
      <c r="M1925">
        <v>25</v>
      </c>
      <c r="N1925">
        <v>1</v>
      </c>
      <c r="O1925">
        <v>0</v>
      </c>
      <c r="P1925">
        <v>0.32479999999999998</v>
      </c>
      <c r="Q1925">
        <v>0.39739999999999998</v>
      </c>
      <c r="R1925">
        <v>0</v>
      </c>
      <c r="S1925">
        <v>0</v>
      </c>
      <c r="T1925">
        <v>0</v>
      </c>
      <c r="U1925">
        <v>8</v>
      </c>
      <c r="V1925">
        <v>0</v>
      </c>
      <c r="W1925">
        <v>0.25</v>
      </c>
      <c r="X1925">
        <v>1</v>
      </c>
      <c r="Y1925">
        <v>0.4879</v>
      </c>
      <c r="Z1925">
        <v>1</v>
      </c>
    </row>
    <row r="1926" spans="1:26" x14ac:dyDescent="0.2">
      <c r="A1926" t="s">
        <v>165</v>
      </c>
      <c r="B1926">
        <v>2023</v>
      </c>
      <c r="C1926" t="str">
        <f t="shared" si="30"/>
        <v>TNG2023</v>
      </c>
      <c r="D1926">
        <v>881480176873.57349</v>
      </c>
      <c r="E1926">
        <v>8.4731422970414902E-2</v>
      </c>
      <c r="F1926">
        <v>0.98599860966269015</v>
      </c>
      <c r="G1926">
        <v>29.285511636103688</v>
      </c>
      <c r="H1926">
        <v>0.89160440011131648</v>
      </c>
      <c r="I1926">
        <v>0.50484658829300288</v>
      </c>
      <c r="J1926">
        <v>-1.1608314317583249E-2</v>
      </c>
      <c r="K1926">
        <v>9.1908773921825018E-2</v>
      </c>
      <c r="L1926">
        <v>0.44073195072147692</v>
      </c>
      <c r="M1926">
        <v>26</v>
      </c>
      <c r="N1926">
        <v>0</v>
      </c>
      <c r="O1926">
        <v>0</v>
      </c>
      <c r="P1926">
        <v>0.32479999999999998</v>
      </c>
      <c r="Q1926">
        <v>0.39739999999999998</v>
      </c>
      <c r="R1926">
        <v>0</v>
      </c>
      <c r="S1926">
        <v>0</v>
      </c>
      <c r="T1926">
        <v>0</v>
      </c>
      <c r="U1926">
        <v>8</v>
      </c>
      <c r="V1926">
        <v>0</v>
      </c>
      <c r="W1926">
        <v>0.25</v>
      </c>
      <c r="X1926">
        <v>1</v>
      </c>
      <c r="Y1926">
        <v>0.4879</v>
      </c>
      <c r="Z1926">
        <v>1</v>
      </c>
    </row>
    <row r="1927" spans="1:26" x14ac:dyDescent="0.2">
      <c r="A1927" t="s">
        <v>166</v>
      </c>
      <c r="B1927">
        <v>2012</v>
      </c>
      <c r="C1927" t="str">
        <f t="shared" si="30"/>
        <v>TPC2012</v>
      </c>
      <c r="D1927">
        <v>7.9550816511332221E-14</v>
      </c>
      <c r="E1927">
        <v>9.2737240972007334E-2</v>
      </c>
      <c r="F1927">
        <v>0.80285039281709858</v>
      </c>
      <c r="G1927">
        <v>27.14271733369435</v>
      </c>
      <c r="H1927">
        <v>1.5454621633673939</v>
      </c>
      <c r="I1927">
        <v>0.47359157373476712</v>
      </c>
      <c r="J1927">
        <v>-0.38098464596167658</v>
      </c>
      <c r="K1927">
        <v>0.28904355627797418</v>
      </c>
      <c r="L1927">
        <v>7.5816140217352293E-2</v>
      </c>
      <c r="M1927">
        <v>28</v>
      </c>
      <c r="N1927">
        <v>0</v>
      </c>
      <c r="O1927">
        <v>0</v>
      </c>
      <c r="P1927">
        <v>0.311</v>
      </c>
      <c r="Q1927">
        <v>2.0899999999999998E-2</v>
      </c>
      <c r="R1927">
        <v>0</v>
      </c>
      <c r="S1927">
        <v>0</v>
      </c>
      <c r="T1927">
        <v>0</v>
      </c>
      <c r="U1927">
        <v>6</v>
      </c>
      <c r="V1927">
        <v>1</v>
      </c>
      <c r="W1927">
        <v>0.33333333333333331</v>
      </c>
      <c r="X1927">
        <v>1</v>
      </c>
      <c r="Y1927">
        <v>0.42559999999999998</v>
      </c>
      <c r="Z1927">
        <v>0.83333333333333337</v>
      </c>
    </row>
    <row r="1928" spans="1:26" x14ac:dyDescent="0.2">
      <c r="A1928" t="s">
        <v>166</v>
      </c>
      <c r="B1928">
        <v>2013</v>
      </c>
      <c r="C1928" t="str">
        <f t="shared" si="30"/>
        <v>TPC2013</v>
      </c>
      <c r="D1928">
        <v>5.3850984566085398E-14</v>
      </c>
      <c r="E1928">
        <v>7.4125944045320399E-2</v>
      </c>
      <c r="F1928">
        <v>0.82676362895313293</v>
      </c>
      <c r="G1928">
        <v>27.2153833632496</v>
      </c>
      <c r="H1928">
        <v>3.0465674247550911</v>
      </c>
      <c r="I1928">
        <v>0.52058211893907891</v>
      </c>
      <c r="J1928">
        <v>7.5371334693653536E-2</v>
      </c>
      <c r="K1928">
        <v>-1.153914463803693E-2</v>
      </c>
      <c r="L1928">
        <v>6.7003508336254167E-2</v>
      </c>
      <c r="M1928">
        <v>29</v>
      </c>
      <c r="N1928">
        <v>0</v>
      </c>
      <c r="O1928">
        <v>0</v>
      </c>
      <c r="P1928">
        <v>0.27100000000000002</v>
      </c>
      <c r="Q1928">
        <v>5.4899999999999997E-2</v>
      </c>
      <c r="R1928">
        <v>0</v>
      </c>
      <c r="S1928">
        <v>0</v>
      </c>
      <c r="T1928">
        <v>0</v>
      </c>
      <c r="U1928">
        <v>7</v>
      </c>
      <c r="V1928">
        <v>1</v>
      </c>
      <c r="W1928">
        <v>0.42857142857142849</v>
      </c>
      <c r="X1928">
        <v>1</v>
      </c>
      <c r="Y1928">
        <v>0.41599999999999998</v>
      </c>
      <c r="Z1928">
        <v>0.8571428571428571</v>
      </c>
    </row>
    <row r="1929" spans="1:26" x14ac:dyDescent="0.2">
      <c r="A1929" t="s">
        <v>166</v>
      </c>
      <c r="B1929">
        <v>2014</v>
      </c>
      <c r="C1929" t="str">
        <f t="shared" si="30"/>
        <v>TPC2014</v>
      </c>
      <c r="D1929">
        <v>2.7763247427374839E-14</v>
      </c>
      <c r="E1929">
        <v>3.8269064627115663E-2</v>
      </c>
      <c r="F1929">
        <v>0.79664720756971907</v>
      </c>
      <c r="G1929">
        <v>27.200387060720381</v>
      </c>
      <c r="H1929">
        <v>2.3672283956967828</v>
      </c>
      <c r="I1929">
        <v>0.52837108605529604</v>
      </c>
      <c r="J1929">
        <v>-1.488441796759099E-2</v>
      </c>
      <c r="K1929">
        <v>0.101291415563351</v>
      </c>
      <c r="L1929">
        <v>6.4989978486530098E-2</v>
      </c>
      <c r="M1929">
        <v>30</v>
      </c>
      <c r="N1929">
        <v>0</v>
      </c>
      <c r="O1929">
        <v>0</v>
      </c>
      <c r="P1929">
        <v>0.311</v>
      </c>
      <c r="Q1929">
        <v>6.1899999999999997E-2</v>
      </c>
      <c r="R1929">
        <v>0</v>
      </c>
      <c r="S1929">
        <v>0</v>
      </c>
      <c r="T1929">
        <v>0</v>
      </c>
      <c r="U1929">
        <v>7</v>
      </c>
      <c r="V1929">
        <v>1</v>
      </c>
      <c r="W1929">
        <v>0.42857142857142849</v>
      </c>
      <c r="X1929">
        <v>1</v>
      </c>
      <c r="Y1929">
        <v>0.42599999999999999</v>
      </c>
      <c r="Z1929">
        <v>0.8571428571428571</v>
      </c>
    </row>
    <row r="1930" spans="1:26" x14ac:dyDescent="0.2">
      <c r="A1930" t="s">
        <v>166</v>
      </c>
      <c r="B1930">
        <v>2015</v>
      </c>
      <c r="C1930" t="str">
        <f t="shared" si="30"/>
        <v>TPC2015</v>
      </c>
      <c r="D1930">
        <v>3.7000204608300591E-14</v>
      </c>
      <c r="E1930">
        <v>3.4512139898917979E-2</v>
      </c>
      <c r="F1930">
        <v>0.66934880346630909</v>
      </c>
      <c r="G1930">
        <v>27.005027173555369</v>
      </c>
      <c r="H1930">
        <v>1.7174407693518721</v>
      </c>
      <c r="I1930">
        <v>0.42672035407734499</v>
      </c>
      <c r="J1930">
        <v>-0.16172659490870081</v>
      </c>
      <c r="K1930">
        <v>0.13956410806049641</v>
      </c>
      <c r="L1930">
        <v>8.4576558872369534E-2</v>
      </c>
      <c r="M1930">
        <v>31</v>
      </c>
      <c r="N1930">
        <v>0</v>
      </c>
      <c r="O1930">
        <v>0</v>
      </c>
      <c r="P1930">
        <v>0.27039999999999997</v>
      </c>
      <c r="Q1930">
        <v>5.3900000000000003E-2</v>
      </c>
      <c r="R1930">
        <v>0</v>
      </c>
      <c r="S1930">
        <v>0</v>
      </c>
      <c r="T1930">
        <v>0</v>
      </c>
      <c r="U1930">
        <v>7</v>
      </c>
      <c r="V1930">
        <v>1</v>
      </c>
      <c r="W1930">
        <v>0.42857142857142849</v>
      </c>
      <c r="X1930">
        <v>1</v>
      </c>
      <c r="Y1930">
        <v>0.436</v>
      </c>
      <c r="Z1930">
        <v>0.8571428571428571</v>
      </c>
    </row>
    <row r="1931" spans="1:26" x14ac:dyDescent="0.2">
      <c r="A1931" t="s">
        <v>166</v>
      </c>
      <c r="B1931">
        <v>2016</v>
      </c>
      <c r="C1931" t="str">
        <f t="shared" si="30"/>
        <v>TPC2016</v>
      </c>
      <c r="D1931">
        <v>5.9094574773802649E-14</v>
      </c>
      <c r="E1931">
        <v>6.7486168124885018E-2</v>
      </c>
      <c r="F1931">
        <v>0.74424841244066009</v>
      </c>
      <c r="G1931">
        <v>27.119900551873609</v>
      </c>
      <c r="H1931">
        <v>1.629529785938812</v>
      </c>
      <c r="I1931">
        <v>0.47476216580933361</v>
      </c>
      <c r="J1931">
        <v>0.10067591998331379</v>
      </c>
      <c r="K1931">
        <v>9.1546546740198825E-2</v>
      </c>
      <c r="L1931">
        <v>8.6690002220769086E-2</v>
      </c>
      <c r="M1931">
        <v>32</v>
      </c>
      <c r="N1931">
        <v>0</v>
      </c>
      <c r="O1931">
        <v>0</v>
      </c>
      <c r="P1931">
        <v>0.27039999999999997</v>
      </c>
      <c r="Q1931">
        <v>4.9000000000000002E-2</v>
      </c>
      <c r="R1931">
        <v>0</v>
      </c>
      <c r="S1931">
        <v>0</v>
      </c>
      <c r="T1931">
        <v>0</v>
      </c>
      <c r="U1931">
        <v>7</v>
      </c>
      <c r="V1931">
        <v>1</v>
      </c>
      <c r="W1931">
        <v>0.42857142857142849</v>
      </c>
      <c r="X1931">
        <v>1</v>
      </c>
      <c r="Y1931">
        <v>0.47</v>
      </c>
      <c r="Z1931">
        <v>0.8571428571428571</v>
      </c>
    </row>
    <row r="1932" spans="1:26" x14ac:dyDescent="0.2">
      <c r="A1932" t="s">
        <v>166</v>
      </c>
      <c r="B1932">
        <v>2017</v>
      </c>
      <c r="C1932" t="str">
        <f t="shared" si="30"/>
        <v>TPC2017</v>
      </c>
      <c r="D1932">
        <v>7.0838683458220669E-14</v>
      </c>
      <c r="E1932">
        <v>8.911407171420456E-2</v>
      </c>
      <c r="F1932">
        <v>0.83509025978114471</v>
      </c>
      <c r="G1932">
        <v>27.190681349252319</v>
      </c>
      <c r="H1932">
        <v>1.3774774320537051</v>
      </c>
      <c r="I1932">
        <v>0.48821557747314959</v>
      </c>
      <c r="J1932">
        <v>7.3345919840265061E-2</v>
      </c>
      <c r="K1932">
        <v>-6.6553826606807989E-2</v>
      </c>
      <c r="L1932">
        <v>9.8889906129030467E-2</v>
      </c>
      <c r="M1932">
        <v>33</v>
      </c>
      <c r="N1932">
        <v>0</v>
      </c>
      <c r="O1932">
        <v>0</v>
      </c>
      <c r="P1932">
        <v>0.32840000000000003</v>
      </c>
      <c r="Q1932">
        <v>0.2172</v>
      </c>
      <c r="R1932">
        <v>0</v>
      </c>
      <c r="S1932">
        <v>0</v>
      </c>
      <c r="T1932">
        <v>0</v>
      </c>
      <c r="U1932">
        <v>7</v>
      </c>
      <c r="V1932">
        <v>1</v>
      </c>
      <c r="W1932">
        <v>0.42857142857142849</v>
      </c>
      <c r="X1932">
        <v>1</v>
      </c>
      <c r="Y1932">
        <v>0.48</v>
      </c>
      <c r="Z1932">
        <v>0.8571428571428571</v>
      </c>
    </row>
    <row r="1933" spans="1:26" x14ac:dyDescent="0.2">
      <c r="A1933" t="s">
        <v>166</v>
      </c>
      <c r="B1933">
        <v>2018</v>
      </c>
      <c r="C1933" t="str">
        <f t="shared" si="30"/>
        <v>TPC2018</v>
      </c>
      <c r="D1933">
        <v>6.8703472702613928E-14</v>
      </c>
      <c r="E1933">
        <v>9.1974225967710543E-2</v>
      </c>
      <c r="F1933">
        <v>0.84879044302855333</v>
      </c>
      <c r="G1933">
        <v>27.21910144108956</v>
      </c>
      <c r="H1933">
        <v>1.312733360447931</v>
      </c>
      <c r="I1933">
        <v>0.50521319856336766</v>
      </c>
      <c r="J1933">
        <v>2.8827795810788981E-2</v>
      </c>
      <c r="K1933">
        <v>-3.27142022092691E-2</v>
      </c>
      <c r="L1933">
        <v>0.10620173599930401</v>
      </c>
      <c r="M1933">
        <v>34</v>
      </c>
      <c r="N1933">
        <v>0</v>
      </c>
      <c r="O1933">
        <v>0</v>
      </c>
      <c r="P1933">
        <v>0.32150000000000001</v>
      </c>
      <c r="Q1933">
        <v>5.7200000000000001E-2</v>
      </c>
      <c r="R1933">
        <v>0</v>
      </c>
      <c r="S1933">
        <v>0</v>
      </c>
      <c r="T1933">
        <v>0</v>
      </c>
      <c r="U1933">
        <v>5</v>
      </c>
      <c r="V1933">
        <v>1</v>
      </c>
      <c r="W1933">
        <v>0.4</v>
      </c>
      <c r="X1933">
        <v>1</v>
      </c>
      <c r="Y1933">
        <v>0.49</v>
      </c>
      <c r="Z1933">
        <v>0.8</v>
      </c>
    </row>
    <row r="1934" spans="1:26" x14ac:dyDescent="0.2">
      <c r="A1934" t="s">
        <v>166</v>
      </c>
      <c r="B1934">
        <v>2019</v>
      </c>
      <c r="C1934" t="str">
        <f t="shared" si="30"/>
        <v>TPC2019</v>
      </c>
      <c r="D1934">
        <v>4.7474852825891458E-14</v>
      </c>
      <c r="E1934">
        <v>6.2782972810699472E-2</v>
      </c>
      <c r="F1934">
        <v>0.81779917862848039</v>
      </c>
      <c r="G1934">
        <v>27.225104152870809</v>
      </c>
      <c r="H1934">
        <v>1.3966743017294689</v>
      </c>
      <c r="I1934">
        <v>0.49611172371474571</v>
      </c>
      <c r="J1934">
        <v>6.0207641586071947E-3</v>
      </c>
      <c r="K1934">
        <v>0.11769454123278569</v>
      </c>
      <c r="L1934">
        <v>0.2242361937184762</v>
      </c>
      <c r="M1934">
        <v>35</v>
      </c>
      <c r="N1934">
        <v>0</v>
      </c>
      <c r="O1934">
        <v>1</v>
      </c>
      <c r="P1934">
        <v>0.32150000000000001</v>
      </c>
      <c r="Q1934">
        <v>0.22739999999999999</v>
      </c>
      <c r="R1934">
        <v>0</v>
      </c>
      <c r="S1934">
        <v>0</v>
      </c>
      <c r="T1934">
        <v>0</v>
      </c>
      <c r="U1934">
        <v>9</v>
      </c>
      <c r="V1934">
        <v>0</v>
      </c>
      <c r="W1934">
        <v>0.44444444444444442</v>
      </c>
      <c r="X1934">
        <v>1</v>
      </c>
      <c r="Y1934">
        <v>0.49330000000000002</v>
      </c>
      <c r="Z1934">
        <v>0.88888888888888884</v>
      </c>
    </row>
    <row r="1935" spans="1:26" x14ac:dyDescent="0.2">
      <c r="A1935" t="s">
        <v>166</v>
      </c>
      <c r="B1935">
        <v>2020</v>
      </c>
      <c r="C1935" t="str">
        <f t="shared" si="30"/>
        <v>TPC2020</v>
      </c>
      <c r="D1935">
        <v>4.4282590987523397E-14</v>
      </c>
      <c r="E1935">
        <v>6.4171548572970402E-2</v>
      </c>
      <c r="F1935">
        <v>0.83694130753016893</v>
      </c>
      <c r="G1935">
        <v>27.276437688316729</v>
      </c>
      <c r="H1935">
        <v>1.4411298324990769</v>
      </c>
      <c r="I1935">
        <v>0.51594258418561612</v>
      </c>
      <c r="J1935">
        <v>5.2673938808478697E-2</v>
      </c>
      <c r="K1935">
        <v>0.1128483408177948</v>
      </c>
      <c r="L1935">
        <v>0.24534512328078631</v>
      </c>
      <c r="M1935">
        <v>36</v>
      </c>
      <c r="N1935">
        <v>0</v>
      </c>
      <c r="O1935">
        <v>1</v>
      </c>
      <c r="P1935">
        <v>0.32150000000000001</v>
      </c>
      <c r="Q1935">
        <v>0.22620000000000001</v>
      </c>
      <c r="R1935">
        <v>0</v>
      </c>
      <c r="S1935">
        <v>0</v>
      </c>
      <c r="T1935">
        <v>0</v>
      </c>
      <c r="U1935">
        <v>9</v>
      </c>
      <c r="V1935">
        <v>0</v>
      </c>
      <c r="W1935">
        <v>0.55555555555555558</v>
      </c>
      <c r="X1935">
        <v>1</v>
      </c>
      <c r="Y1935">
        <v>0.44829999999999998</v>
      </c>
      <c r="Z1935">
        <v>0.88888888888888884</v>
      </c>
    </row>
    <row r="1936" spans="1:26" x14ac:dyDescent="0.2">
      <c r="A1936" t="s">
        <v>166</v>
      </c>
      <c r="B1936">
        <v>2021</v>
      </c>
      <c r="C1936" t="str">
        <f t="shared" si="30"/>
        <v>TPC2021</v>
      </c>
      <c r="D1936">
        <v>2.7088987899795158E-14</v>
      </c>
      <c r="E1936">
        <v>4.5142187141289487E-2</v>
      </c>
      <c r="F1936">
        <v>0.86759700392642103</v>
      </c>
      <c r="G1936">
        <v>27.3421397046801</v>
      </c>
      <c r="H1936">
        <v>1.3047312873090771</v>
      </c>
      <c r="I1936">
        <v>0.55047838484611888</v>
      </c>
      <c r="J1936">
        <v>6.7908450505543838E-2</v>
      </c>
      <c r="K1936">
        <v>3.584073610271097E-2</v>
      </c>
      <c r="L1936">
        <v>0.21155639163352219</v>
      </c>
      <c r="M1936">
        <v>37</v>
      </c>
      <c r="N1936">
        <v>0</v>
      </c>
      <c r="O1936">
        <v>0</v>
      </c>
      <c r="P1936">
        <v>0.32150000000000001</v>
      </c>
      <c r="Q1936">
        <v>0.22489999999999999</v>
      </c>
      <c r="R1936">
        <v>0</v>
      </c>
      <c r="S1936">
        <v>0</v>
      </c>
      <c r="T1936">
        <v>0</v>
      </c>
      <c r="U1936">
        <v>9</v>
      </c>
      <c r="V1936">
        <v>0</v>
      </c>
      <c r="W1936">
        <v>0.55555555555555558</v>
      </c>
      <c r="X1936">
        <v>1</v>
      </c>
      <c r="Y1936">
        <v>0.45910000000000001</v>
      </c>
      <c r="Z1936">
        <v>0.88888888888888884</v>
      </c>
    </row>
    <row r="1937" spans="1:26" x14ac:dyDescent="0.2">
      <c r="A1937" t="s">
        <v>166</v>
      </c>
      <c r="B1937">
        <v>2022</v>
      </c>
      <c r="C1937" t="str">
        <f t="shared" si="30"/>
        <v>TPC2022</v>
      </c>
      <c r="D1937">
        <v>3.6344140306955269E-14</v>
      </c>
      <c r="E1937">
        <v>4.4530494922553107E-2</v>
      </c>
      <c r="F1937">
        <v>0.7097759932114982</v>
      </c>
      <c r="G1937">
        <v>27.18717230424188</v>
      </c>
      <c r="H1937">
        <v>1.3005248482691261</v>
      </c>
      <c r="I1937">
        <v>0.47638052768635081</v>
      </c>
      <c r="J1937">
        <v>-0.14355690330182599</v>
      </c>
      <c r="K1937">
        <v>-2.1427597656455501E-2</v>
      </c>
      <c r="L1937">
        <v>0.22555537211137419</v>
      </c>
      <c r="M1937">
        <v>38</v>
      </c>
      <c r="N1937">
        <v>0</v>
      </c>
      <c r="O1937">
        <v>0</v>
      </c>
      <c r="P1937">
        <v>0.32150000000000001</v>
      </c>
      <c r="Q1937">
        <v>0.22489999999999999</v>
      </c>
      <c r="R1937">
        <v>0</v>
      </c>
      <c r="S1937">
        <v>0</v>
      </c>
      <c r="T1937">
        <v>0</v>
      </c>
      <c r="U1937">
        <v>9</v>
      </c>
      <c r="V1937">
        <v>0</v>
      </c>
      <c r="W1937">
        <v>0.55555555555555558</v>
      </c>
      <c r="X1937">
        <v>1</v>
      </c>
      <c r="Y1937">
        <v>0.46910000000000002</v>
      </c>
      <c r="Z1937">
        <v>0.88888888888888884</v>
      </c>
    </row>
    <row r="1938" spans="1:26" x14ac:dyDescent="0.2">
      <c r="A1938" t="s">
        <v>166</v>
      </c>
      <c r="B1938">
        <v>2023</v>
      </c>
      <c r="C1938" t="str">
        <f t="shared" si="30"/>
        <v>TPC2023</v>
      </c>
      <c r="D1938">
        <v>413666142800.25421</v>
      </c>
      <c r="E1938">
        <v>-0.1442742759483554</v>
      </c>
      <c r="F1938">
        <v>0.55082094490196776</v>
      </c>
      <c r="G1938">
        <v>26.858638509799999</v>
      </c>
      <c r="H1938">
        <v>1.457391706686527</v>
      </c>
      <c r="I1938">
        <v>0.26808620335379602</v>
      </c>
      <c r="J1938">
        <v>-0.28002140346014809</v>
      </c>
      <c r="K1938">
        <v>0.25340643642566341</v>
      </c>
      <c r="L1938">
        <v>0.39462055998376722</v>
      </c>
      <c r="M1938">
        <v>39</v>
      </c>
      <c r="N1938">
        <v>0</v>
      </c>
      <c r="O1938">
        <v>0</v>
      </c>
      <c r="P1938">
        <v>0.32150000000000001</v>
      </c>
      <c r="Q1938">
        <v>0.22489999999999999</v>
      </c>
      <c r="R1938">
        <v>0</v>
      </c>
      <c r="S1938">
        <v>0</v>
      </c>
      <c r="T1938">
        <v>0</v>
      </c>
      <c r="U1938">
        <v>9</v>
      </c>
      <c r="V1938">
        <v>0</v>
      </c>
      <c r="W1938">
        <v>0.55555555555555558</v>
      </c>
      <c r="X1938">
        <v>1</v>
      </c>
      <c r="Y1938">
        <v>0.46910000000000002</v>
      </c>
      <c r="Z1938">
        <v>0.88888888888888884</v>
      </c>
    </row>
    <row r="1939" spans="1:26" x14ac:dyDescent="0.2">
      <c r="A1939" t="s">
        <v>167</v>
      </c>
      <c r="B1939">
        <v>2012</v>
      </c>
      <c r="C1939" t="str">
        <f t="shared" si="30"/>
        <v>TPP2012</v>
      </c>
      <c r="D1939">
        <v>1.8572699835477809E-13</v>
      </c>
      <c r="E1939">
        <v>0.14538515800735929</v>
      </c>
      <c r="F1939">
        <v>0.94092416380888466</v>
      </c>
      <c r="G1939">
        <v>26.060557492614741</v>
      </c>
      <c r="H1939">
        <v>1.2618688536744871</v>
      </c>
      <c r="I1939">
        <v>0.72548646593857169</v>
      </c>
      <c r="J1939">
        <v>4.560068677936524E-2</v>
      </c>
      <c r="K1939">
        <v>0.14152799986815379</v>
      </c>
      <c r="L1939">
        <v>0.28502678291616029</v>
      </c>
      <c r="M1939">
        <v>7</v>
      </c>
      <c r="N1939">
        <v>0</v>
      </c>
      <c r="O1939">
        <v>0</v>
      </c>
      <c r="P1939">
        <v>0.35699999999999998</v>
      </c>
      <c r="Q1939">
        <v>0.18179999999999999</v>
      </c>
      <c r="R1939">
        <v>0</v>
      </c>
      <c r="S1939">
        <v>0</v>
      </c>
      <c r="T1939">
        <v>0.222</v>
      </c>
      <c r="U1939">
        <v>5</v>
      </c>
      <c r="V1939">
        <v>0</v>
      </c>
      <c r="W1939">
        <v>0.2</v>
      </c>
      <c r="X1939">
        <v>1</v>
      </c>
      <c r="Y1939">
        <v>0.47</v>
      </c>
      <c r="Z1939">
        <v>1</v>
      </c>
    </row>
    <row r="1940" spans="1:26" x14ac:dyDescent="0.2">
      <c r="A1940" t="s">
        <v>167</v>
      </c>
      <c r="B1940">
        <v>2013</v>
      </c>
      <c r="C1940" t="str">
        <f t="shared" si="30"/>
        <v>TPP2013</v>
      </c>
      <c r="D1940">
        <v>2.1369303513219409E-13</v>
      </c>
      <c r="E1940">
        <v>0.19434036603777161</v>
      </c>
      <c r="F1940">
        <v>0.9908308149422661</v>
      </c>
      <c r="G1940">
        <v>26.242511856539451</v>
      </c>
      <c r="H1940">
        <v>1.2338390675209081</v>
      </c>
      <c r="I1940">
        <v>0.71823085713106738</v>
      </c>
      <c r="J1940">
        <v>0.19955944944536139</v>
      </c>
      <c r="K1940">
        <v>2.1290615177765999E-2</v>
      </c>
      <c r="L1940">
        <v>0.30006996017278781</v>
      </c>
      <c r="M1940">
        <v>8</v>
      </c>
      <c r="N1940">
        <v>0</v>
      </c>
      <c r="O1940">
        <v>0</v>
      </c>
      <c r="P1940">
        <v>0.37680000000000002</v>
      </c>
      <c r="Q1940">
        <v>0.2248</v>
      </c>
      <c r="R1940">
        <v>0</v>
      </c>
      <c r="S1940">
        <v>0</v>
      </c>
      <c r="T1940">
        <v>0.19520000000000001</v>
      </c>
      <c r="U1940">
        <v>7</v>
      </c>
      <c r="V1940">
        <v>0</v>
      </c>
      <c r="W1940">
        <v>0.14285714285714279</v>
      </c>
      <c r="X1940">
        <v>1</v>
      </c>
      <c r="Y1940">
        <v>0.48</v>
      </c>
      <c r="Z1940">
        <v>1</v>
      </c>
    </row>
    <row r="1941" spans="1:26" x14ac:dyDescent="0.2">
      <c r="A1941" t="s">
        <v>167</v>
      </c>
      <c r="B1941">
        <v>2014</v>
      </c>
      <c r="C1941" t="str">
        <f t="shared" si="30"/>
        <v>TPP2014</v>
      </c>
      <c r="D1941">
        <v>1.1304020569404711E-13</v>
      </c>
      <c r="E1941">
        <v>0.15284743452925301</v>
      </c>
      <c r="F1941">
        <v>0.97204759367010907</v>
      </c>
      <c r="G1941">
        <v>26.481873980406199</v>
      </c>
      <c r="H1941">
        <v>1.1617560482218989</v>
      </c>
      <c r="I1941">
        <v>0.75905377747640368</v>
      </c>
      <c r="J1941">
        <v>0.27043850940073222</v>
      </c>
      <c r="K1941">
        <v>-0.100660211201241</v>
      </c>
      <c r="L1941">
        <v>0.25228458839020312</v>
      </c>
      <c r="M1941">
        <v>9</v>
      </c>
      <c r="N1941">
        <v>0</v>
      </c>
      <c r="O1941">
        <v>0</v>
      </c>
      <c r="P1941">
        <v>0.38729999999999998</v>
      </c>
      <c r="Q1941">
        <v>0.25419999999999998</v>
      </c>
      <c r="R1941">
        <v>0</v>
      </c>
      <c r="S1941">
        <v>0</v>
      </c>
      <c r="T1941">
        <v>0.19520000000000001</v>
      </c>
      <c r="U1941">
        <v>7</v>
      </c>
      <c r="V1941">
        <v>0</v>
      </c>
      <c r="W1941">
        <v>0.14285714285714279</v>
      </c>
      <c r="X1941">
        <v>1</v>
      </c>
      <c r="Y1941">
        <v>0.49</v>
      </c>
      <c r="Z1941">
        <v>1</v>
      </c>
    </row>
    <row r="1942" spans="1:26" x14ac:dyDescent="0.2">
      <c r="A1942" t="s">
        <v>167</v>
      </c>
      <c r="B1942">
        <v>2015</v>
      </c>
      <c r="C1942" t="str">
        <f t="shared" si="30"/>
        <v>TPP2015</v>
      </c>
      <c r="D1942">
        <v>1.882205860414689E-13</v>
      </c>
      <c r="E1942">
        <v>0.1915168154104494</v>
      </c>
      <c r="F1942">
        <v>1.0872353795559639</v>
      </c>
      <c r="G1942">
        <v>26.441496958573669</v>
      </c>
      <c r="H1942">
        <v>1.135749312570832</v>
      </c>
      <c r="I1942">
        <v>0.70087243746733963</v>
      </c>
      <c r="J1942">
        <v>-3.9572731165347992E-2</v>
      </c>
      <c r="K1942">
        <v>0.22976552365280739</v>
      </c>
      <c r="L1942">
        <v>0.30664029919345281</v>
      </c>
      <c r="M1942">
        <v>10</v>
      </c>
      <c r="N1942">
        <v>0</v>
      </c>
      <c r="O1942">
        <v>0</v>
      </c>
      <c r="P1942">
        <v>0.41189999999999999</v>
      </c>
      <c r="Q1942">
        <v>0.28360000000000002</v>
      </c>
      <c r="R1942">
        <v>0</v>
      </c>
      <c r="S1942">
        <v>0</v>
      </c>
      <c r="T1942">
        <v>0.16270000000000001</v>
      </c>
      <c r="U1942">
        <v>7</v>
      </c>
      <c r="V1942">
        <v>0</v>
      </c>
      <c r="W1942">
        <v>0.14285714285714279</v>
      </c>
      <c r="X1942">
        <v>1</v>
      </c>
      <c r="Y1942">
        <v>0.54249999999999998</v>
      </c>
      <c r="Z1942">
        <v>1</v>
      </c>
    </row>
    <row r="1943" spans="1:26" x14ac:dyDescent="0.2">
      <c r="A1943" t="s">
        <v>167</v>
      </c>
      <c r="B1943">
        <v>2016</v>
      </c>
      <c r="C1943" t="str">
        <f t="shared" si="30"/>
        <v>TPP2016</v>
      </c>
      <c r="D1943">
        <v>1.3810056987975909E-13</v>
      </c>
      <c r="E1943">
        <v>0.19077279103431261</v>
      </c>
      <c r="F1943">
        <v>1.339703477260211</v>
      </c>
      <c r="G1943">
        <v>26.65513582951365</v>
      </c>
      <c r="H1943">
        <v>1.2256741626167651</v>
      </c>
      <c r="I1943">
        <v>0.72719178603893719</v>
      </c>
      <c r="J1943">
        <v>0.23817543291566781</v>
      </c>
      <c r="K1943">
        <v>2.5103094528588939E-2</v>
      </c>
      <c r="L1943">
        <v>0.42573981880174733</v>
      </c>
      <c r="M1943">
        <v>11</v>
      </c>
      <c r="N1943">
        <v>0</v>
      </c>
      <c r="O1943">
        <v>0</v>
      </c>
      <c r="P1943">
        <v>0.71930000000000005</v>
      </c>
      <c r="Q1943">
        <v>7.0999999999999994E-2</v>
      </c>
      <c r="R1943">
        <v>0</v>
      </c>
      <c r="S1943">
        <v>0</v>
      </c>
      <c r="T1943">
        <v>0.71930000000000005</v>
      </c>
      <c r="U1943">
        <v>5</v>
      </c>
      <c r="V1943">
        <v>0</v>
      </c>
      <c r="W1943">
        <v>0</v>
      </c>
      <c r="X1943">
        <v>0</v>
      </c>
      <c r="Y1943">
        <v>0.39750000000000002</v>
      </c>
      <c r="Z1943">
        <v>1</v>
      </c>
    </row>
    <row r="1944" spans="1:26" x14ac:dyDescent="0.2">
      <c r="A1944" t="s">
        <v>167</v>
      </c>
      <c r="B1944">
        <v>2017</v>
      </c>
      <c r="C1944" t="str">
        <f t="shared" si="30"/>
        <v>TPP2017</v>
      </c>
      <c r="D1944">
        <v>9.6616384112895115E-15</v>
      </c>
      <c r="E1944">
        <v>2.512187658187174E-2</v>
      </c>
      <c r="F1944">
        <v>1.0932135948451669</v>
      </c>
      <c r="G1944">
        <v>26.986768898200751</v>
      </c>
      <c r="H1944">
        <v>1.0599402169974641</v>
      </c>
      <c r="I1944">
        <v>0.79806875677412248</v>
      </c>
      <c r="J1944">
        <v>0.39324153076494128</v>
      </c>
      <c r="K1944">
        <v>-1.2800804479655189E-3</v>
      </c>
      <c r="L1944">
        <v>0.51717002687080715</v>
      </c>
      <c r="M1944">
        <v>12</v>
      </c>
      <c r="N1944">
        <v>0</v>
      </c>
      <c r="O1944">
        <v>0</v>
      </c>
      <c r="P1944">
        <v>0.7824000000000001</v>
      </c>
      <c r="Q1944">
        <v>5.5899999999999998E-2</v>
      </c>
      <c r="R1944">
        <v>0</v>
      </c>
      <c r="S1944">
        <v>0</v>
      </c>
      <c r="T1944">
        <v>0.72650000000000003</v>
      </c>
      <c r="U1944">
        <v>4</v>
      </c>
      <c r="V1944">
        <v>0</v>
      </c>
      <c r="W1944">
        <v>0</v>
      </c>
      <c r="X1944">
        <v>0</v>
      </c>
      <c r="Y1944">
        <v>0.39</v>
      </c>
      <c r="Z1944">
        <v>1</v>
      </c>
    </row>
    <row r="1945" spans="1:26" x14ac:dyDescent="0.2">
      <c r="A1945" t="s">
        <v>167</v>
      </c>
      <c r="B1945">
        <v>2018</v>
      </c>
      <c r="C1945" t="str">
        <f t="shared" si="30"/>
        <v>TPP2018</v>
      </c>
      <c r="D1945">
        <v>6.9533375982302512E-15</v>
      </c>
      <c r="E1945">
        <v>2.485681882944828E-2</v>
      </c>
      <c r="F1945">
        <v>0.98672819040325388</v>
      </c>
      <c r="G1945">
        <v>27.32658929853687</v>
      </c>
      <c r="H1945">
        <v>0.74719624083333613</v>
      </c>
      <c r="I1945">
        <v>0.79368314433319287</v>
      </c>
      <c r="J1945">
        <v>0.40469528510623443</v>
      </c>
      <c r="K1945">
        <v>-4.5378279970001989E-2</v>
      </c>
      <c r="L1945">
        <v>0.39203634822507172</v>
      </c>
      <c r="M1945">
        <v>13</v>
      </c>
      <c r="N1945">
        <v>0</v>
      </c>
      <c r="O1945">
        <v>0</v>
      </c>
      <c r="P1945">
        <v>0.5101</v>
      </c>
      <c r="Q1945">
        <v>3.9300000000000002E-2</v>
      </c>
      <c r="R1945">
        <v>0</v>
      </c>
      <c r="S1945">
        <v>0</v>
      </c>
      <c r="T1945">
        <v>0.5101</v>
      </c>
      <c r="U1945">
        <v>5</v>
      </c>
      <c r="V1945">
        <v>0</v>
      </c>
      <c r="W1945">
        <v>0</v>
      </c>
      <c r="X1945">
        <v>0</v>
      </c>
      <c r="Y1945">
        <v>0.37859999999999999</v>
      </c>
      <c r="Z1945">
        <v>1</v>
      </c>
    </row>
    <row r="1946" spans="1:26" x14ac:dyDescent="0.2">
      <c r="A1946" t="s">
        <v>167</v>
      </c>
      <c r="B1946">
        <v>2019</v>
      </c>
      <c r="C1946" t="str">
        <f t="shared" si="30"/>
        <v>TPP2019</v>
      </c>
      <c r="D1946">
        <v>4.6106177319114372E-15</v>
      </c>
      <c r="E1946">
        <v>1.418491729324118E-2</v>
      </c>
      <c r="F1946">
        <v>0.99415949782605806</v>
      </c>
      <c r="G1946">
        <v>27.419052077914671</v>
      </c>
      <c r="H1946">
        <v>1.0099942562658279</v>
      </c>
      <c r="I1946">
        <v>0.73704869851397037</v>
      </c>
      <c r="J1946">
        <v>9.6872314530481507E-2</v>
      </c>
      <c r="K1946">
        <v>1.7060726431281821E-2</v>
      </c>
      <c r="L1946">
        <v>0.39804363302282808</v>
      </c>
      <c r="M1946">
        <v>14</v>
      </c>
      <c r="N1946">
        <v>0</v>
      </c>
      <c r="O1946">
        <v>1</v>
      </c>
      <c r="P1946">
        <v>0.5101</v>
      </c>
      <c r="Q1946">
        <v>2.7900000000000001E-2</v>
      </c>
      <c r="R1946">
        <v>0</v>
      </c>
      <c r="S1946">
        <v>0</v>
      </c>
      <c r="T1946">
        <v>0.5101</v>
      </c>
      <c r="U1946">
        <v>4</v>
      </c>
      <c r="V1946">
        <v>0</v>
      </c>
      <c r="W1946">
        <v>0.25</v>
      </c>
      <c r="X1946">
        <v>0</v>
      </c>
      <c r="Y1946">
        <v>0.3957</v>
      </c>
      <c r="Z1946">
        <v>1</v>
      </c>
    </row>
    <row r="1947" spans="1:26" x14ac:dyDescent="0.2">
      <c r="A1947" t="s">
        <v>167</v>
      </c>
      <c r="B1947">
        <v>2020</v>
      </c>
      <c r="C1947" t="str">
        <f t="shared" si="30"/>
        <v>TPP2020</v>
      </c>
      <c r="D1947">
        <v>1.118766078946308E-14</v>
      </c>
      <c r="E1947">
        <v>3.9055480908376211E-2</v>
      </c>
      <c r="F1947">
        <v>1.0143664632461249</v>
      </c>
      <c r="G1947">
        <v>27.50214856772973</v>
      </c>
      <c r="H1947">
        <v>1.0011667712139241</v>
      </c>
      <c r="I1947">
        <v>0.74818090218259703</v>
      </c>
      <c r="J1947">
        <v>8.6646653824570041E-2</v>
      </c>
      <c r="K1947">
        <v>3.5685809572491102E-2</v>
      </c>
      <c r="L1947">
        <v>0.35520280319058822</v>
      </c>
      <c r="M1947">
        <v>15</v>
      </c>
      <c r="N1947">
        <v>1</v>
      </c>
      <c r="O1947">
        <v>1</v>
      </c>
      <c r="P1947">
        <v>0.5101</v>
      </c>
      <c r="Q1947">
        <v>7.7600000000000002E-2</v>
      </c>
      <c r="R1947">
        <v>0</v>
      </c>
      <c r="S1947">
        <v>0</v>
      </c>
      <c r="T1947">
        <v>0.5101</v>
      </c>
      <c r="U1947">
        <v>5</v>
      </c>
      <c r="V1947">
        <v>0</v>
      </c>
      <c r="W1947">
        <v>0.2</v>
      </c>
      <c r="X1947">
        <v>0</v>
      </c>
      <c r="Y1947">
        <v>0.4143</v>
      </c>
      <c r="Z1947">
        <v>1</v>
      </c>
    </row>
    <row r="1948" spans="1:26" x14ac:dyDescent="0.2">
      <c r="A1948" t="s">
        <v>167</v>
      </c>
      <c r="B1948">
        <v>2021</v>
      </c>
      <c r="C1948" t="str">
        <f t="shared" si="30"/>
        <v>TPP2021</v>
      </c>
      <c r="D1948">
        <v>5.3228629160060124E-15</v>
      </c>
      <c r="E1948">
        <v>2.5006795058348762E-2</v>
      </c>
      <c r="F1948">
        <v>0.92165300354410495</v>
      </c>
      <c r="G1948">
        <v>27.849460548514831</v>
      </c>
      <c r="H1948">
        <v>1.0170215859412539</v>
      </c>
      <c r="I1948">
        <v>0.73517786233794702</v>
      </c>
      <c r="J1948">
        <v>0.41525818986382351</v>
      </c>
      <c r="K1948">
        <v>-7.8305101463693155E-2</v>
      </c>
      <c r="L1948">
        <v>0.25467890294716339</v>
      </c>
      <c r="M1948">
        <v>16</v>
      </c>
      <c r="N1948">
        <v>1</v>
      </c>
      <c r="O1948">
        <v>0</v>
      </c>
      <c r="P1948">
        <v>0.61619999999999997</v>
      </c>
      <c r="Q1948">
        <v>8.14E-2</v>
      </c>
      <c r="R1948">
        <v>0</v>
      </c>
      <c r="S1948">
        <v>0</v>
      </c>
      <c r="T1948">
        <v>0.5101</v>
      </c>
      <c r="U1948">
        <v>5</v>
      </c>
      <c r="V1948">
        <v>0</v>
      </c>
      <c r="W1948">
        <v>0.2</v>
      </c>
      <c r="X1948">
        <v>0</v>
      </c>
      <c r="Y1948">
        <v>0.42430000000000001</v>
      </c>
      <c r="Z1948">
        <v>1</v>
      </c>
    </row>
    <row r="1949" spans="1:26" x14ac:dyDescent="0.2">
      <c r="A1949" t="s">
        <v>167</v>
      </c>
      <c r="B1949">
        <v>2022</v>
      </c>
      <c r="C1949" t="str">
        <f t="shared" si="30"/>
        <v>TPP2022</v>
      </c>
      <c r="D1949">
        <v>3.9214536260917251E-15</v>
      </c>
      <c r="E1949">
        <v>2.9750070580312989E-2</v>
      </c>
      <c r="F1949">
        <v>0.99587882884254719</v>
      </c>
      <c r="G1949">
        <v>28.29157353205483</v>
      </c>
      <c r="H1949">
        <v>1.085821511611212</v>
      </c>
      <c r="I1949">
        <v>0.74482780322751918</v>
      </c>
      <c r="J1949">
        <v>0.55599153193462447</v>
      </c>
      <c r="K1949">
        <v>-5.4027860815553837E-2</v>
      </c>
      <c r="L1949">
        <v>0.25488584255233832</v>
      </c>
      <c r="M1949">
        <v>17</v>
      </c>
      <c r="N1949">
        <v>1</v>
      </c>
      <c r="O1949">
        <v>0</v>
      </c>
      <c r="P1949">
        <v>0.5101</v>
      </c>
      <c r="Q1949">
        <v>1.24E-2</v>
      </c>
      <c r="R1949">
        <v>0</v>
      </c>
      <c r="S1949">
        <v>0</v>
      </c>
      <c r="T1949">
        <v>0.5101</v>
      </c>
      <c r="U1949">
        <v>5</v>
      </c>
      <c r="V1949">
        <v>0</v>
      </c>
      <c r="W1949">
        <v>0.2</v>
      </c>
      <c r="X1949">
        <v>0</v>
      </c>
      <c r="Y1949">
        <v>0.41749999999999998</v>
      </c>
      <c r="Z1949">
        <v>1</v>
      </c>
    </row>
    <row r="1950" spans="1:26" x14ac:dyDescent="0.2">
      <c r="A1950" t="s">
        <v>167</v>
      </c>
      <c r="B1950">
        <v>2023</v>
      </c>
      <c r="C1950" t="str">
        <f t="shared" si="30"/>
        <v>TPP2023</v>
      </c>
      <c r="D1950">
        <v>99781544368.749344</v>
      </c>
      <c r="E1950">
        <v>2.413198299897891E-2</v>
      </c>
      <c r="F1950">
        <v>0.78740379862650445</v>
      </c>
      <c r="G1950">
        <v>28.308540568508</v>
      </c>
      <c r="H1950">
        <v>1.0639264696643791</v>
      </c>
      <c r="I1950">
        <v>0.57942888794265579</v>
      </c>
      <c r="J1950">
        <v>1.711179416038866E-2</v>
      </c>
      <c r="K1950">
        <v>-3.4355413061364942E-2</v>
      </c>
      <c r="L1950">
        <v>0.23409169106358549</v>
      </c>
      <c r="M1950">
        <v>18</v>
      </c>
      <c r="N1950">
        <v>0</v>
      </c>
      <c r="O1950">
        <v>0</v>
      </c>
      <c r="P1950">
        <v>0.5101</v>
      </c>
      <c r="Q1950">
        <v>1.24E-2</v>
      </c>
      <c r="R1950">
        <v>0</v>
      </c>
      <c r="S1950">
        <v>0</v>
      </c>
      <c r="T1950">
        <v>0.5101</v>
      </c>
      <c r="U1950">
        <v>5</v>
      </c>
      <c r="V1950">
        <v>0</v>
      </c>
      <c r="W1950">
        <v>0.2</v>
      </c>
      <c r="X1950">
        <v>0</v>
      </c>
      <c r="Y1950">
        <v>0.41749999999999998</v>
      </c>
      <c r="Z1950">
        <v>1</v>
      </c>
    </row>
    <row r="1951" spans="1:26" x14ac:dyDescent="0.2">
      <c r="A1951" t="s">
        <v>168</v>
      </c>
      <c r="B1951">
        <v>2012</v>
      </c>
      <c r="C1951" t="str">
        <f t="shared" si="30"/>
        <v>TRA2012</v>
      </c>
      <c r="D1951">
        <v>1.366269782850914E-13</v>
      </c>
      <c r="E1951">
        <v>0.2839131035431634</v>
      </c>
      <c r="F1951">
        <v>1.579445732266493</v>
      </c>
      <c r="G1951">
        <v>27.598997556609081</v>
      </c>
      <c r="H1951">
        <v>1.5741731975085049</v>
      </c>
      <c r="I1951">
        <v>0.47122672457991049</v>
      </c>
      <c r="J1951">
        <v>0.15509723387377969</v>
      </c>
      <c r="K1951">
        <v>0.11347289680163899</v>
      </c>
      <c r="L1951">
        <v>0.1966400116666624</v>
      </c>
      <c r="M1951">
        <v>18</v>
      </c>
      <c r="N1951">
        <v>1</v>
      </c>
      <c r="O1951">
        <v>0</v>
      </c>
      <c r="P1951">
        <v>0.70289999999999997</v>
      </c>
      <c r="Q1951">
        <v>5.8400000000000001E-2</v>
      </c>
      <c r="R1951">
        <v>0.34629999999999989</v>
      </c>
      <c r="S1951">
        <v>0.35659999999999997</v>
      </c>
      <c r="T1951">
        <v>0.70289999999999997</v>
      </c>
      <c r="U1951">
        <v>5</v>
      </c>
      <c r="V1951">
        <v>0</v>
      </c>
      <c r="W1951">
        <v>0.4</v>
      </c>
      <c r="X1951">
        <v>1</v>
      </c>
      <c r="Y1951">
        <v>0.40550000000000003</v>
      </c>
      <c r="Z1951">
        <v>1</v>
      </c>
    </row>
    <row r="1952" spans="1:26" x14ac:dyDescent="0.2">
      <c r="A1952" t="s">
        <v>168</v>
      </c>
      <c r="B1952">
        <v>2013</v>
      </c>
      <c r="C1952" t="str">
        <f t="shared" si="30"/>
        <v>TRA2013</v>
      </c>
      <c r="D1952">
        <v>1.4469579258977809E-13</v>
      </c>
      <c r="E1952">
        <v>0.25028373207282872</v>
      </c>
      <c r="F1952">
        <v>2.2245132513097778</v>
      </c>
      <c r="G1952">
        <v>27.71509997008749</v>
      </c>
      <c r="H1952">
        <v>1.577538924324112</v>
      </c>
      <c r="I1952">
        <v>0.30774783086374852</v>
      </c>
      <c r="J1952">
        <v>0.1231108879362422</v>
      </c>
      <c r="K1952">
        <v>0.2140508456712428</v>
      </c>
      <c r="L1952">
        <v>0.21771919844439311</v>
      </c>
      <c r="M1952">
        <v>19</v>
      </c>
      <c r="N1952">
        <v>1</v>
      </c>
      <c r="O1952">
        <v>0</v>
      </c>
      <c r="P1952">
        <v>0.69579999999999997</v>
      </c>
      <c r="Q1952">
        <v>3.2400000000000012E-2</v>
      </c>
      <c r="R1952">
        <v>0.33910000000000001</v>
      </c>
      <c r="S1952">
        <v>0.35670000000000002</v>
      </c>
      <c r="T1952">
        <v>0.69579999999999997</v>
      </c>
      <c r="U1952">
        <v>5</v>
      </c>
      <c r="V1952">
        <v>0</v>
      </c>
      <c r="W1952">
        <v>0.4</v>
      </c>
      <c r="X1952">
        <v>1</v>
      </c>
      <c r="Y1952">
        <v>0.43</v>
      </c>
      <c r="Z1952">
        <v>1</v>
      </c>
    </row>
    <row r="1953" spans="1:26" x14ac:dyDescent="0.2">
      <c r="A1953" t="s">
        <v>168</v>
      </c>
      <c r="B1953">
        <v>2014</v>
      </c>
      <c r="C1953" t="str">
        <f t="shared" si="30"/>
        <v>TRA2014</v>
      </c>
      <c r="D1953">
        <v>1.2747567755754749E-13</v>
      </c>
      <c r="E1953">
        <v>0.20715765323767299</v>
      </c>
      <c r="F1953">
        <v>1.821862053429085</v>
      </c>
      <c r="G1953">
        <v>27.755050762529979</v>
      </c>
      <c r="H1953">
        <v>2.3196565315670892</v>
      </c>
      <c r="I1953">
        <v>0.2308088280013065</v>
      </c>
      <c r="J1953">
        <v>4.0759559696445617E-2</v>
      </c>
      <c r="K1953">
        <v>0.16780984292073281</v>
      </c>
      <c r="L1953">
        <v>0.21721791891361281</v>
      </c>
      <c r="M1953">
        <v>20</v>
      </c>
      <c r="N1953">
        <v>1</v>
      </c>
      <c r="O1953">
        <v>0</v>
      </c>
      <c r="P1953">
        <v>0.71090000000000009</v>
      </c>
      <c r="Q1953">
        <v>5.8400000000000001E-2</v>
      </c>
      <c r="R1953">
        <v>0.35420000000000001</v>
      </c>
      <c r="S1953">
        <v>0.35670000000000002</v>
      </c>
      <c r="T1953">
        <v>0.71090000000000009</v>
      </c>
      <c r="U1953">
        <v>7</v>
      </c>
      <c r="V1953">
        <v>0</v>
      </c>
      <c r="W1953">
        <v>0.2857142857142857</v>
      </c>
      <c r="X1953">
        <v>1</v>
      </c>
      <c r="Y1953">
        <v>0.43669999999999998</v>
      </c>
      <c r="Z1953">
        <v>1</v>
      </c>
    </row>
    <row r="1954" spans="1:26" x14ac:dyDescent="0.2">
      <c r="A1954" t="s">
        <v>168</v>
      </c>
      <c r="B1954">
        <v>2015</v>
      </c>
      <c r="C1954" t="str">
        <f t="shared" si="30"/>
        <v>TRA2015</v>
      </c>
      <c r="D1954">
        <v>1.211604390859078E-13</v>
      </c>
      <c r="E1954">
        <v>0.21064917942219299</v>
      </c>
      <c r="F1954">
        <v>1.9384566776127501</v>
      </c>
      <c r="G1954">
        <v>27.890707500483241</v>
      </c>
      <c r="H1954">
        <v>3.0746847552930352</v>
      </c>
      <c r="I1954">
        <v>0.2542703159294481</v>
      </c>
      <c r="J1954">
        <v>0.14528869197261621</v>
      </c>
      <c r="K1954">
        <v>0.15375611906647779</v>
      </c>
      <c r="L1954">
        <v>0.1953531377217122</v>
      </c>
      <c r="M1954">
        <v>21</v>
      </c>
      <c r="N1954">
        <v>1</v>
      </c>
      <c r="O1954">
        <v>0</v>
      </c>
      <c r="P1954">
        <v>0.71090000000000009</v>
      </c>
      <c r="Q1954">
        <v>6.3700000000000007E-2</v>
      </c>
      <c r="R1954">
        <v>0.35420000000000001</v>
      </c>
      <c r="S1954">
        <v>0.35670000000000002</v>
      </c>
      <c r="T1954">
        <v>0.71090000000000009</v>
      </c>
      <c r="U1954">
        <v>7</v>
      </c>
      <c r="V1954">
        <v>0</v>
      </c>
      <c r="W1954">
        <v>0.42857142857142849</v>
      </c>
      <c r="X1954">
        <v>1</v>
      </c>
      <c r="Y1954">
        <v>0.43669999999999998</v>
      </c>
      <c r="Z1954">
        <v>1</v>
      </c>
    </row>
    <row r="1955" spans="1:26" x14ac:dyDescent="0.2">
      <c r="A1955" t="s">
        <v>168</v>
      </c>
      <c r="B1955">
        <v>2016</v>
      </c>
      <c r="C1955" t="str">
        <f t="shared" si="30"/>
        <v>TRA2016</v>
      </c>
      <c r="D1955">
        <v>1.2028490677605201E-13</v>
      </c>
      <c r="E1955">
        <v>0.22490574129077001</v>
      </c>
      <c r="F1955">
        <v>3.1220806828021699</v>
      </c>
      <c r="G1955">
        <v>27.951257926720711</v>
      </c>
      <c r="H1955">
        <v>2.9334372245096909</v>
      </c>
      <c r="I1955">
        <v>0.26330508236259592</v>
      </c>
      <c r="J1955">
        <v>6.2421170121792713E-2</v>
      </c>
      <c r="K1955">
        <v>0.13843308343978339</v>
      </c>
      <c r="L1955">
        <v>0.34166264877116431</v>
      </c>
      <c r="M1955">
        <v>22</v>
      </c>
      <c r="N1955">
        <v>1</v>
      </c>
      <c r="O1955">
        <v>0</v>
      </c>
      <c r="P1955">
        <v>0.71090000000000009</v>
      </c>
      <c r="Q1955">
        <v>5.8899999999999987E-2</v>
      </c>
      <c r="R1955">
        <v>0.35420000000000001</v>
      </c>
      <c r="S1955">
        <v>0.35670000000000002</v>
      </c>
      <c r="T1955">
        <v>0.71090000000000009</v>
      </c>
      <c r="U1955">
        <v>7</v>
      </c>
      <c r="V1955">
        <v>0</v>
      </c>
      <c r="W1955">
        <v>0.14285714285714279</v>
      </c>
      <c r="X1955">
        <v>1</v>
      </c>
      <c r="Y1955">
        <v>0.44359999999999999</v>
      </c>
      <c r="Z1955">
        <v>1</v>
      </c>
    </row>
    <row r="1956" spans="1:26" x14ac:dyDescent="0.2">
      <c r="A1956" t="s">
        <v>168</v>
      </c>
      <c r="B1956">
        <v>2017</v>
      </c>
      <c r="C1956" t="str">
        <f t="shared" si="30"/>
        <v>TRA2017</v>
      </c>
      <c r="D1956">
        <v>1.1425824897154839E-13</v>
      </c>
      <c r="E1956">
        <v>0.2327549451807121</v>
      </c>
      <c r="F1956">
        <v>3.4712596657488519</v>
      </c>
      <c r="G1956">
        <v>28.04293330805838</v>
      </c>
      <c r="H1956">
        <v>2.372327507919668</v>
      </c>
      <c r="I1956">
        <v>0.25889483621470688</v>
      </c>
      <c r="J1956">
        <v>9.6008979358572777E-2</v>
      </c>
      <c r="K1956">
        <v>0.12331472820341489</v>
      </c>
      <c r="L1956">
        <v>0.44130371368344928</v>
      </c>
      <c r="M1956">
        <v>23</v>
      </c>
      <c r="N1956">
        <v>1</v>
      </c>
      <c r="O1956">
        <v>0</v>
      </c>
      <c r="P1956">
        <v>0.75780000000000003</v>
      </c>
      <c r="Q1956">
        <v>4.2299999999999997E-2</v>
      </c>
      <c r="R1956">
        <v>0.40110000000000001</v>
      </c>
      <c r="S1956">
        <v>0.35670000000000002</v>
      </c>
      <c r="T1956">
        <v>0.75780000000000003</v>
      </c>
      <c r="U1956">
        <v>7</v>
      </c>
      <c r="V1956">
        <v>0</v>
      </c>
      <c r="W1956">
        <v>0.14285714285714279</v>
      </c>
      <c r="X1956">
        <v>1</v>
      </c>
      <c r="Y1956">
        <v>0.45290000000000002</v>
      </c>
      <c r="Z1956">
        <v>1</v>
      </c>
    </row>
    <row r="1957" spans="1:26" x14ac:dyDescent="0.2">
      <c r="A1957" t="s">
        <v>168</v>
      </c>
      <c r="B1957">
        <v>2018</v>
      </c>
      <c r="C1957" t="str">
        <f t="shared" si="30"/>
        <v>TRA2018</v>
      </c>
      <c r="D1957">
        <v>6.9144349729449558E-14</v>
      </c>
      <c r="E1957">
        <v>0.15784978528536039</v>
      </c>
      <c r="F1957">
        <v>2.1286034426177811</v>
      </c>
      <c r="G1957">
        <v>28.094668359974079</v>
      </c>
      <c r="H1957">
        <v>1.9588987922685639</v>
      </c>
      <c r="I1957">
        <v>0.3035785472069697</v>
      </c>
      <c r="J1957">
        <v>5.3096689597231572E-2</v>
      </c>
      <c r="K1957">
        <v>0.1069072524886945</v>
      </c>
      <c r="L1957">
        <v>0.38957078350378199</v>
      </c>
      <c r="M1957">
        <v>24</v>
      </c>
      <c r="N1957">
        <v>1</v>
      </c>
      <c r="O1957">
        <v>0</v>
      </c>
      <c r="P1957">
        <v>0.75780000000000003</v>
      </c>
      <c r="Q1957">
        <v>5.4600000000000003E-2</v>
      </c>
      <c r="R1957">
        <v>0.40110000000000001</v>
      </c>
      <c r="S1957">
        <v>0.35670000000000002</v>
      </c>
      <c r="T1957">
        <v>0.75780000000000003</v>
      </c>
      <c r="U1957">
        <v>7</v>
      </c>
      <c r="V1957">
        <v>0</v>
      </c>
      <c r="W1957">
        <v>0.14285714285714279</v>
      </c>
      <c r="X1957">
        <v>1</v>
      </c>
      <c r="Y1957">
        <v>0.45290000000000002</v>
      </c>
      <c r="Z1957">
        <v>1</v>
      </c>
    </row>
    <row r="1958" spans="1:26" x14ac:dyDescent="0.2">
      <c r="A1958" t="s">
        <v>168</v>
      </c>
      <c r="B1958">
        <v>2019</v>
      </c>
      <c r="C1958" t="str">
        <f t="shared" si="30"/>
        <v>TRA2019</v>
      </c>
      <c r="D1958">
        <v>6.9075468762287781E-14</v>
      </c>
      <c r="E1958">
        <v>0.15258290336298211</v>
      </c>
      <c r="F1958">
        <v>1.8843253647767779</v>
      </c>
      <c r="G1958">
        <v>28.08305932159146</v>
      </c>
      <c r="H1958">
        <v>2.7528410575393112</v>
      </c>
      <c r="I1958">
        <v>0.2885642830868474</v>
      </c>
      <c r="J1958">
        <v>-1.1541913499407469E-2</v>
      </c>
      <c r="K1958">
        <v>0.14097164492746739</v>
      </c>
      <c r="L1958">
        <v>0.37000363209602172</v>
      </c>
      <c r="M1958">
        <v>25</v>
      </c>
      <c r="N1958">
        <v>1</v>
      </c>
      <c r="O1958">
        <v>1</v>
      </c>
      <c r="P1958">
        <v>0.75789999999999991</v>
      </c>
      <c r="Q1958">
        <v>4.2099999999999999E-2</v>
      </c>
      <c r="R1958">
        <v>0.4012</v>
      </c>
      <c r="S1958">
        <v>0.35670000000000002</v>
      </c>
      <c r="T1958">
        <v>0.75789999999999991</v>
      </c>
      <c r="U1958">
        <v>7</v>
      </c>
      <c r="V1958">
        <v>0</v>
      </c>
      <c r="W1958">
        <v>0.14285714285714279</v>
      </c>
      <c r="X1958">
        <v>1</v>
      </c>
      <c r="Y1958">
        <v>0.46789999999999998</v>
      </c>
      <c r="Z1958">
        <v>1</v>
      </c>
    </row>
    <row r="1959" spans="1:26" x14ac:dyDescent="0.2">
      <c r="A1959" t="s">
        <v>168</v>
      </c>
      <c r="B1959">
        <v>2020</v>
      </c>
      <c r="C1959" t="str">
        <f t="shared" si="30"/>
        <v>TRA2020</v>
      </c>
      <c r="D1959">
        <v>7.9533824736051195E-14</v>
      </c>
      <c r="E1959">
        <v>0.18486734147599609</v>
      </c>
      <c r="F1959">
        <v>2.087582729733656</v>
      </c>
      <c r="G1959">
        <v>28.132296636844249</v>
      </c>
      <c r="H1959">
        <v>2.5852807423866109</v>
      </c>
      <c r="I1959">
        <v>0.28978005433143611</v>
      </c>
      <c r="J1959">
        <v>5.0469613623818299E-2</v>
      </c>
      <c r="K1959">
        <v>0.2125411477616552</v>
      </c>
      <c r="L1959">
        <v>0.32835399502195389</v>
      </c>
      <c r="M1959">
        <v>26</v>
      </c>
      <c r="N1959">
        <v>1</v>
      </c>
      <c r="O1959">
        <v>1</v>
      </c>
      <c r="P1959">
        <v>0.75789999999999991</v>
      </c>
      <c r="Q1959">
        <v>6.5500000000000003E-2</v>
      </c>
      <c r="R1959">
        <v>0.4012</v>
      </c>
      <c r="S1959">
        <v>0.35670000000000002</v>
      </c>
      <c r="T1959">
        <v>0.75789999999999991</v>
      </c>
      <c r="U1959">
        <v>7</v>
      </c>
      <c r="V1959">
        <v>0</v>
      </c>
      <c r="W1959">
        <v>0.14285714285714279</v>
      </c>
      <c r="X1959">
        <v>1</v>
      </c>
      <c r="Y1959">
        <v>0.46789999999999998</v>
      </c>
      <c r="Z1959">
        <v>1</v>
      </c>
    </row>
    <row r="1960" spans="1:26" x14ac:dyDescent="0.2">
      <c r="A1960" t="s">
        <v>168</v>
      </c>
      <c r="B1960">
        <v>2021</v>
      </c>
      <c r="C1960" t="str">
        <f t="shared" si="30"/>
        <v>TRA2021</v>
      </c>
      <c r="D1960">
        <v>9.0751721313462E-14</v>
      </c>
      <c r="E1960">
        <v>0.20864814498172801</v>
      </c>
      <c r="F1960">
        <v>2.471951353663556</v>
      </c>
      <c r="G1960">
        <v>28.165815363552792</v>
      </c>
      <c r="H1960">
        <v>2.328542108441173</v>
      </c>
      <c r="I1960">
        <v>0.25749645075831951</v>
      </c>
      <c r="J1960">
        <v>3.4086808587230122E-2</v>
      </c>
      <c r="K1960">
        <v>0.17635046020939521</v>
      </c>
      <c r="L1960">
        <v>0.28855444583371992</v>
      </c>
      <c r="M1960">
        <v>27</v>
      </c>
      <c r="N1960">
        <v>1</v>
      </c>
      <c r="O1960">
        <v>0</v>
      </c>
      <c r="P1960">
        <v>0.75789999999999991</v>
      </c>
      <c r="Q1960">
        <v>5.4000000000000013E-2</v>
      </c>
      <c r="R1960">
        <v>0.4012</v>
      </c>
      <c r="S1960">
        <v>0.35670000000000002</v>
      </c>
      <c r="T1960">
        <v>0.75789999999999991</v>
      </c>
      <c r="U1960">
        <v>7</v>
      </c>
      <c r="V1960">
        <v>0</v>
      </c>
      <c r="W1960">
        <v>0.14285714285714279</v>
      </c>
      <c r="X1960">
        <v>1</v>
      </c>
      <c r="Y1960">
        <v>0.46079999999999999</v>
      </c>
      <c r="Z1960">
        <v>1</v>
      </c>
    </row>
    <row r="1961" spans="1:26" x14ac:dyDescent="0.2">
      <c r="A1961" t="s">
        <v>168</v>
      </c>
      <c r="B1961">
        <v>2022</v>
      </c>
      <c r="C1961" t="str">
        <f t="shared" si="30"/>
        <v>TRA2022</v>
      </c>
      <c r="D1961">
        <v>8.8975936184756856E-14</v>
      </c>
      <c r="E1961">
        <v>0.21260626781434699</v>
      </c>
      <c r="F1961">
        <v>2.2710365030012292</v>
      </c>
      <c r="G1961">
        <v>28.22780332557452</v>
      </c>
      <c r="H1961">
        <v>2.4887349231226268</v>
      </c>
      <c r="I1961">
        <v>0.2398912655753444</v>
      </c>
      <c r="J1961">
        <v>6.3949536849530864E-2</v>
      </c>
      <c r="K1961">
        <v>0.14380155082300849</v>
      </c>
      <c r="L1961">
        <v>0.25594846304347679</v>
      </c>
      <c r="M1961">
        <v>28</v>
      </c>
      <c r="N1961">
        <v>1</v>
      </c>
      <c r="O1961">
        <v>0</v>
      </c>
      <c r="P1961">
        <v>0.75789999999999991</v>
      </c>
      <c r="Q1961">
        <v>5.4000000000000013E-2</v>
      </c>
      <c r="R1961">
        <v>0.4012</v>
      </c>
      <c r="S1961">
        <v>0.35670000000000002</v>
      </c>
      <c r="T1961">
        <v>0.75789999999999991</v>
      </c>
      <c r="U1961">
        <v>7</v>
      </c>
      <c r="V1961">
        <v>0</v>
      </c>
      <c r="W1961">
        <v>0.14285714285714279</v>
      </c>
      <c r="X1961">
        <v>1</v>
      </c>
      <c r="Y1961">
        <v>0.45639999999999997</v>
      </c>
      <c r="Z1961">
        <v>1</v>
      </c>
    </row>
    <row r="1962" spans="1:26" x14ac:dyDescent="0.2">
      <c r="A1962" t="s">
        <v>168</v>
      </c>
      <c r="B1962">
        <v>2023</v>
      </c>
      <c r="C1962" t="str">
        <f t="shared" si="30"/>
        <v>TRA2023</v>
      </c>
      <c r="D1962">
        <v>4294615362117.8018</v>
      </c>
      <c r="E1962">
        <v>0.14584800957787569</v>
      </c>
      <c r="F1962">
        <v>1.7337762885996519</v>
      </c>
      <c r="G1962">
        <v>28.384275440534751</v>
      </c>
      <c r="H1962">
        <v>2.8149677176789849</v>
      </c>
      <c r="I1962">
        <v>7.9084563828811252E-2</v>
      </c>
      <c r="J1962">
        <v>0.16937815370808471</v>
      </c>
      <c r="K1962">
        <v>0.14617186495257259</v>
      </c>
      <c r="L1962">
        <v>0.2179510937784</v>
      </c>
      <c r="M1962">
        <v>29</v>
      </c>
      <c r="N1962">
        <v>0</v>
      </c>
      <c r="O1962">
        <v>0</v>
      </c>
      <c r="P1962">
        <v>0.75789999999999991</v>
      </c>
      <c r="Q1962">
        <v>5.4000000000000013E-2</v>
      </c>
      <c r="R1962">
        <v>0.4012</v>
      </c>
      <c r="S1962">
        <v>0.35670000000000002</v>
      </c>
      <c r="T1962">
        <v>0.75789999999999991</v>
      </c>
      <c r="U1962">
        <v>7</v>
      </c>
      <c r="V1962">
        <v>0</v>
      </c>
      <c r="W1962">
        <v>0.14285714285714279</v>
      </c>
      <c r="X1962">
        <v>1</v>
      </c>
      <c r="Y1962">
        <v>0.45639999999999997</v>
      </c>
      <c r="Z1962">
        <v>1</v>
      </c>
    </row>
    <row r="1963" spans="1:26" x14ac:dyDescent="0.2">
      <c r="A1963" t="s">
        <v>169</v>
      </c>
      <c r="B1963">
        <v>2012</v>
      </c>
      <c r="C1963" t="str">
        <f t="shared" si="30"/>
        <v>TRC2012</v>
      </c>
      <c r="D1963">
        <v>1.5798676683542069E-13</v>
      </c>
      <c r="E1963">
        <v>0.26608258409781221</v>
      </c>
      <c r="F1963">
        <v>0.9461801667711579</v>
      </c>
      <c r="G1963">
        <v>28.02629532120784</v>
      </c>
      <c r="H1963">
        <v>2.735276086906318</v>
      </c>
      <c r="I1963">
        <v>0.11840388428057549</v>
      </c>
      <c r="J1963">
        <v>9.1981455734277962E-3</v>
      </c>
      <c r="K1963">
        <v>-3.6189478671876982E-2</v>
      </c>
      <c r="L1963">
        <v>0.23628562015669269</v>
      </c>
      <c r="M1963">
        <v>19</v>
      </c>
      <c r="N1963">
        <v>0</v>
      </c>
      <c r="O1963">
        <v>0</v>
      </c>
      <c r="P1963">
        <v>0.67310000000000003</v>
      </c>
      <c r="Q1963">
        <v>1.1999999999999999E-3</v>
      </c>
      <c r="R1963">
        <v>5.5100000000000003E-2</v>
      </c>
      <c r="S1963">
        <v>0.61799999999999999</v>
      </c>
      <c r="T1963">
        <v>0.67310000000000003</v>
      </c>
      <c r="U1963">
        <v>5</v>
      </c>
      <c r="V1963">
        <v>0</v>
      </c>
      <c r="W1963">
        <v>0</v>
      </c>
      <c r="X1963">
        <v>0</v>
      </c>
      <c r="Y1963">
        <v>0.498</v>
      </c>
      <c r="Z1963">
        <v>1</v>
      </c>
    </row>
    <row r="1964" spans="1:26" x14ac:dyDescent="0.2">
      <c r="A1964" t="s">
        <v>169</v>
      </c>
      <c r="B1964">
        <v>2013</v>
      </c>
      <c r="C1964" t="str">
        <f t="shared" si="30"/>
        <v>TRC2013</v>
      </c>
      <c r="D1964">
        <v>6.1459612737896242E-14</v>
      </c>
      <c r="E1964">
        <v>0.16369991988438959</v>
      </c>
      <c r="F1964">
        <v>0.90635916903192359</v>
      </c>
      <c r="G1964">
        <v>28.29063795867614</v>
      </c>
      <c r="H1964">
        <v>5.6191151782854174</v>
      </c>
      <c r="I1964">
        <v>0.27387848097346862</v>
      </c>
      <c r="J1964">
        <v>0.30257443065341971</v>
      </c>
      <c r="K1964">
        <v>-1.493798293050049E-2</v>
      </c>
      <c r="L1964">
        <v>0.31452450685001121</v>
      </c>
      <c r="M1964">
        <v>20</v>
      </c>
      <c r="N1964">
        <v>0</v>
      </c>
      <c r="O1964">
        <v>0</v>
      </c>
      <c r="P1964">
        <v>0.61799999999999999</v>
      </c>
      <c r="Q1964">
        <v>1.5E-3</v>
      </c>
      <c r="R1964">
        <v>0</v>
      </c>
      <c r="S1964">
        <v>0.61799999999999999</v>
      </c>
      <c r="T1964">
        <v>0.61799999999999999</v>
      </c>
      <c r="U1964">
        <v>5</v>
      </c>
      <c r="V1964">
        <v>0</v>
      </c>
      <c r="W1964">
        <v>0</v>
      </c>
      <c r="X1964">
        <v>0</v>
      </c>
      <c r="Y1964">
        <v>0.49199999999999999</v>
      </c>
      <c r="Z1964">
        <v>1</v>
      </c>
    </row>
    <row r="1965" spans="1:26" x14ac:dyDescent="0.2">
      <c r="A1965" t="s">
        <v>169</v>
      </c>
      <c r="B1965">
        <v>2014</v>
      </c>
      <c r="C1965" t="str">
        <f t="shared" si="30"/>
        <v>TRC2014</v>
      </c>
      <c r="D1965">
        <v>5.5367639218918441E-14</v>
      </c>
      <c r="E1965">
        <v>9.6404410824931286E-2</v>
      </c>
      <c r="F1965">
        <v>0.60951627810845688</v>
      </c>
      <c r="G1965">
        <v>28.093027498409601</v>
      </c>
      <c r="H1965">
        <v>2.1543944273320239</v>
      </c>
      <c r="I1965">
        <v>8.8396625672426579E-2</v>
      </c>
      <c r="J1965">
        <v>-0.17931051795820349</v>
      </c>
      <c r="K1965">
        <v>-5.634844523209008E-2</v>
      </c>
      <c r="L1965">
        <v>0.5417416968559402</v>
      </c>
      <c r="M1965">
        <v>21</v>
      </c>
      <c r="N1965">
        <v>0</v>
      </c>
      <c r="O1965">
        <v>0</v>
      </c>
      <c r="P1965">
        <v>0.61799999999999999</v>
      </c>
      <c r="Q1965">
        <v>1.6000000000000001E-3</v>
      </c>
      <c r="R1965">
        <v>0</v>
      </c>
      <c r="S1965">
        <v>0.61799999999999999</v>
      </c>
      <c r="T1965">
        <v>0.61799999999999999</v>
      </c>
      <c r="U1965">
        <v>5</v>
      </c>
      <c r="V1965">
        <v>0</v>
      </c>
      <c r="W1965">
        <v>0</v>
      </c>
      <c r="X1965">
        <v>0</v>
      </c>
      <c r="Y1965">
        <v>0.502</v>
      </c>
      <c r="Z1965">
        <v>1</v>
      </c>
    </row>
    <row r="1966" spans="1:26" x14ac:dyDescent="0.2">
      <c r="A1966" t="s">
        <v>169</v>
      </c>
      <c r="B1966">
        <v>2015</v>
      </c>
      <c r="C1966" t="str">
        <f t="shared" si="30"/>
        <v>TRC2015</v>
      </c>
      <c r="D1966">
        <v>2.016170294353733E-14</v>
      </c>
      <c r="E1966">
        <v>3.8823579108893551E-2</v>
      </c>
      <c r="F1966">
        <v>0.50434908640604803</v>
      </c>
      <c r="G1966">
        <v>28.130868133893589</v>
      </c>
      <c r="H1966">
        <v>5.2295914527640912</v>
      </c>
      <c r="I1966">
        <v>0.14392376055538031</v>
      </c>
      <c r="J1966">
        <v>3.8565709167956992E-2</v>
      </c>
      <c r="K1966">
        <v>4.068704793167801E-2</v>
      </c>
      <c r="L1966">
        <v>0.6660653915351582</v>
      </c>
      <c r="M1966">
        <v>22</v>
      </c>
      <c r="N1966">
        <v>0</v>
      </c>
      <c r="O1966">
        <v>0</v>
      </c>
      <c r="P1966">
        <v>0.61799999999999999</v>
      </c>
      <c r="Q1966">
        <v>1.6000000000000001E-3</v>
      </c>
      <c r="R1966">
        <v>0</v>
      </c>
      <c r="S1966">
        <v>0.61799999999999999</v>
      </c>
      <c r="T1966">
        <v>0.61799999999999999</v>
      </c>
      <c r="U1966">
        <v>5</v>
      </c>
      <c r="V1966">
        <v>0</v>
      </c>
      <c r="W1966">
        <v>0</v>
      </c>
      <c r="X1966">
        <v>0</v>
      </c>
      <c r="Y1966">
        <v>0.51200000000000001</v>
      </c>
      <c r="Z1966">
        <v>1</v>
      </c>
    </row>
    <row r="1967" spans="1:26" x14ac:dyDescent="0.2">
      <c r="A1967" t="s">
        <v>169</v>
      </c>
      <c r="B1967">
        <v>2016</v>
      </c>
      <c r="C1967" t="str">
        <f t="shared" si="30"/>
        <v>TRC2016</v>
      </c>
      <c r="D1967">
        <v>2.2638402065843471E-14</v>
      </c>
      <c r="E1967">
        <v>4.7754790195856177E-2</v>
      </c>
      <c r="F1967">
        <v>0.61314182589562438</v>
      </c>
      <c r="G1967">
        <v>28.192564631712969</v>
      </c>
      <c r="H1967">
        <v>3.8073200413778041</v>
      </c>
      <c r="I1967">
        <v>0.16880278820417591</v>
      </c>
      <c r="J1967">
        <v>6.3639478834044416E-2</v>
      </c>
      <c r="K1967">
        <v>5.2052205845936568E-2</v>
      </c>
      <c r="L1967">
        <v>0.67341414614276263</v>
      </c>
      <c r="M1967">
        <v>23</v>
      </c>
      <c r="N1967">
        <v>0</v>
      </c>
      <c r="O1967">
        <v>0</v>
      </c>
      <c r="P1967">
        <v>0.66810000000000003</v>
      </c>
      <c r="Q1967">
        <v>1.5E-3</v>
      </c>
      <c r="R1967">
        <v>5.0099999999999999E-2</v>
      </c>
      <c r="S1967">
        <v>0.61799999999999999</v>
      </c>
      <c r="T1967">
        <v>0.66810000000000003</v>
      </c>
      <c r="U1967">
        <v>5</v>
      </c>
      <c r="V1967">
        <v>0</v>
      </c>
      <c r="W1967">
        <v>0</v>
      </c>
      <c r="X1967">
        <v>0</v>
      </c>
      <c r="Y1967">
        <v>0.505</v>
      </c>
      <c r="Z1967">
        <v>1</v>
      </c>
    </row>
    <row r="1968" spans="1:26" x14ac:dyDescent="0.2">
      <c r="A1968" t="s">
        <v>169</v>
      </c>
      <c r="B1968">
        <v>2017</v>
      </c>
      <c r="C1968" t="str">
        <f t="shared" si="30"/>
        <v>TRC2017</v>
      </c>
      <c r="D1968">
        <v>4.3122289551412102E-14</v>
      </c>
      <c r="E1968">
        <v>9.3657499478684125E-2</v>
      </c>
      <c r="F1968">
        <v>0.61398083922802227</v>
      </c>
      <c r="G1968">
        <v>28.236721472693119</v>
      </c>
      <c r="H1968">
        <v>2.528120414818622</v>
      </c>
      <c r="I1968">
        <v>0.1562542943282319</v>
      </c>
      <c r="J1968">
        <v>4.5146263798699238E-2</v>
      </c>
      <c r="K1968">
        <v>1.8493092498491948E-2</v>
      </c>
      <c r="L1968">
        <v>0.66756296369701906</v>
      </c>
      <c r="M1968">
        <v>24</v>
      </c>
      <c r="N1968">
        <v>0</v>
      </c>
      <c r="O1968">
        <v>0</v>
      </c>
      <c r="P1968">
        <v>0.67359999999999998</v>
      </c>
      <c r="Q1968">
        <v>7.000000000000001E-4</v>
      </c>
      <c r="R1968">
        <v>5.5599999999999997E-2</v>
      </c>
      <c r="S1968">
        <v>0.61799999999999999</v>
      </c>
      <c r="T1968">
        <v>0.67359999999999998</v>
      </c>
      <c r="U1968">
        <v>5</v>
      </c>
      <c r="V1968">
        <v>0</v>
      </c>
      <c r="W1968">
        <v>0</v>
      </c>
      <c r="X1968">
        <v>0</v>
      </c>
      <c r="Y1968">
        <v>0.46270000000000011</v>
      </c>
      <c r="Z1968">
        <v>1</v>
      </c>
    </row>
    <row r="1969" spans="1:26" x14ac:dyDescent="0.2">
      <c r="A1969" t="s">
        <v>169</v>
      </c>
      <c r="B1969">
        <v>2018</v>
      </c>
      <c r="C1969" t="str">
        <f t="shared" si="30"/>
        <v>TRC2018</v>
      </c>
      <c r="D1969">
        <v>3.198697784015685E-14</v>
      </c>
      <c r="E1969">
        <v>7.7827148491053835E-2</v>
      </c>
      <c r="F1969">
        <v>0.52668582791342577</v>
      </c>
      <c r="G1969">
        <v>28.291921773057361</v>
      </c>
      <c r="H1969">
        <v>3.879574911910634</v>
      </c>
      <c r="I1969">
        <v>0.20408333277344101</v>
      </c>
      <c r="J1969">
        <v>5.675226134119149E-2</v>
      </c>
      <c r="K1969">
        <v>2.5213075750745439E-2</v>
      </c>
      <c r="L1969">
        <v>0.65829895348713863</v>
      </c>
      <c r="M1969">
        <v>25</v>
      </c>
      <c r="N1969">
        <v>0</v>
      </c>
      <c r="O1969">
        <v>0</v>
      </c>
      <c r="P1969">
        <v>0.73530000000000006</v>
      </c>
      <c r="Q1969">
        <v>7.000000000000001E-4</v>
      </c>
      <c r="R1969">
        <v>7.2700000000000001E-2</v>
      </c>
      <c r="S1969">
        <v>0.6</v>
      </c>
      <c r="T1969">
        <v>0.73530000000000006</v>
      </c>
      <c r="U1969">
        <v>5</v>
      </c>
      <c r="V1969">
        <v>0</v>
      </c>
      <c r="W1969">
        <v>0</v>
      </c>
      <c r="X1969">
        <v>0</v>
      </c>
      <c r="Y1969">
        <v>0.47270000000000001</v>
      </c>
      <c r="Z1969">
        <v>1</v>
      </c>
    </row>
    <row r="1970" spans="1:26" x14ac:dyDescent="0.2">
      <c r="A1970" t="s">
        <v>169</v>
      </c>
      <c r="B1970">
        <v>2019</v>
      </c>
      <c r="C1970" t="str">
        <f t="shared" si="30"/>
        <v>TRC2019</v>
      </c>
      <c r="D1970">
        <v>2.152164139609726E-14</v>
      </c>
      <c r="E1970">
        <v>5.4444951876975831E-2</v>
      </c>
      <c r="F1970">
        <v>0.70747564226545401</v>
      </c>
      <c r="G1970">
        <v>28.308044313690381</v>
      </c>
      <c r="H1970">
        <v>3.0191363864558012</v>
      </c>
      <c r="I1970">
        <v>0.22206159642025711</v>
      </c>
      <c r="J1970">
        <v>1.6253210087944669E-2</v>
      </c>
      <c r="K1970">
        <v>-1.4767903637370201E-2</v>
      </c>
      <c r="L1970">
        <v>0.66638462139068988</v>
      </c>
      <c r="M1970">
        <v>26</v>
      </c>
      <c r="N1970">
        <v>0</v>
      </c>
      <c r="O1970">
        <v>1</v>
      </c>
      <c r="P1970">
        <v>0.73530000000000006</v>
      </c>
      <c r="Q1970">
        <v>7.000000000000001E-4</v>
      </c>
      <c r="R1970">
        <v>7.2700000000000001E-2</v>
      </c>
      <c r="S1970">
        <v>0.6</v>
      </c>
      <c r="T1970">
        <v>0.73530000000000006</v>
      </c>
      <c r="U1970">
        <v>5</v>
      </c>
      <c r="V1970">
        <v>0</v>
      </c>
      <c r="W1970">
        <v>0</v>
      </c>
      <c r="X1970">
        <v>0</v>
      </c>
      <c r="Y1970">
        <v>0.48</v>
      </c>
      <c r="Z1970">
        <v>1</v>
      </c>
    </row>
    <row r="1971" spans="1:26" x14ac:dyDescent="0.2">
      <c r="A1971" t="s">
        <v>169</v>
      </c>
      <c r="B1971">
        <v>2020</v>
      </c>
      <c r="C1971" t="str">
        <f t="shared" si="30"/>
        <v>TRC2020</v>
      </c>
      <c r="D1971">
        <v>2.3467743355501839E-14</v>
      </c>
      <c r="E1971">
        <v>5.9093899991472507E-2</v>
      </c>
      <c r="F1971">
        <v>0.74713409952363607</v>
      </c>
      <c r="G1971">
        <v>28.315619607280919</v>
      </c>
      <c r="H1971">
        <v>2.6376132511531138</v>
      </c>
      <c r="I1971">
        <v>0.21250822881708589</v>
      </c>
      <c r="J1971">
        <v>7.6040587159156292E-3</v>
      </c>
      <c r="K1971">
        <v>1.5261061451112379E-2</v>
      </c>
      <c r="L1971">
        <v>0.67858925295433659</v>
      </c>
      <c r="M1971">
        <v>27</v>
      </c>
      <c r="N1971">
        <v>0</v>
      </c>
      <c r="O1971">
        <v>1</v>
      </c>
      <c r="P1971">
        <v>0.69680000000000009</v>
      </c>
      <c r="Q1971">
        <v>2.0000000000000001E-4</v>
      </c>
      <c r="R1971">
        <v>0</v>
      </c>
      <c r="S1971">
        <v>0.6</v>
      </c>
      <c r="T1971">
        <v>0.69680000000000009</v>
      </c>
      <c r="U1971">
        <v>5</v>
      </c>
      <c r="V1971">
        <v>0</v>
      </c>
      <c r="W1971">
        <v>0</v>
      </c>
      <c r="X1971">
        <v>0</v>
      </c>
      <c r="Y1971">
        <v>0.48199999999999998</v>
      </c>
      <c r="Z1971">
        <v>1</v>
      </c>
    </row>
    <row r="1972" spans="1:26" x14ac:dyDescent="0.2">
      <c r="A1972" t="s">
        <v>169</v>
      </c>
      <c r="B1972">
        <v>2021</v>
      </c>
      <c r="C1972" t="str">
        <f t="shared" si="30"/>
        <v>TRC2021</v>
      </c>
      <c r="D1972">
        <v>2.4943381411600701E-14</v>
      </c>
      <c r="E1972">
        <v>6.2299212212282191E-2</v>
      </c>
      <c r="F1972">
        <v>0.87269319241496457</v>
      </c>
      <c r="G1972">
        <v>28.311194519540219</v>
      </c>
      <c r="H1972">
        <v>2.8271733839085469</v>
      </c>
      <c r="I1972">
        <v>0.20956105726856691</v>
      </c>
      <c r="J1972">
        <v>-4.4153114655556269E-3</v>
      </c>
      <c r="K1972">
        <v>1.6408865030189141E-2</v>
      </c>
      <c r="L1972">
        <v>0.70909065665949123</v>
      </c>
      <c r="M1972">
        <v>28</v>
      </c>
      <c r="N1972">
        <v>0</v>
      </c>
      <c r="O1972">
        <v>0</v>
      </c>
      <c r="P1972">
        <v>0.6</v>
      </c>
      <c r="Q1972">
        <v>2.0000000000000001E-4</v>
      </c>
      <c r="R1972">
        <v>0</v>
      </c>
      <c r="S1972">
        <v>0.6</v>
      </c>
      <c r="T1972">
        <v>0.6</v>
      </c>
      <c r="U1972">
        <v>5</v>
      </c>
      <c r="V1972">
        <v>0</v>
      </c>
      <c r="W1972">
        <v>0</v>
      </c>
      <c r="X1972">
        <v>0</v>
      </c>
      <c r="Y1972">
        <v>0.49199999999999999</v>
      </c>
      <c r="Z1972">
        <v>1</v>
      </c>
    </row>
    <row r="1973" spans="1:26" x14ac:dyDescent="0.2">
      <c r="A1973" t="s">
        <v>169</v>
      </c>
      <c r="B1973">
        <v>2022</v>
      </c>
      <c r="C1973" t="str">
        <f t="shared" si="30"/>
        <v>TRC2022</v>
      </c>
      <c r="D1973">
        <v>1.9187278431114519E-14</v>
      </c>
      <c r="E1973">
        <v>4.7799204662739812E-2</v>
      </c>
      <c r="F1973">
        <v>0.65216378961474664</v>
      </c>
      <c r="G1973">
        <v>28.315467841484232</v>
      </c>
      <c r="H1973">
        <v>2.1935528767684529</v>
      </c>
      <c r="I1973">
        <v>0.20412631843497411</v>
      </c>
      <c r="J1973">
        <v>4.5300939932486628E-3</v>
      </c>
      <c r="K1973">
        <v>2.2668927075770739E-2</v>
      </c>
      <c r="L1973">
        <v>0.72152240127376144</v>
      </c>
      <c r="M1973">
        <v>29</v>
      </c>
      <c r="N1973">
        <v>0</v>
      </c>
      <c r="O1973">
        <v>0</v>
      </c>
      <c r="P1973">
        <v>0.6</v>
      </c>
      <c r="Q1973">
        <v>2.9999999999999997E-4</v>
      </c>
      <c r="R1973">
        <v>0</v>
      </c>
      <c r="S1973">
        <v>0.6</v>
      </c>
      <c r="T1973">
        <v>0.6</v>
      </c>
      <c r="U1973">
        <v>5</v>
      </c>
      <c r="V1973">
        <v>0</v>
      </c>
      <c r="W1973">
        <v>0</v>
      </c>
      <c r="X1973">
        <v>0</v>
      </c>
      <c r="Y1973">
        <v>0.48599999999999999</v>
      </c>
      <c r="Z1973">
        <v>1</v>
      </c>
    </row>
    <row r="1974" spans="1:26" x14ac:dyDescent="0.2">
      <c r="A1974" t="s">
        <v>169</v>
      </c>
      <c r="B1974">
        <v>2023</v>
      </c>
      <c r="C1974" t="str">
        <f t="shared" si="30"/>
        <v>TRC2023</v>
      </c>
      <c r="D1974">
        <v>12135580701376.57</v>
      </c>
      <c r="E1974">
        <v>3.7829898825418942E-2</v>
      </c>
      <c r="F1974">
        <v>0.55870841466798904</v>
      </c>
      <c r="G1974">
        <v>28.322297561842081</v>
      </c>
      <c r="H1974">
        <v>1.8747234720963251</v>
      </c>
      <c r="I1974">
        <v>0.10496662765993151</v>
      </c>
      <c r="J1974">
        <v>6.604895048013093E-3</v>
      </c>
      <c r="K1974">
        <v>4.714643663391694E-2</v>
      </c>
      <c r="L1974">
        <v>0.72043575895771339</v>
      </c>
      <c r="M1974">
        <v>30</v>
      </c>
      <c r="N1974">
        <v>0</v>
      </c>
      <c r="O1974">
        <v>0</v>
      </c>
      <c r="P1974">
        <v>0.6</v>
      </c>
      <c r="Q1974">
        <v>2.9999999999999997E-4</v>
      </c>
      <c r="R1974">
        <v>0</v>
      </c>
      <c r="S1974">
        <v>0.6</v>
      </c>
      <c r="T1974">
        <v>0.6</v>
      </c>
      <c r="U1974">
        <v>5</v>
      </c>
      <c r="V1974">
        <v>0</v>
      </c>
      <c r="W1974">
        <v>0</v>
      </c>
      <c r="X1974">
        <v>0</v>
      </c>
      <c r="Y1974">
        <v>0.48599999999999999</v>
      </c>
      <c r="Z1974">
        <v>1</v>
      </c>
    </row>
    <row r="1975" spans="1:26" x14ac:dyDescent="0.2">
      <c r="A1975" t="s">
        <v>170</v>
      </c>
      <c r="B1975">
        <v>2012</v>
      </c>
      <c r="C1975" t="str">
        <f t="shared" si="30"/>
        <v>TSB2012</v>
      </c>
      <c r="D1975">
        <v>-8.8843157576919293E-13</v>
      </c>
      <c r="E1975">
        <v>-0.68576002851966433</v>
      </c>
      <c r="F1975">
        <v>0.9369078225362224</v>
      </c>
      <c r="G1975">
        <v>25.930929741698531</v>
      </c>
      <c r="H1975">
        <v>1.1373522325455689</v>
      </c>
      <c r="I1975">
        <v>0.7633472718349138</v>
      </c>
      <c r="J1975">
        <v>-0.28710111323658261</v>
      </c>
      <c r="K1975">
        <v>0.1014712379844287</v>
      </c>
      <c r="L1975">
        <v>0.33059246616092008</v>
      </c>
      <c r="M1975">
        <v>19</v>
      </c>
      <c r="N1975">
        <v>0</v>
      </c>
      <c r="O1975">
        <v>0</v>
      </c>
      <c r="P1975">
        <v>0.51</v>
      </c>
      <c r="Q1975">
        <v>2.8500000000000001E-2</v>
      </c>
      <c r="R1975">
        <v>0</v>
      </c>
      <c r="S1975">
        <v>0.51</v>
      </c>
      <c r="T1975">
        <v>0.51</v>
      </c>
      <c r="U1975">
        <v>5</v>
      </c>
      <c r="V1975">
        <v>0</v>
      </c>
      <c r="W1975">
        <v>0.2</v>
      </c>
      <c r="X1975">
        <v>0</v>
      </c>
      <c r="Y1975">
        <v>0.48170000000000002</v>
      </c>
      <c r="Z1975">
        <v>1</v>
      </c>
    </row>
    <row r="1976" spans="1:26" x14ac:dyDescent="0.2">
      <c r="A1976" t="s">
        <v>170</v>
      </c>
      <c r="B1976">
        <v>2013</v>
      </c>
      <c r="C1976" t="str">
        <f t="shared" si="30"/>
        <v>TSB2013</v>
      </c>
      <c r="D1976">
        <v>1.375990024871378E-14</v>
      </c>
      <c r="E1976">
        <v>8.2813492438956297E-3</v>
      </c>
      <c r="F1976">
        <v>1.0018898418391491</v>
      </c>
      <c r="G1976">
        <v>25.810103695410469</v>
      </c>
      <c r="H1976">
        <v>0.93262406981977297</v>
      </c>
      <c r="I1976">
        <v>0.73103250542396503</v>
      </c>
      <c r="J1976">
        <v>-0.11381189810452751</v>
      </c>
      <c r="K1976">
        <v>0.1025893735375137</v>
      </c>
      <c r="L1976">
        <v>0.34370213679049272</v>
      </c>
      <c r="M1976">
        <v>20</v>
      </c>
      <c r="N1976">
        <v>0</v>
      </c>
      <c r="O1976">
        <v>0</v>
      </c>
      <c r="P1976">
        <v>0.51</v>
      </c>
      <c r="Q1976">
        <v>2.8500000000000001E-2</v>
      </c>
      <c r="R1976">
        <v>0</v>
      </c>
      <c r="S1976">
        <v>0.51</v>
      </c>
      <c r="T1976">
        <v>0.51</v>
      </c>
      <c r="U1976">
        <v>5</v>
      </c>
      <c r="V1976">
        <v>0</v>
      </c>
      <c r="W1976">
        <v>0.2</v>
      </c>
      <c r="X1976">
        <v>0</v>
      </c>
      <c r="Y1976">
        <v>0.49170000000000003</v>
      </c>
      <c r="Z1976">
        <v>1</v>
      </c>
    </row>
    <row r="1977" spans="1:26" x14ac:dyDescent="0.2">
      <c r="A1977" t="s">
        <v>170</v>
      </c>
      <c r="B1977">
        <v>2014</v>
      </c>
      <c r="C1977" t="str">
        <f t="shared" si="30"/>
        <v>TSB2014</v>
      </c>
      <c r="D1977">
        <v>9.7928539142918033E-13</v>
      </c>
      <c r="E1977">
        <v>0.33096191386905399</v>
      </c>
      <c r="F1977">
        <v>1.0251230634742079</v>
      </c>
      <c r="G1977">
        <v>25.72252727442217</v>
      </c>
      <c r="H1977">
        <v>0.92198287868111117</v>
      </c>
      <c r="I1977">
        <v>0.5611835370503564</v>
      </c>
      <c r="J1977">
        <v>-8.3851144025427815E-2</v>
      </c>
      <c r="K1977">
        <v>-0.1123172609747404</v>
      </c>
      <c r="L1977">
        <v>0.34392241566282161</v>
      </c>
      <c r="M1977">
        <v>21</v>
      </c>
      <c r="N1977">
        <v>0</v>
      </c>
      <c r="O1977">
        <v>0</v>
      </c>
      <c r="P1977">
        <v>0.51</v>
      </c>
      <c r="Q1977">
        <v>2.8500000000000001E-2</v>
      </c>
      <c r="R1977">
        <v>0</v>
      </c>
      <c r="S1977">
        <v>0.51</v>
      </c>
      <c r="T1977">
        <v>0.51</v>
      </c>
      <c r="U1977">
        <v>5</v>
      </c>
      <c r="V1977">
        <v>0</v>
      </c>
      <c r="W1977">
        <v>0.2</v>
      </c>
      <c r="X1977">
        <v>0</v>
      </c>
      <c r="Y1977">
        <v>0.50170000000000003</v>
      </c>
      <c r="Z1977">
        <v>1</v>
      </c>
    </row>
    <row r="1978" spans="1:26" x14ac:dyDescent="0.2">
      <c r="A1978" t="s">
        <v>170</v>
      </c>
      <c r="B1978">
        <v>2015</v>
      </c>
      <c r="C1978" t="str">
        <f t="shared" si="30"/>
        <v>TSB2015</v>
      </c>
      <c r="D1978">
        <v>1.4554034181773891E-13</v>
      </c>
      <c r="E1978">
        <v>3.8355642805237719E-2</v>
      </c>
      <c r="F1978">
        <v>1.0084627452059109</v>
      </c>
      <c r="G1978">
        <v>25.617716645007249</v>
      </c>
      <c r="H1978">
        <v>1.243073023525614</v>
      </c>
      <c r="I1978">
        <v>0.49325776455068637</v>
      </c>
      <c r="J1978">
        <v>-9.9504966287738195E-2</v>
      </c>
      <c r="K1978">
        <v>0.1441290931936165</v>
      </c>
      <c r="L1978">
        <v>0.35063555069433988</v>
      </c>
      <c r="M1978">
        <v>22</v>
      </c>
      <c r="N1978">
        <v>0</v>
      </c>
      <c r="O1978">
        <v>0</v>
      </c>
      <c r="P1978">
        <v>0.51</v>
      </c>
      <c r="Q1978">
        <v>2.9399999999999999E-2</v>
      </c>
      <c r="R1978">
        <v>0</v>
      </c>
      <c r="S1978">
        <v>0.51</v>
      </c>
      <c r="T1978">
        <v>0.51</v>
      </c>
      <c r="U1978">
        <v>5</v>
      </c>
      <c r="V1978">
        <v>0</v>
      </c>
      <c r="W1978">
        <v>0.2</v>
      </c>
      <c r="X1978">
        <v>0</v>
      </c>
      <c r="Y1978">
        <v>0.51170000000000004</v>
      </c>
      <c r="Z1978">
        <v>1</v>
      </c>
    </row>
    <row r="1979" spans="1:26" x14ac:dyDescent="0.2">
      <c r="A1979" t="s">
        <v>170</v>
      </c>
      <c r="B1979">
        <v>2016</v>
      </c>
      <c r="C1979" t="str">
        <f t="shared" si="30"/>
        <v>TSB2016</v>
      </c>
      <c r="D1979">
        <v>3.2538907706297468E-13</v>
      </c>
      <c r="E1979">
        <v>7.8860815811276158E-2</v>
      </c>
      <c r="F1979">
        <v>1.0105473079766141</v>
      </c>
      <c r="G1979">
        <v>25.61689596155993</v>
      </c>
      <c r="H1979">
        <v>1.3774198290811119</v>
      </c>
      <c r="I1979">
        <v>0.44942274759680412</v>
      </c>
      <c r="J1979">
        <v>-8.2034677876796636E-4</v>
      </c>
      <c r="K1979">
        <v>0.14994562589872859</v>
      </c>
      <c r="L1979">
        <v>0.34799940894352172</v>
      </c>
      <c r="M1979">
        <v>23</v>
      </c>
      <c r="N1979">
        <v>0</v>
      </c>
      <c r="O1979">
        <v>0</v>
      </c>
      <c r="P1979">
        <v>0.51</v>
      </c>
      <c r="Q1979">
        <v>3.1600000000000003E-2</v>
      </c>
      <c r="R1979">
        <v>0</v>
      </c>
      <c r="S1979">
        <v>0.51</v>
      </c>
      <c r="T1979">
        <v>0.51</v>
      </c>
      <c r="U1979">
        <v>5</v>
      </c>
      <c r="V1979">
        <v>0</v>
      </c>
      <c r="W1979">
        <v>0</v>
      </c>
      <c r="X1979">
        <v>0</v>
      </c>
      <c r="Y1979">
        <v>0.50600000000000001</v>
      </c>
      <c r="Z1979">
        <v>1</v>
      </c>
    </row>
    <row r="1980" spans="1:26" x14ac:dyDescent="0.2">
      <c r="A1980" t="s">
        <v>170</v>
      </c>
      <c r="B1980">
        <v>2017</v>
      </c>
      <c r="C1980" t="str">
        <f t="shared" si="30"/>
        <v>TSB2017</v>
      </c>
      <c r="D1980">
        <v>1.2723438571905471E-13</v>
      </c>
      <c r="E1980">
        <v>3.969433441949128E-2</v>
      </c>
      <c r="F1980">
        <v>0.84119745546000524</v>
      </c>
      <c r="G1980">
        <v>25.757885086956179</v>
      </c>
      <c r="H1980">
        <v>1.4694372366246871</v>
      </c>
      <c r="I1980">
        <v>0.50752597175627845</v>
      </c>
      <c r="J1980">
        <v>0.15141212676602309</v>
      </c>
      <c r="K1980">
        <v>-9.8019742701066781E-2</v>
      </c>
      <c r="L1980">
        <v>0.2864619605690461</v>
      </c>
      <c r="M1980">
        <v>24</v>
      </c>
      <c r="N1980">
        <v>0</v>
      </c>
      <c r="O1980">
        <v>0</v>
      </c>
      <c r="P1980">
        <v>0.51</v>
      </c>
      <c r="Q1980">
        <v>3.5200000000000002E-2</v>
      </c>
      <c r="R1980">
        <v>0</v>
      </c>
      <c r="S1980">
        <v>0.51</v>
      </c>
      <c r="T1980">
        <v>0.51</v>
      </c>
      <c r="U1980">
        <v>5</v>
      </c>
      <c r="V1980">
        <v>0</v>
      </c>
      <c r="W1980">
        <v>0</v>
      </c>
      <c r="X1980">
        <v>0</v>
      </c>
      <c r="Y1980">
        <v>0.50329999999999997</v>
      </c>
      <c r="Z1980">
        <v>1</v>
      </c>
    </row>
    <row r="1981" spans="1:26" x14ac:dyDescent="0.2">
      <c r="A1981" t="s">
        <v>170</v>
      </c>
      <c r="B1981">
        <v>2018</v>
      </c>
      <c r="C1981" t="str">
        <f t="shared" si="30"/>
        <v>TSB2018</v>
      </c>
      <c r="D1981">
        <v>1.161664933058504E-13</v>
      </c>
      <c r="E1981">
        <v>3.0298287454642959E-2</v>
      </c>
      <c r="F1981">
        <v>0.86870881236314867</v>
      </c>
      <c r="G1981">
        <v>25.65895767717743</v>
      </c>
      <c r="H1981">
        <v>1.3971984820452821</v>
      </c>
      <c r="I1981">
        <v>0.46641141702567979</v>
      </c>
      <c r="J1981">
        <v>-8.6678485524675719E-2</v>
      </c>
      <c r="K1981">
        <v>0.25631911519822548</v>
      </c>
      <c r="L1981">
        <v>0.34441418732157553</v>
      </c>
      <c r="M1981">
        <v>25</v>
      </c>
      <c r="N1981">
        <v>0</v>
      </c>
      <c r="O1981">
        <v>0</v>
      </c>
      <c r="P1981">
        <v>0.51</v>
      </c>
      <c r="Q1981">
        <v>3.9899999999999998E-2</v>
      </c>
      <c r="R1981">
        <v>0</v>
      </c>
      <c r="S1981">
        <v>0.51</v>
      </c>
      <c r="T1981">
        <v>0.51</v>
      </c>
      <c r="U1981">
        <v>5</v>
      </c>
      <c r="V1981">
        <v>0</v>
      </c>
      <c r="W1981">
        <v>0.2</v>
      </c>
      <c r="X1981">
        <v>0</v>
      </c>
      <c r="Y1981">
        <v>0.42670000000000002</v>
      </c>
      <c r="Z1981">
        <v>1</v>
      </c>
    </row>
    <row r="1982" spans="1:26" x14ac:dyDescent="0.2">
      <c r="A1982" t="s">
        <v>170</v>
      </c>
      <c r="B1982">
        <v>2019</v>
      </c>
      <c r="C1982" t="str">
        <f t="shared" si="30"/>
        <v>TSB2019</v>
      </c>
      <c r="D1982">
        <v>3.0171709521743541E-13</v>
      </c>
      <c r="E1982">
        <v>5.8440198691252353E-2</v>
      </c>
      <c r="F1982">
        <v>0.74912955980755924</v>
      </c>
      <c r="G1982">
        <v>25.53518603847392</v>
      </c>
      <c r="H1982">
        <v>1.3796953986250671</v>
      </c>
      <c r="I1982">
        <v>0.36513903493867389</v>
      </c>
      <c r="J1982">
        <v>-0.1236868193451393</v>
      </c>
      <c r="K1982">
        <v>0.1714002650840365</v>
      </c>
      <c r="L1982">
        <v>0.32744213767665042</v>
      </c>
      <c r="M1982">
        <v>26</v>
      </c>
      <c r="N1982">
        <v>0</v>
      </c>
      <c r="O1982">
        <v>1</v>
      </c>
      <c r="P1982">
        <v>0.51</v>
      </c>
      <c r="Q1982">
        <v>4.0599999999999997E-2</v>
      </c>
      <c r="R1982">
        <v>0</v>
      </c>
      <c r="S1982">
        <v>0.51</v>
      </c>
      <c r="T1982">
        <v>0.51</v>
      </c>
      <c r="U1982">
        <v>5</v>
      </c>
      <c r="V1982">
        <v>0</v>
      </c>
      <c r="W1982">
        <v>0.2</v>
      </c>
      <c r="X1982">
        <v>0</v>
      </c>
      <c r="Y1982">
        <v>0.43669999999999998</v>
      </c>
      <c r="Z1982">
        <v>1</v>
      </c>
    </row>
    <row r="1983" spans="1:26" x14ac:dyDescent="0.2">
      <c r="A1983" t="s">
        <v>170</v>
      </c>
      <c r="B1983">
        <v>2020</v>
      </c>
      <c r="C1983" t="str">
        <f t="shared" si="30"/>
        <v>TSB2020</v>
      </c>
      <c r="D1983">
        <v>4.7080043945281603E-13</v>
      </c>
      <c r="E1983">
        <v>5.7309687342600918E-2</v>
      </c>
      <c r="F1983">
        <v>0.80270714534729559</v>
      </c>
      <c r="G1983">
        <v>25.30677093635126</v>
      </c>
      <c r="H1983">
        <v>1.8126198900930619</v>
      </c>
      <c r="I1983">
        <v>0.19610413856939821</v>
      </c>
      <c r="J1983">
        <v>-0.20420614445420349</v>
      </c>
      <c r="K1983">
        <v>0.1257729159983331</v>
      </c>
      <c r="L1983">
        <v>0.33654459603288628</v>
      </c>
      <c r="M1983">
        <v>27</v>
      </c>
      <c r="N1983">
        <v>0</v>
      </c>
      <c r="O1983">
        <v>1</v>
      </c>
      <c r="P1983">
        <v>0.51</v>
      </c>
      <c r="Q1983">
        <v>3.9899999999999998E-2</v>
      </c>
      <c r="R1983">
        <v>0</v>
      </c>
      <c r="S1983">
        <v>0.51</v>
      </c>
      <c r="T1983">
        <v>0.51</v>
      </c>
      <c r="U1983">
        <v>5</v>
      </c>
      <c r="V1983">
        <v>0</v>
      </c>
      <c r="W1983">
        <v>0.2</v>
      </c>
      <c r="X1983">
        <v>0</v>
      </c>
      <c r="Y1983">
        <v>0.44669999999999999</v>
      </c>
      <c r="Z1983">
        <v>1</v>
      </c>
    </row>
    <row r="1984" spans="1:26" x14ac:dyDescent="0.2">
      <c r="A1984" t="s">
        <v>170</v>
      </c>
      <c r="B1984">
        <v>2021</v>
      </c>
      <c r="C1984" t="str">
        <f t="shared" si="30"/>
        <v>TSB2021</v>
      </c>
      <c r="D1984">
        <v>4.3702639104311879E-13</v>
      </c>
      <c r="E1984">
        <v>5.7975991682393278E-2</v>
      </c>
      <c r="F1984">
        <v>0.81837489944874708</v>
      </c>
      <c r="G1984">
        <v>25.35405184425116</v>
      </c>
      <c r="H1984">
        <v>3.3433003553763432</v>
      </c>
      <c r="I1984">
        <v>0.2266354019876563</v>
      </c>
      <c r="J1984">
        <v>4.8416476189195867E-2</v>
      </c>
      <c r="K1984">
        <v>8.1194769901660011E-2</v>
      </c>
      <c r="L1984">
        <v>0.31314893155031748</v>
      </c>
      <c r="M1984">
        <v>28</v>
      </c>
      <c r="N1984">
        <v>0</v>
      </c>
      <c r="O1984">
        <v>0</v>
      </c>
      <c r="P1984">
        <v>0.51</v>
      </c>
      <c r="Q1984">
        <v>3.9899999999999998E-2</v>
      </c>
      <c r="R1984">
        <v>0</v>
      </c>
      <c r="S1984">
        <v>0.51</v>
      </c>
      <c r="T1984">
        <v>0.51</v>
      </c>
      <c r="U1984">
        <v>5</v>
      </c>
      <c r="V1984">
        <v>0</v>
      </c>
      <c r="W1984">
        <v>0.2</v>
      </c>
      <c r="X1984">
        <v>0</v>
      </c>
      <c r="Y1984">
        <v>0.45669999999999999</v>
      </c>
      <c r="Z1984">
        <v>1</v>
      </c>
    </row>
    <row r="1985" spans="1:26" x14ac:dyDescent="0.2">
      <c r="A1985" t="s">
        <v>170</v>
      </c>
      <c r="B1985">
        <v>2022</v>
      </c>
      <c r="C1985" t="str">
        <f t="shared" si="30"/>
        <v>TSB2022</v>
      </c>
      <c r="D1985">
        <v>3.282411620647182E-13</v>
      </c>
      <c r="E1985">
        <v>4.3742136550599643E-2</v>
      </c>
      <c r="F1985">
        <v>1.349351864797846</v>
      </c>
      <c r="G1985">
        <v>25.35326120340078</v>
      </c>
      <c r="H1985">
        <v>3.2328207640027049</v>
      </c>
      <c r="I1985">
        <v>0.2307376303553311</v>
      </c>
      <c r="J1985">
        <v>-7.9032837625814256E-4</v>
      </c>
      <c r="K1985">
        <v>4.4904835349684983E-3</v>
      </c>
      <c r="L1985">
        <v>0.26121317268278432</v>
      </c>
      <c r="M1985">
        <v>29</v>
      </c>
      <c r="N1985">
        <v>0</v>
      </c>
      <c r="O1985">
        <v>0</v>
      </c>
      <c r="P1985">
        <v>0.51</v>
      </c>
      <c r="Q1985">
        <v>3.9899999999999998E-2</v>
      </c>
      <c r="R1985">
        <v>0</v>
      </c>
      <c r="S1985">
        <v>0.51</v>
      </c>
      <c r="T1985">
        <v>0.51</v>
      </c>
      <c r="U1985">
        <v>5</v>
      </c>
      <c r="V1985">
        <v>0</v>
      </c>
      <c r="W1985">
        <v>0.2</v>
      </c>
      <c r="X1985">
        <v>0</v>
      </c>
      <c r="Y1985">
        <v>0.4375</v>
      </c>
      <c r="Z1985">
        <v>1</v>
      </c>
    </row>
    <row r="1986" spans="1:26" x14ac:dyDescent="0.2">
      <c r="A1986" t="s">
        <v>170</v>
      </c>
      <c r="B1986">
        <v>2023</v>
      </c>
      <c r="C1986" t="str">
        <f t="shared" si="30"/>
        <v>TSB2023</v>
      </c>
      <c r="D1986">
        <v>67721325912.362022</v>
      </c>
      <c r="E1986">
        <v>4.5094783760573062E-2</v>
      </c>
      <c r="F1986">
        <v>2.8346464442089969</v>
      </c>
      <c r="G1986">
        <v>25.413870942210721</v>
      </c>
      <c r="H1986">
        <v>3.2592157093051211</v>
      </c>
      <c r="I1986">
        <v>0.13848002223050099</v>
      </c>
      <c r="J1986">
        <v>6.2484186923274183E-2</v>
      </c>
      <c r="K1986">
        <v>0.1680414164077314</v>
      </c>
      <c r="L1986">
        <v>0.19895503216152899</v>
      </c>
      <c r="M1986">
        <v>30</v>
      </c>
      <c r="N1986">
        <v>0</v>
      </c>
      <c r="O1986">
        <v>0</v>
      </c>
      <c r="P1986">
        <v>0.51</v>
      </c>
      <c r="Q1986">
        <v>3.9899999999999998E-2</v>
      </c>
      <c r="R1986">
        <v>0</v>
      </c>
      <c r="S1986">
        <v>0.51</v>
      </c>
      <c r="T1986">
        <v>0.51</v>
      </c>
      <c r="U1986">
        <v>5</v>
      </c>
      <c r="V1986">
        <v>0</v>
      </c>
      <c r="W1986">
        <v>0.2</v>
      </c>
      <c r="X1986">
        <v>0</v>
      </c>
      <c r="Y1986">
        <v>0.4375</v>
      </c>
      <c r="Z1986">
        <v>1</v>
      </c>
    </row>
    <row r="1987" spans="1:26" x14ac:dyDescent="0.2">
      <c r="A1987" t="s">
        <v>171</v>
      </c>
      <c r="B1987">
        <v>2012</v>
      </c>
      <c r="C1987" t="str">
        <f t="shared" ref="C1987:C2050" si="31">A1987&amp;B1987</f>
        <v>TTC2012</v>
      </c>
      <c r="D1987">
        <v>4.8464345651891995E-13</v>
      </c>
      <c r="E1987">
        <v>0.1397739603819472</v>
      </c>
      <c r="F1987">
        <v>0.77105817044197722</v>
      </c>
      <c r="G1987">
        <v>25.620076027441819</v>
      </c>
      <c r="H1987">
        <v>1.1337085851815669</v>
      </c>
      <c r="I1987">
        <v>0.53585494551425505</v>
      </c>
      <c r="J1987">
        <v>-0.12593912212986261</v>
      </c>
      <c r="K1987">
        <v>0.14927624793846589</v>
      </c>
      <c r="L1987">
        <v>0.1976632305319663</v>
      </c>
      <c r="M1987">
        <v>17</v>
      </c>
      <c r="N1987">
        <v>0</v>
      </c>
      <c r="O1987">
        <v>0</v>
      </c>
      <c r="P1987">
        <v>0.42780000000000001</v>
      </c>
      <c r="Q1987">
        <v>5.6000000000000008E-3</v>
      </c>
      <c r="R1987">
        <v>0</v>
      </c>
      <c r="S1987">
        <v>0.42780000000000001</v>
      </c>
      <c r="T1987">
        <v>0.42780000000000001</v>
      </c>
      <c r="U1987">
        <v>5</v>
      </c>
      <c r="V1987">
        <v>0</v>
      </c>
      <c r="W1987">
        <v>0.2</v>
      </c>
      <c r="X1987">
        <v>0</v>
      </c>
      <c r="Y1987">
        <v>0.48799999999999999</v>
      </c>
      <c r="Z1987">
        <v>1</v>
      </c>
    </row>
    <row r="1988" spans="1:26" x14ac:dyDescent="0.2">
      <c r="A1988" t="s">
        <v>171</v>
      </c>
      <c r="B1988">
        <v>2013</v>
      </c>
      <c r="C1988" t="str">
        <f t="shared" si="31"/>
        <v>TTC2013</v>
      </c>
      <c r="D1988">
        <v>7.5137468496581833E-13</v>
      </c>
      <c r="E1988">
        <v>0.1873899041961497</v>
      </c>
      <c r="F1988">
        <v>0.96254041804964252</v>
      </c>
      <c r="G1988">
        <v>25.651164954933691</v>
      </c>
      <c r="H1988">
        <v>1.5133590691227501</v>
      </c>
      <c r="I1988">
        <v>0.44630606802375361</v>
      </c>
      <c r="J1988">
        <v>3.1577235383950519E-2</v>
      </c>
      <c r="K1988">
        <v>0.2260089829052955</v>
      </c>
      <c r="L1988">
        <v>0.1573986927577094</v>
      </c>
      <c r="M1988">
        <v>18</v>
      </c>
      <c r="N1988">
        <v>0</v>
      </c>
      <c r="O1988">
        <v>0</v>
      </c>
      <c r="P1988">
        <v>0.42780000000000001</v>
      </c>
      <c r="Q1988">
        <v>5.6000000000000008E-3</v>
      </c>
      <c r="R1988">
        <v>0</v>
      </c>
      <c r="S1988">
        <v>0.42780000000000001</v>
      </c>
      <c r="T1988">
        <v>0.42780000000000001</v>
      </c>
      <c r="U1988">
        <v>5</v>
      </c>
      <c r="V1988">
        <v>0</v>
      </c>
      <c r="W1988">
        <v>0.2</v>
      </c>
      <c r="X1988">
        <v>0</v>
      </c>
      <c r="Y1988">
        <v>0.498</v>
      </c>
      <c r="Z1988">
        <v>1</v>
      </c>
    </row>
    <row r="1989" spans="1:26" x14ac:dyDescent="0.2">
      <c r="A1989" t="s">
        <v>171</v>
      </c>
      <c r="B1989">
        <v>2014</v>
      </c>
      <c r="C1989" t="str">
        <f t="shared" si="31"/>
        <v>TTC2014</v>
      </c>
      <c r="D1989">
        <v>5.5419551959542174E-13</v>
      </c>
      <c r="E1989">
        <v>0.16142703362614569</v>
      </c>
      <c r="F1989">
        <v>0.92111895043093794</v>
      </c>
      <c r="G1989">
        <v>25.773404738812111</v>
      </c>
      <c r="H1989">
        <v>1.9211380032736749</v>
      </c>
      <c r="I1989">
        <v>0.4642845124080473</v>
      </c>
      <c r="J1989">
        <v>0.1300250310814397</v>
      </c>
      <c r="K1989">
        <v>7.2853893930653238E-2</v>
      </c>
      <c r="L1989">
        <v>0.122171979040109</v>
      </c>
      <c r="M1989">
        <v>19</v>
      </c>
      <c r="N1989">
        <v>0</v>
      </c>
      <c r="O1989">
        <v>0</v>
      </c>
      <c r="P1989">
        <v>0.49149999999999999</v>
      </c>
      <c r="Q1989">
        <v>6.4000000000000003E-3</v>
      </c>
      <c r="R1989">
        <v>6.3700000000000007E-2</v>
      </c>
      <c r="S1989">
        <v>0.42780000000000001</v>
      </c>
      <c r="T1989">
        <v>0.49149999999999999</v>
      </c>
      <c r="U1989">
        <v>5</v>
      </c>
      <c r="V1989">
        <v>0</v>
      </c>
      <c r="W1989">
        <v>0.2</v>
      </c>
      <c r="X1989">
        <v>0</v>
      </c>
      <c r="Y1989">
        <v>0.49249999999999999</v>
      </c>
      <c r="Z1989">
        <v>1</v>
      </c>
    </row>
    <row r="1990" spans="1:26" x14ac:dyDescent="0.2">
      <c r="A1990" t="s">
        <v>171</v>
      </c>
      <c r="B1990">
        <v>2015</v>
      </c>
      <c r="C1990" t="str">
        <f t="shared" si="31"/>
        <v>TTC2015</v>
      </c>
      <c r="D1990">
        <v>7.3733440275453301E-13</v>
      </c>
      <c r="E1990">
        <v>0.2210726783856482</v>
      </c>
      <c r="F1990">
        <v>0.89802469603856139</v>
      </c>
      <c r="G1990">
        <v>25.86886927165699</v>
      </c>
      <c r="H1990">
        <v>1.917384307181258</v>
      </c>
      <c r="I1990">
        <v>0.42741943515605352</v>
      </c>
      <c r="J1990">
        <v>0.10016980144895581</v>
      </c>
      <c r="K1990">
        <v>0.30819250205159682</v>
      </c>
      <c r="L1990">
        <v>0.1314641177343823</v>
      </c>
      <c r="M1990">
        <v>20</v>
      </c>
      <c r="N1990">
        <v>0</v>
      </c>
      <c r="O1990">
        <v>0</v>
      </c>
      <c r="P1990">
        <v>0.49990000000000001</v>
      </c>
      <c r="Q1990">
        <v>5.1999999999999998E-3</v>
      </c>
      <c r="R1990">
        <v>7.2099999999999997E-2</v>
      </c>
      <c r="S1990">
        <v>0.42780000000000001</v>
      </c>
      <c r="T1990">
        <v>0.49990000000000001</v>
      </c>
      <c r="U1990">
        <v>5</v>
      </c>
      <c r="V1990">
        <v>0</v>
      </c>
      <c r="W1990">
        <v>0.2</v>
      </c>
      <c r="X1990">
        <v>0</v>
      </c>
      <c r="Y1990">
        <v>0.50249999999999995</v>
      </c>
      <c r="Z1990">
        <v>1</v>
      </c>
    </row>
    <row r="1991" spans="1:26" x14ac:dyDescent="0.2">
      <c r="A1991" t="s">
        <v>171</v>
      </c>
      <c r="B1991">
        <v>2016</v>
      </c>
      <c r="C1991" t="str">
        <f t="shared" si="31"/>
        <v>TTC2016</v>
      </c>
      <c r="D1991">
        <v>6.001348794968977E-13</v>
      </c>
      <c r="E1991">
        <v>0.19806758118661269</v>
      </c>
      <c r="F1991">
        <v>1.061566737194082</v>
      </c>
      <c r="G1991">
        <v>25.960351713850041</v>
      </c>
      <c r="H1991">
        <v>2.0505643859521299</v>
      </c>
      <c r="I1991">
        <v>0.43000247743896253</v>
      </c>
      <c r="J1991">
        <v>9.579753672203474E-2</v>
      </c>
      <c r="K1991">
        <v>2.07149314782707E-2</v>
      </c>
      <c r="L1991">
        <v>0.17173001408143959</v>
      </c>
      <c r="M1991">
        <v>21</v>
      </c>
      <c r="N1991">
        <v>0</v>
      </c>
      <c r="O1991">
        <v>0</v>
      </c>
      <c r="P1991">
        <v>0.42780000000000001</v>
      </c>
      <c r="Q1991">
        <v>6.0000000000000001E-3</v>
      </c>
      <c r="R1991">
        <v>0</v>
      </c>
      <c r="S1991">
        <v>0.42780000000000001</v>
      </c>
      <c r="T1991">
        <v>0.42780000000000001</v>
      </c>
      <c r="U1991">
        <v>5</v>
      </c>
      <c r="V1991">
        <v>0</v>
      </c>
      <c r="W1991">
        <v>0.2</v>
      </c>
      <c r="X1991">
        <v>0</v>
      </c>
      <c r="Y1991">
        <v>0.51249999999999996</v>
      </c>
      <c r="Z1991">
        <v>1</v>
      </c>
    </row>
    <row r="1992" spans="1:26" x14ac:dyDescent="0.2">
      <c r="A1992" t="s">
        <v>171</v>
      </c>
      <c r="B1992">
        <v>2017</v>
      </c>
      <c r="C1992" t="str">
        <f t="shared" si="31"/>
        <v>TTC2017</v>
      </c>
      <c r="D1992">
        <v>4.6332589042740668E-13</v>
      </c>
      <c r="E1992">
        <v>0.1713455242640598</v>
      </c>
      <c r="F1992">
        <v>0.99691214525105099</v>
      </c>
      <c r="G1992">
        <v>26.05090342556927</v>
      </c>
      <c r="H1992">
        <v>1.951443488121918</v>
      </c>
      <c r="I1992">
        <v>0.44309975274684837</v>
      </c>
      <c r="J1992">
        <v>9.4778119036608141E-2</v>
      </c>
      <c r="K1992">
        <v>9.8042716369169655E-2</v>
      </c>
      <c r="L1992">
        <v>0.16680000929616709</v>
      </c>
      <c r="M1992">
        <v>22</v>
      </c>
      <c r="N1992">
        <v>0</v>
      </c>
      <c r="O1992">
        <v>0</v>
      </c>
      <c r="P1992">
        <v>0.50560000000000005</v>
      </c>
      <c r="Q1992">
        <v>0.11310000000000001</v>
      </c>
      <c r="R1992">
        <v>0</v>
      </c>
      <c r="S1992">
        <v>0.50560000000000005</v>
      </c>
      <c r="T1992">
        <v>0.50560000000000005</v>
      </c>
      <c r="U1992">
        <v>5</v>
      </c>
      <c r="V1992">
        <v>0</v>
      </c>
      <c r="W1992">
        <v>0.2</v>
      </c>
      <c r="X1992">
        <v>0</v>
      </c>
      <c r="Y1992">
        <v>0.44169999999999998</v>
      </c>
      <c r="Z1992">
        <v>1</v>
      </c>
    </row>
    <row r="1993" spans="1:26" x14ac:dyDescent="0.2">
      <c r="A1993" t="s">
        <v>171</v>
      </c>
      <c r="B1993">
        <v>2018</v>
      </c>
      <c r="C1993" t="str">
        <f t="shared" si="31"/>
        <v>TTC2018</v>
      </c>
      <c r="D1993">
        <v>2.7144401355437139E-13</v>
      </c>
      <c r="E1993">
        <v>0.128897753127165</v>
      </c>
      <c r="F1993">
        <v>0.99300166731458739</v>
      </c>
      <c r="G1993">
        <v>26.18541361290087</v>
      </c>
      <c r="H1993">
        <v>1.904894124702998</v>
      </c>
      <c r="I1993">
        <v>0.5038470709917986</v>
      </c>
      <c r="J1993">
        <v>0.14397631300907829</v>
      </c>
      <c r="K1993">
        <v>9.0318827210506044E-3</v>
      </c>
      <c r="L1993">
        <v>0.13124816632263051</v>
      </c>
      <c r="M1993">
        <v>23</v>
      </c>
      <c r="N1993">
        <v>0</v>
      </c>
      <c r="O1993">
        <v>0</v>
      </c>
      <c r="P1993">
        <v>0.51</v>
      </c>
      <c r="Q1993">
        <v>4.8999999999999998E-3</v>
      </c>
      <c r="R1993">
        <v>0</v>
      </c>
      <c r="S1993">
        <v>0.51</v>
      </c>
      <c r="T1993">
        <v>0.51</v>
      </c>
      <c r="U1993">
        <v>5</v>
      </c>
      <c r="V1993">
        <v>0</v>
      </c>
      <c r="W1993">
        <v>0.2</v>
      </c>
      <c r="X1993">
        <v>0</v>
      </c>
      <c r="Y1993">
        <v>0.44500000000000001</v>
      </c>
      <c r="Z1993">
        <v>1</v>
      </c>
    </row>
    <row r="1994" spans="1:26" x14ac:dyDescent="0.2">
      <c r="A1994" t="s">
        <v>171</v>
      </c>
      <c r="B1994">
        <v>2019</v>
      </c>
      <c r="C1994" t="str">
        <f t="shared" si="31"/>
        <v>TTC2019</v>
      </c>
      <c r="D1994">
        <v>3.7345979728515768E-13</v>
      </c>
      <c r="E1994">
        <v>0.12623518656831731</v>
      </c>
      <c r="F1994">
        <v>0.80204103992032549</v>
      </c>
      <c r="G1994">
        <v>26.025911367569432</v>
      </c>
      <c r="H1994">
        <v>1.7375754590557979</v>
      </c>
      <c r="I1994">
        <v>0.40574461713282012</v>
      </c>
      <c r="J1994">
        <v>-0.1474319469035805</v>
      </c>
      <c r="K1994">
        <v>9.8342095363980614E-2</v>
      </c>
      <c r="L1994">
        <v>0.1678732559980585</v>
      </c>
      <c r="M1994">
        <v>24</v>
      </c>
      <c r="N1994">
        <v>0</v>
      </c>
      <c r="O1994">
        <v>1</v>
      </c>
      <c r="P1994">
        <v>0.51</v>
      </c>
      <c r="Q1994">
        <v>4.8999999999999998E-3</v>
      </c>
      <c r="R1994">
        <v>0</v>
      </c>
      <c r="S1994">
        <v>0.51</v>
      </c>
      <c r="T1994">
        <v>0.51</v>
      </c>
      <c r="U1994">
        <v>5</v>
      </c>
      <c r="V1994">
        <v>0</v>
      </c>
      <c r="W1994">
        <v>0.2</v>
      </c>
      <c r="X1994">
        <v>0</v>
      </c>
      <c r="Y1994">
        <v>0.45500000000000002</v>
      </c>
      <c r="Z1994">
        <v>1</v>
      </c>
    </row>
    <row r="1995" spans="1:26" x14ac:dyDescent="0.2">
      <c r="A1995" t="s">
        <v>171</v>
      </c>
      <c r="B1995">
        <v>2020</v>
      </c>
      <c r="C1995" t="str">
        <f t="shared" si="31"/>
        <v>TTC2020</v>
      </c>
      <c r="D1995">
        <v>3.762059036759732E-13</v>
      </c>
      <c r="E1995">
        <v>0.12337795358523369</v>
      </c>
      <c r="F1995">
        <v>0.7852555463888452</v>
      </c>
      <c r="G1995">
        <v>26.02153003367096</v>
      </c>
      <c r="H1995">
        <v>2.0742166819206642</v>
      </c>
      <c r="I1995">
        <v>0.39018942935155743</v>
      </c>
      <c r="J1995">
        <v>-4.3717498571784752E-3</v>
      </c>
      <c r="K1995">
        <v>9.5919195921135604E-3</v>
      </c>
      <c r="L1995">
        <v>0.13882610227312439</v>
      </c>
      <c r="M1995">
        <v>25</v>
      </c>
      <c r="N1995">
        <v>0</v>
      </c>
      <c r="O1995">
        <v>1</v>
      </c>
      <c r="P1995">
        <v>0.51</v>
      </c>
      <c r="Q1995">
        <v>4.8999999999999998E-3</v>
      </c>
      <c r="R1995">
        <v>0</v>
      </c>
      <c r="S1995">
        <v>0.51</v>
      </c>
      <c r="T1995">
        <v>0.51</v>
      </c>
      <c r="U1995">
        <v>5</v>
      </c>
      <c r="V1995">
        <v>0</v>
      </c>
      <c r="W1995">
        <v>0.2</v>
      </c>
      <c r="X1995">
        <v>0</v>
      </c>
      <c r="Y1995">
        <v>0.46829999999999999</v>
      </c>
      <c r="Z1995">
        <v>1</v>
      </c>
    </row>
    <row r="1996" spans="1:26" x14ac:dyDescent="0.2">
      <c r="A1996" t="s">
        <v>171</v>
      </c>
      <c r="B1996">
        <v>2021</v>
      </c>
      <c r="C1996" t="str">
        <f t="shared" si="31"/>
        <v>TTC2021</v>
      </c>
      <c r="D1996">
        <v>3.9873548923505581E-13</v>
      </c>
      <c r="E1996">
        <v>0.10414921625801379</v>
      </c>
      <c r="F1996">
        <v>0.82642333634210718</v>
      </c>
      <c r="G1996">
        <v>25.907332153586371</v>
      </c>
      <c r="H1996">
        <v>2.2354533829318251</v>
      </c>
      <c r="I1996">
        <v>0.31696921149555729</v>
      </c>
      <c r="J1996">
        <v>-0.1079185867296658</v>
      </c>
      <c r="K1996">
        <v>0.19179018428012201</v>
      </c>
      <c r="L1996">
        <v>0.1245805383794247</v>
      </c>
      <c r="M1996">
        <v>26</v>
      </c>
      <c r="N1996">
        <v>0</v>
      </c>
      <c r="O1996">
        <v>0</v>
      </c>
      <c r="P1996">
        <v>0.60850000000000004</v>
      </c>
      <c r="Q1996">
        <v>4.8999999999999998E-3</v>
      </c>
      <c r="R1996">
        <v>0</v>
      </c>
      <c r="S1996">
        <v>0.51</v>
      </c>
      <c r="T1996">
        <v>0.51</v>
      </c>
      <c r="U1996">
        <v>4</v>
      </c>
      <c r="V1996">
        <v>0</v>
      </c>
      <c r="W1996">
        <v>0.25</v>
      </c>
      <c r="X1996">
        <v>0</v>
      </c>
      <c r="Y1996">
        <v>0.4783</v>
      </c>
      <c r="Z1996">
        <v>1</v>
      </c>
    </row>
    <row r="1997" spans="1:26" x14ac:dyDescent="0.2">
      <c r="A1997" t="s">
        <v>171</v>
      </c>
      <c r="B1997">
        <v>2022</v>
      </c>
      <c r="C1997" t="str">
        <f t="shared" si="31"/>
        <v>TTC2022</v>
      </c>
      <c r="D1997">
        <v>3.4232467747108548E-13</v>
      </c>
      <c r="E1997">
        <v>9.3924489609775633E-2</v>
      </c>
      <c r="F1997">
        <v>0.72061146170494406</v>
      </c>
      <c r="G1997">
        <v>25.93460193548427</v>
      </c>
      <c r="H1997">
        <v>2.7933624268536299</v>
      </c>
      <c r="I1997">
        <v>0.33178860894047218</v>
      </c>
      <c r="J1997">
        <v>2.7645005389599131E-2</v>
      </c>
      <c r="K1997">
        <v>-2.2444195138016369E-2</v>
      </c>
      <c r="L1997">
        <v>0.1011512119362071</v>
      </c>
      <c r="M1997">
        <v>27</v>
      </c>
      <c r="N1997">
        <v>0</v>
      </c>
      <c r="O1997">
        <v>0</v>
      </c>
      <c r="P1997">
        <v>0.60850000000000004</v>
      </c>
      <c r="Q1997">
        <v>5.4000000000000003E-3</v>
      </c>
      <c r="R1997">
        <v>0</v>
      </c>
      <c r="S1997">
        <v>0.51</v>
      </c>
      <c r="T1997">
        <v>0.51</v>
      </c>
      <c r="U1997">
        <v>5</v>
      </c>
      <c r="V1997">
        <v>0</v>
      </c>
      <c r="W1997">
        <v>0.4</v>
      </c>
      <c r="X1997">
        <v>0</v>
      </c>
      <c r="Y1997">
        <v>0.47</v>
      </c>
      <c r="Z1997">
        <v>1</v>
      </c>
    </row>
    <row r="1998" spans="1:26" x14ac:dyDescent="0.2">
      <c r="A1998" t="s">
        <v>171</v>
      </c>
      <c r="B1998">
        <v>2023</v>
      </c>
      <c r="C1998" t="str">
        <f t="shared" si="31"/>
        <v>TTC2023</v>
      </c>
      <c r="D1998">
        <v>-3441787956667.5601</v>
      </c>
      <c r="E1998">
        <v>4.1603833978713423E-2</v>
      </c>
      <c r="F1998">
        <v>0.41400455567857353</v>
      </c>
      <c r="G1998">
        <v>25.954240650218679</v>
      </c>
      <c r="H1998">
        <v>2.737493138484385</v>
      </c>
      <c r="I1998">
        <v>2.6388645322165501E-2</v>
      </c>
      <c r="J1998">
        <v>1.9832822888589789E-2</v>
      </c>
      <c r="K1998">
        <v>3.8625102531875968E-2</v>
      </c>
      <c r="L1998">
        <v>8.2105805059207684E-2</v>
      </c>
      <c r="M1998">
        <v>28</v>
      </c>
      <c r="N1998">
        <v>0</v>
      </c>
      <c r="O1998">
        <v>0</v>
      </c>
      <c r="P1998">
        <v>0.60850000000000004</v>
      </c>
      <c r="Q1998">
        <v>5.4000000000000003E-3</v>
      </c>
      <c r="R1998">
        <v>0</v>
      </c>
      <c r="S1998">
        <v>0.51</v>
      </c>
      <c r="T1998">
        <v>0.51</v>
      </c>
      <c r="U1998">
        <v>5</v>
      </c>
      <c r="V1998">
        <v>0</v>
      </c>
      <c r="W1998">
        <v>0.4</v>
      </c>
      <c r="X1998">
        <v>0</v>
      </c>
      <c r="Y1998">
        <v>0.47</v>
      </c>
      <c r="Z1998">
        <v>1</v>
      </c>
    </row>
    <row r="1999" spans="1:26" x14ac:dyDescent="0.2">
      <c r="A1999" t="s">
        <v>172</v>
      </c>
      <c r="B1999">
        <v>2012</v>
      </c>
      <c r="C1999" t="str">
        <f t="shared" si="31"/>
        <v>TTF2012</v>
      </c>
      <c r="D1999">
        <v>-2.668937977141242E-16</v>
      </c>
      <c r="E1999">
        <v>-4.220701790468814E-3</v>
      </c>
      <c r="F1999">
        <v>0.82148733348912639</v>
      </c>
      <c r="G1999">
        <v>28.82425801509628</v>
      </c>
      <c r="H1999">
        <v>1.0586499492032591</v>
      </c>
      <c r="I1999">
        <v>0.75940225766580616</v>
      </c>
      <c r="J1999">
        <v>-1.2459446633912191E-2</v>
      </c>
      <c r="K1999">
        <v>1.7934837180387669E-2</v>
      </c>
      <c r="L1999">
        <v>0.15318446276297851</v>
      </c>
      <c r="M1999">
        <v>12</v>
      </c>
      <c r="N1999">
        <v>0</v>
      </c>
      <c r="O1999">
        <v>0</v>
      </c>
      <c r="P1999">
        <v>0.36609999999999998</v>
      </c>
      <c r="Q1999">
        <v>0.31019999999999998</v>
      </c>
      <c r="R1999">
        <v>0</v>
      </c>
      <c r="S1999">
        <v>0</v>
      </c>
      <c r="T1999">
        <v>0.17510000000000001</v>
      </c>
      <c r="U1999">
        <v>9</v>
      </c>
      <c r="V1999">
        <v>1</v>
      </c>
      <c r="W1999">
        <v>0.33333333333333331</v>
      </c>
      <c r="X1999">
        <v>1</v>
      </c>
      <c r="Y1999">
        <v>0.40129999999999999</v>
      </c>
      <c r="Z1999">
        <v>1</v>
      </c>
    </row>
    <row r="2000" spans="1:26" x14ac:dyDescent="0.2">
      <c r="A2000" t="s">
        <v>172</v>
      </c>
      <c r="B2000">
        <v>2013</v>
      </c>
      <c r="C2000" t="str">
        <f t="shared" si="31"/>
        <v>TTF2013</v>
      </c>
      <c r="D2000">
        <v>-3.7919384514703628E-16</v>
      </c>
      <c r="E2000">
        <v>-5.5127692928549034E-3</v>
      </c>
      <c r="F2000">
        <v>0.8364106951417779</v>
      </c>
      <c r="G2000">
        <v>28.888924261932399</v>
      </c>
      <c r="H2000">
        <v>1.0982836280439729</v>
      </c>
      <c r="I2000">
        <v>0.73064824908253889</v>
      </c>
      <c r="J2000">
        <v>6.6802916112567612E-2</v>
      </c>
      <c r="K2000">
        <v>-5.6375109676444109E-2</v>
      </c>
      <c r="L2000">
        <v>0.13404402272339011</v>
      </c>
      <c r="M2000">
        <v>13</v>
      </c>
      <c r="N2000">
        <v>0</v>
      </c>
      <c r="O2000">
        <v>0</v>
      </c>
      <c r="P2000">
        <v>0.36670000000000003</v>
      </c>
      <c r="Q2000">
        <v>0.20019999999999999</v>
      </c>
      <c r="R2000">
        <v>0</v>
      </c>
      <c r="S2000">
        <v>0</v>
      </c>
      <c r="T2000">
        <v>0.1774</v>
      </c>
      <c r="U2000">
        <v>9</v>
      </c>
      <c r="V2000">
        <v>1</v>
      </c>
      <c r="W2000">
        <v>0.22222222222222221</v>
      </c>
      <c r="X2000">
        <v>1</v>
      </c>
      <c r="Y2000">
        <v>0.42070000000000002</v>
      </c>
      <c r="Z2000">
        <v>1</v>
      </c>
    </row>
    <row r="2001" spans="1:26" x14ac:dyDescent="0.2">
      <c r="A2001" t="s">
        <v>172</v>
      </c>
      <c r="B2001">
        <v>2014</v>
      </c>
      <c r="C2001" t="str">
        <f t="shared" si="31"/>
        <v>TTF2014</v>
      </c>
      <c r="D2001">
        <v>4.1727276858367762E-15</v>
      </c>
      <c r="E2001">
        <v>5.8120449667364057E-2</v>
      </c>
      <c r="F2001">
        <v>0.95021273574245835</v>
      </c>
      <c r="G2001">
        <v>29.02045407480426</v>
      </c>
      <c r="H2001">
        <v>1.1522671306131469</v>
      </c>
      <c r="I2001">
        <v>0.68836095472929359</v>
      </c>
      <c r="J2001">
        <v>0.1405719109400563</v>
      </c>
      <c r="K2001">
        <v>-0.11032215315874259</v>
      </c>
      <c r="L2001">
        <v>0.15818451743586801</v>
      </c>
      <c r="M2001">
        <v>14</v>
      </c>
      <c r="N2001">
        <v>1</v>
      </c>
      <c r="O2001">
        <v>0</v>
      </c>
      <c r="P2001">
        <v>0.19600000000000001</v>
      </c>
      <c r="Q2001">
        <v>0.1447</v>
      </c>
      <c r="R2001">
        <v>0</v>
      </c>
      <c r="S2001">
        <v>0</v>
      </c>
      <c r="T2001">
        <v>9.5600000000000004E-2</v>
      </c>
      <c r="U2001">
        <v>7</v>
      </c>
      <c r="V2001">
        <v>1</v>
      </c>
      <c r="W2001">
        <v>0.14285714285714279</v>
      </c>
      <c r="X2001">
        <v>0</v>
      </c>
      <c r="Y2001">
        <v>0.42749999999999999</v>
      </c>
      <c r="Z2001">
        <v>1</v>
      </c>
    </row>
    <row r="2002" spans="1:26" x14ac:dyDescent="0.2">
      <c r="A2002" t="s">
        <v>172</v>
      </c>
      <c r="B2002">
        <v>2015</v>
      </c>
      <c r="C2002" t="str">
        <f t="shared" si="31"/>
        <v>TTF2015</v>
      </c>
      <c r="D2002">
        <v>-4.6586248829217427E-15</v>
      </c>
      <c r="E2002">
        <v>-5.3367181391360777E-2</v>
      </c>
      <c r="F2002">
        <v>1.484460209990522</v>
      </c>
      <c r="G2002">
        <v>29.154888196084329</v>
      </c>
      <c r="H2002">
        <v>1.179864664204318</v>
      </c>
      <c r="I2002">
        <v>0.5993265734479416</v>
      </c>
      <c r="J2002">
        <v>5.8340138993421047E-2</v>
      </c>
      <c r="K2002">
        <v>-4.9236426367052978E-2</v>
      </c>
      <c r="L2002">
        <v>0.1182458616646208</v>
      </c>
      <c r="M2002">
        <v>15</v>
      </c>
      <c r="N2002">
        <v>1</v>
      </c>
      <c r="O2002">
        <v>0</v>
      </c>
      <c r="P2002">
        <v>0.10489999999999999</v>
      </c>
      <c r="Q2002">
        <v>0.106</v>
      </c>
      <c r="R2002">
        <v>0</v>
      </c>
      <c r="S2002">
        <v>0</v>
      </c>
      <c r="T2002">
        <v>0</v>
      </c>
      <c r="U2002">
        <v>7</v>
      </c>
      <c r="V2002">
        <v>1</v>
      </c>
      <c r="W2002">
        <v>0.14285714285714279</v>
      </c>
      <c r="X2002">
        <v>0</v>
      </c>
      <c r="Y2002">
        <v>0.4375</v>
      </c>
      <c r="Z2002">
        <v>1</v>
      </c>
    </row>
    <row r="2003" spans="1:26" x14ac:dyDescent="0.2">
      <c r="A2003" t="s">
        <v>172</v>
      </c>
      <c r="B2003">
        <v>2016</v>
      </c>
      <c r="C2003" t="str">
        <f t="shared" si="31"/>
        <v>TTF2016</v>
      </c>
      <c r="D2003">
        <v>-3.4427458309568648E-14</v>
      </c>
      <c r="E2003">
        <v>-3.3497241959844888</v>
      </c>
      <c r="F2003">
        <v>1.173775125145343</v>
      </c>
      <c r="G2003">
        <v>28.907811947393029</v>
      </c>
      <c r="H2003">
        <v>1.2333845449505301</v>
      </c>
      <c r="I2003">
        <v>0.96315325545811714</v>
      </c>
      <c r="J2003">
        <v>-0.1557814746536447</v>
      </c>
      <c r="K2003">
        <v>-0.2244520410963842</v>
      </c>
      <c r="L2003">
        <v>0.15054827994183301</v>
      </c>
      <c r="M2003">
        <v>16</v>
      </c>
      <c r="N2003">
        <v>1</v>
      </c>
      <c r="O2003">
        <v>0</v>
      </c>
      <c r="P2003">
        <v>0.35320000000000001</v>
      </c>
      <c r="Q2003">
        <v>4.0000000000000002E-4</v>
      </c>
      <c r="R2003">
        <v>0</v>
      </c>
      <c r="S2003">
        <v>0</v>
      </c>
      <c r="T2003">
        <v>0.29899999999999999</v>
      </c>
      <c r="U2003">
        <v>5</v>
      </c>
      <c r="V2003">
        <v>1</v>
      </c>
      <c r="W2003">
        <v>1</v>
      </c>
      <c r="X2003">
        <v>1</v>
      </c>
      <c r="Y2003">
        <v>0.40500000000000003</v>
      </c>
      <c r="Z2003">
        <v>1</v>
      </c>
    </row>
    <row r="2004" spans="1:26" x14ac:dyDescent="0.2">
      <c r="A2004" t="s">
        <v>172</v>
      </c>
      <c r="B2004">
        <v>2017</v>
      </c>
      <c r="C2004" t="str">
        <f t="shared" si="31"/>
        <v>TTF2017</v>
      </c>
      <c r="D2004">
        <v>1.350431805146681E-16</v>
      </c>
      <c r="E2004">
        <v>2.8311268713133919E-3</v>
      </c>
      <c r="F2004">
        <v>1.057747777590115</v>
      </c>
      <c r="G2004">
        <v>29.058093925901471</v>
      </c>
      <c r="H2004">
        <v>0.79183142857856048</v>
      </c>
      <c r="I2004">
        <v>0.80126096687038417</v>
      </c>
      <c r="J2004">
        <v>0.16216190120926571</v>
      </c>
      <c r="K2004">
        <v>2.5332398027356741E-2</v>
      </c>
      <c r="L2004">
        <v>0.1185730658001255</v>
      </c>
      <c r="M2004">
        <v>17</v>
      </c>
      <c r="N2004">
        <v>1</v>
      </c>
      <c r="O2004">
        <v>0</v>
      </c>
      <c r="P2004">
        <v>0.29620000000000002</v>
      </c>
      <c r="Q2004">
        <v>3.2599999999999997E-2</v>
      </c>
      <c r="R2004">
        <v>6.4199999999999993E-2</v>
      </c>
      <c r="S2004">
        <v>0</v>
      </c>
      <c r="T2004">
        <v>0.29620000000000002</v>
      </c>
      <c r="U2004">
        <v>5</v>
      </c>
      <c r="V2004">
        <v>0</v>
      </c>
      <c r="W2004">
        <v>0</v>
      </c>
      <c r="X2004">
        <v>0</v>
      </c>
      <c r="Y2004">
        <v>0.41289999999999999</v>
      </c>
      <c r="Z2004">
        <v>1</v>
      </c>
    </row>
    <row r="2005" spans="1:26" x14ac:dyDescent="0.2">
      <c r="A2005" t="s">
        <v>172</v>
      </c>
      <c r="B2005">
        <v>2018</v>
      </c>
      <c r="C2005" t="str">
        <f t="shared" si="31"/>
        <v>TTF2018</v>
      </c>
      <c r="D2005">
        <v>-1.041085951297035E-13</v>
      </c>
      <c r="E2005">
        <v>-40.820609306886517</v>
      </c>
      <c r="F2005">
        <v>1.2437826177419671</v>
      </c>
      <c r="G2005">
        <v>28.653538747718201</v>
      </c>
      <c r="H2005">
        <v>1.1869861100805801</v>
      </c>
      <c r="I2005">
        <v>0.99290943458115166</v>
      </c>
      <c r="J2005">
        <v>-0.33272643730885643</v>
      </c>
      <c r="K2005">
        <v>1.416156776210184E-2</v>
      </c>
      <c r="L2005">
        <v>0.10700829973609299</v>
      </c>
      <c r="M2005">
        <v>18</v>
      </c>
      <c r="N2005">
        <v>1</v>
      </c>
      <c r="O2005">
        <v>0</v>
      </c>
      <c r="P2005">
        <v>0.1993</v>
      </c>
      <c r="Q2005">
        <v>3.2599999999999997E-2</v>
      </c>
      <c r="R2005">
        <v>6.4199999999999993E-2</v>
      </c>
      <c r="S2005">
        <v>0</v>
      </c>
      <c r="T2005">
        <v>0.1993</v>
      </c>
      <c r="U2005">
        <v>5</v>
      </c>
      <c r="V2005">
        <v>0</v>
      </c>
      <c r="W2005">
        <v>0</v>
      </c>
      <c r="X2005">
        <v>0</v>
      </c>
      <c r="Y2005">
        <v>0.43</v>
      </c>
      <c r="Z2005">
        <v>1</v>
      </c>
    </row>
    <row r="2006" spans="1:26" x14ac:dyDescent="0.2">
      <c r="A2006" t="s">
        <v>172</v>
      </c>
      <c r="B2006">
        <v>2019</v>
      </c>
      <c r="C2006" t="str">
        <f t="shared" si="31"/>
        <v>TTF2019</v>
      </c>
      <c r="D2006">
        <v>-2.1777469862380161E-13</v>
      </c>
      <c r="E2006">
        <v>1.586802872296788</v>
      </c>
      <c r="F2006">
        <v>1.6773684851672681</v>
      </c>
      <c r="G2006">
        <v>28.394460792624301</v>
      </c>
      <c r="H2006">
        <v>1.0113903571585681</v>
      </c>
      <c r="I2006">
        <v>1</v>
      </c>
      <c r="J2006">
        <v>-0.2282371421474112</v>
      </c>
      <c r="K2006">
        <v>1.8454405045866831E-2</v>
      </c>
      <c r="L2006">
        <v>0.1244151826729127</v>
      </c>
      <c r="M2006">
        <v>19</v>
      </c>
      <c r="N2006">
        <v>1</v>
      </c>
      <c r="O2006">
        <v>1</v>
      </c>
      <c r="P2006">
        <v>9.3200000000000005E-2</v>
      </c>
      <c r="Q2006">
        <v>2.35E-2</v>
      </c>
      <c r="R2006">
        <v>0</v>
      </c>
      <c r="S2006">
        <v>0</v>
      </c>
      <c r="T2006">
        <v>9.3200000000000005E-2</v>
      </c>
      <c r="U2006">
        <v>5</v>
      </c>
      <c r="V2006">
        <v>0</v>
      </c>
      <c r="W2006">
        <v>0</v>
      </c>
      <c r="X2006">
        <v>0</v>
      </c>
      <c r="Y2006">
        <v>0.4214</v>
      </c>
      <c r="Z2006">
        <v>1</v>
      </c>
    </row>
    <row r="2007" spans="1:26" x14ac:dyDescent="0.2">
      <c r="A2007" t="s">
        <v>172</v>
      </c>
      <c r="B2007">
        <v>2020</v>
      </c>
      <c r="C2007" t="str">
        <f t="shared" si="31"/>
        <v>TTF2020</v>
      </c>
      <c r="D2007">
        <v>3.6071961605422242E-15</v>
      </c>
      <c r="E2007">
        <v>-3.096978326455762E-2</v>
      </c>
      <c r="F2007">
        <v>2.115088465366973</v>
      </c>
      <c r="G2007">
        <v>28.437867180662099</v>
      </c>
      <c r="H2007">
        <v>0.60208630120562434</v>
      </c>
      <c r="I2007">
        <v>1</v>
      </c>
      <c r="J2007">
        <v>4.4362224938786721E-2</v>
      </c>
      <c r="K2007">
        <v>-6.7100259866686843E-2</v>
      </c>
      <c r="L2007">
        <v>0.13971760557697521</v>
      </c>
      <c r="M2007">
        <v>20</v>
      </c>
      <c r="N2007">
        <v>1</v>
      </c>
      <c r="O2007">
        <v>1</v>
      </c>
      <c r="P2007">
        <v>9.3200000000000005E-2</v>
      </c>
      <c r="Q2007">
        <v>2.35E-2</v>
      </c>
      <c r="R2007">
        <v>0</v>
      </c>
      <c r="S2007">
        <v>0</v>
      </c>
      <c r="T2007">
        <v>9.3200000000000005E-2</v>
      </c>
      <c r="U2007">
        <v>5</v>
      </c>
      <c r="V2007">
        <v>0</v>
      </c>
      <c r="W2007">
        <v>0</v>
      </c>
      <c r="X2007">
        <v>0</v>
      </c>
      <c r="Y2007">
        <v>0.43569999999999998</v>
      </c>
      <c r="Z2007">
        <v>1</v>
      </c>
    </row>
    <row r="2008" spans="1:26" x14ac:dyDescent="0.2">
      <c r="A2008" t="s">
        <v>172</v>
      </c>
      <c r="B2008">
        <v>2021</v>
      </c>
      <c r="C2008" t="str">
        <f t="shared" si="31"/>
        <v>TTF2021</v>
      </c>
      <c r="D2008">
        <v>3.1178324843879079E-16</v>
      </c>
      <c r="E2008">
        <v>5.5171093548973876E-3</v>
      </c>
      <c r="F2008">
        <v>2.319750557235543</v>
      </c>
      <c r="G2008">
        <v>28.67424027142626</v>
      </c>
      <c r="H2008">
        <v>0.54611789432386482</v>
      </c>
      <c r="I2008">
        <v>0.83959957744667368</v>
      </c>
      <c r="J2008">
        <v>0.26664679624242971</v>
      </c>
      <c r="K2008">
        <v>-8.6097709106750478E-2</v>
      </c>
      <c r="L2008">
        <v>0.1159064582957867</v>
      </c>
      <c r="M2008">
        <v>21</v>
      </c>
      <c r="N2008">
        <v>1</v>
      </c>
      <c r="O2008">
        <v>0</v>
      </c>
      <c r="P2008">
        <v>9.3200000000000005E-2</v>
      </c>
      <c r="Q2008">
        <v>2.8400000000000002E-2</v>
      </c>
      <c r="R2008">
        <v>0</v>
      </c>
      <c r="S2008">
        <v>0</v>
      </c>
      <c r="T2008">
        <v>9.3200000000000005E-2</v>
      </c>
      <c r="U2008">
        <v>5</v>
      </c>
      <c r="V2008">
        <v>0</v>
      </c>
      <c r="W2008">
        <v>0</v>
      </c>
      <c r="X2008">
        <v>0</v>
      </c>
      <c r="Y2008">
        <v>0.42570000000000002</v>
      </c>
      <c r="Z2008">
        <v>1</v>
      </c>
    </row>
    <row r="2009" spans="1:26" x14ac:dyDescent="0.2">
      <c r="A2009" t="s">
        <v>172</v>
      </c>
      <c r="B2009">
        <v>2022</v>
      </c>
      <c r="C2009" t="str">
        <f t="shared" si="31"/>
        <v>TTF2022</v>
      </c>
      <c r="D2009">
        <v>-1.3607048770916501E-16</v>
      </c>
      <c r="E2009">
        <v>-2.8406124757621512E-3</v>
      </c>
      <c r="F2009">
        <v>1.39012838288499</v>
      </c>
      <c r="G2009">
        <v>28.73165305172169</v>
      </c>
      <c r="H2009">
        <v>0.89245636518960447</v>
      </c>
      <c r="I2009">
        <v>0.85600403334548458</v>
      </c>
      <c r="J2009">
        <v>5.9092892856990042E-2</v>
      </c>
      <c r="K2009">
        <v>8.6706265413901792E-2</v>
      </c>
      <c r="L2009">
        <v>0.12311075907642791</v>
      </c>
      <c r="M2009">
        <v>22</v>
      </c>
      <c r="N2009">
        <v>1</v>
      </c>
      <c r="O2009">
        <v>0</v>
      </c>
      <c r="P2009">
        <v>0.14549999999999999</v>
      </c>
      <c r="Q2009">
        <v>3.9600000000000003E-2</v>
      </c>
      <c r="R2009">
        <v>0</v>
      </c>
      <c r="S2009">
        <v>0</v>
      </c>
      <c r="T2009">
        <v>7.0699999999999999E-2</v>
      </c>
      <c r="U2009">
        <v>7</v>
      </c>
      <c r="V2009">
        <v>0</v>
      </c>
      <c r="W2009">
        <v>0.2857142857142857</v>
      </c>
      <c r="X2009">
        <v>0</v>
      </c>
      <c r="Y2009">
        <v>0.4229</v>
      </c>
      <c r="Z2009">
        <v>1</v>
      </c>
    </row>
    <row r="2010" spans="1:26" x14ac:dyDescent="0.2">
      <c r="A2010" t="s">
        <v>172</v>
      </c>
      <c r="B2010">
        <v>2023</v>
      </c>
      <c r="C2010" t="str">
        <f t="shared" si="31"/>
        <v>TTF2023</v>
      </c>
      <c r="D2010">
        <v>408294968230.1344</v>
      </c>
      <c r="E2010">
        <v>-5.9161418971136137E-2</v>
      </c>
      <c r="F2010">
        <v>0.73138407581926612</v>
      </c>
      <c r="G2010">
        <v>28.678501693541889</v>
      </c>
      <c r="H2010">
        <v>1.2933582863819511</v>
      </c>
      <c r="I2010">
        <v>0.14463220166247229</v>
      </c>
      <c r="J2010">
        <v>-5.1763521727344122E-2</v>
      </c>
      <c r="K2010">
        <v>1.817583056932456E-2</v>
      </c>
      <c r="L2010">
        <v>0.13078178197640719</v>
      </c>
      <c r="M2010">
        <v>23</v>
      </c>
      <c r="N2010">
        <v>0</v>
      </c>
      <c r="O2010">
        <v>0</v>
      </c>
      <c r="P2010">
        <v>0.14549999999999999</v>
      </c>
      <c r="Q2010">
        <v>3.9600000000000003E-2</v>
      </c>
      <c r="R2010">
        <v>0</v>
      </c>
      <c r="S2010">
        <v>0</v>
      </c>
      <c r="T2010">
        <v>7.0699999999999999E-2</v>
      </c>
      <c r="U2010">
        <v>7</v>
      </c>
      <c r="V2010">
        <v>0</v>
      </c>
      <c r="W2010">
        <v>0.2857142857142857</v>
      </c>
      <c r="X2010">
        <v>0</v>
      </c>
      <c r="Y2010">
        <v>0.4229</v>
      </c>
      <c r="Z2010">
        <v>1</v>
      </c>
    </row>
    <row r="2011" spans="1:26" x14ac:dyDescent="0.2">
      <c r="A2011" t="s">
        <v>173</v>
      </c>
      <c r="B2011">
        <v>2014</v>
      </c>
      <c r="C2011" t="str">
        <f t="shared" si="31"/>
        <v>TVT2014</v>
      </c>
      <c r="D2011">
        <v>3.3791643707777851E-14</v>
      </c>
      <c r="E2011">
        <v>0.20667778388085689</v>
      </c>
      <c r="F2011">
        <v>0.95575273305413522</v>
      </c>
      <c r="G2011">
        <v>28.184828905578819</v>
      </c>
      <c r="H2011" t="e">
        <v>#N/A</v>
      </c>
      <c r="I2011">
        <v>0.67392490605768884</v>
      </c>
      <c r="J2011">
        <v>0</v>
      </c>
      <c r="K2011">
        <v>2.1258307837019848E-3</v>
      </c>
      <c r="L2011">
        <v>0.45062261528031788</v>
      </c>
      <c r="M2011">
        <v>7</v>
      </c>
      <c r="N2011">
        <v>1</v>
      </c>
      <c r="O2011">
        <v>0</v>
      </c>
      <c r="P2011">
        <v>0.52049999999999996</v>
      </c>
      <c r="Q2011">
        <v>7.6799999999999993E-2</v>
      </c>
      <c r="R2011">
        <v>0</v>
      </c>
      <c r="S2011">
        <v>0.46929999999999999</v>
      </c>
      <c r="T2011">
        <v>0.52049999999999996</v>
      </c>
      <c r="U2011">
        <v>5</v>
      </c>
      <c r="V2011">
        <v>1</v>
      </c>
      <c r="W2011">
        <v>0.2</v>
      </c>
      <c r="X2011">
        <v>0</v>
      </c>
      <c r="Y2011">
        <v>0.50219999999999998</v>
      </c>
      <c r="Z2011">
        <v>0.8</v>
      </c>
    </row>
    <row r="2012" spans="1:26" x14ac:dyDescent="0.2">
      <c r="A2012" t="s">
        <v>173</v>
      </c>
      <c r="B2012">
        <v>2016</v>
      </c>
      <c r="C2012" t="str">
        <f t="shared" si="31"/>
        <v>TVT2016</v>
      </c>
      <c r="D2012">
        <v>3.7167759025312168E-14</v>
      </c>
      <c r="E2012">
        <v>0.19013361510603541</v>
      </c>
      <c r="F2012">
        <v>0.99422510891623728</v>
      </c>
      <c r="G2012">
        <v>28.21201646152419</v>
      </c>
      <c r="H2012" t="e">
        <v>#N/A</v>
      </c>
      <c r="I2012">
        <v>0.65051338800004144</v>
      </c>
      <c r="J2012">
        <v>9.34732276038579E-2</v>
      </c>
      <c r="K2012">
        <v>0.1038826052388601</v>
      </c>
      <c r="L2012">
        <v>0.4000952265467167</v>
      </c>
      <c r="M2012">
        <v>9</v>
      </c>
      <c r="N2012">
        <v>1</v>
      </c>
      <c r="O2012">
        <v>0</v>
      </c>
      <c r="P2012">
        <v>0.52049999999999996</v>
      </c>
      <c r="Q2012">
        <v>7.6799999999999993E-2</v>
      </c>
      <c r="R2012">
        <v>0</v>
      </c>
      <c r="S2012">
        <v>0.46929999999999999</v>
      </c>
      <c r="T2012">
        <v>0.52049999999999996</v>
      </c>
      <c r="U2012">
        <v>5</v>
      </c>
      <c r="V2012">
        <v>1</v>
      </c>
      <c r="W2012">
        <v>0.2</v>
      </c>
      <c r="X2012">
        <v>0</v>
      </c>
      <c r="Y2012">
        <v>0.50219999999999998</v>
      </c>
      <c r="Z2012">
        <v>0.8</v>
      </c>
    </row>
    <row r="2013" spans="1:26" x14ac:dyDescent="0.2">
      <c r="A2013" t="s">
        <v>173</v>
      </c>
      <c r="B2013">
        <v>2017</v>
      </c>
      <c r="C2013" t="str">
        <f t="shared" si="31"/>
        <v>TVT2017</v>
      </c>
      <c r="D2013">
        <v>3.7244248944204581E-14</v>
      </c>
      <c r="E2013">
        <v>0.12850257036335591</v>
      </c>
      <c r="F2013">
        <v>0.83317500078939377</v>
      </c>
      <c r="G2013">
        <v>28.073973893780991</v>
      </c>
      <c r="H2013">
        <v>0.97002156552374375</v>
      </c>
      <c r="I2013">
        <v>0.54864386147458466</v>
      </c>
      <c r="J2013">
        <v>-0.12893838817040379</v>
      </c>
      <c r="K2013">
        <v>0.12453635552441079</v>
      </c>
      <c r="L2013">
        <v>0.41935076434259932</v>
      </c>
      <c r="M2013">
        <v>10</v>
      </c>
      <c r="N2013">
        <v>1</v>
      </c>
      <c r="O2013">
        <v>0</v>
      </c>
      <c r="P2013">
        <v>0.52049999999999996</v>
      </c>
      <c r="Q2013">
        <v>7.9699999999999993E-2</v>
      </c>
      <c r="R2013">
        <v>0</v>
      </c>
      <c r="S2013">
        <v>0.46929999999999999</v>
      </c>
      <c r="T2013">
        <v>0.52049999999999996</v>
      </c>
      <c r="U2013">
        <v>5</v>
      </c>
      <c r="V2013">
        <v>1</v>
      </c>
      <c r="W2013">
        <v>0.2</v>
      </c>
      <c r="X2013">
        <v>0</v>
      </c>
      <c r="Y2013">
        <v>0.48780000000000001</v>
      </c>
      <c r="Z2013">
        <v>0.8</v>
      </c>
    </row>
    <row r="2014" spans="1:26" x14ac:dyDescent="0.2">
      <c r="A2014" t="s">
        <v>173</v>
      </c>
      <c r="B2014">
        <v>2018</v>
      </c>
      <c r="C2014" t="str">
        <f t="shared" si="31"/>
        <v>TVT2018</v>
      </c>
      <c r="D2014">
        <v>3.9782931741660528E-14</v>
      </c>
      <c r="E2014">
        <v>0.1392411953288053</v>
      </c>
      <c r="F2014">
        <v>0.88418635093627884</v>
      </c>
      <c r="G2014">
        <v>28.10420606176304</v>
      </c>
      <c r="H2014">
        <v>1.097384039379202</v>
      </c>
      <c r="I2014">
        <v>0.54140358788129028</v>
      </c>
      <c r="J2014">
        <v>3.069380027716706E-2</v>
      </c>
      <c r="K2014">
        <v>0.1603931419246365</v>
      </c>
      <c r="L2014">
        <v>0.3940774123312954</v>
      </c>
      <c r="M2014">
        <v>11</v>
      </c>
      <c r="N2014">
        <v>0</v>
      </c>
      <c r="O2014">
        <v>0</v>
      </c>
      <c r="P2014">
        <v>0.52049999999999996</v>
      </c>
      <c r="Q2014">
        <v>8.1199999999999994E-2</v>
      </c>
      <c r="R2014">
        <v>0</v>
      </c>
      <c r="S2014">
        <v>0.46929999999999999</v>
      </c>
      <c r="T2014">
        <v>0.52049999999999996</v>
      </c>
      <c r="U2014">
        <v>5</v>
      </c>
      <c r="V2014">
        <v>1</v>
      </c>
      <c r="W2014">
        <v>0.2</v>
      </c>
      <c r="X2014">
        <v>0</v>
      </c>
      <c r="Y2014">
        <v>0.49700000000000011</v>
      </c>
      <c r="Z2014">
        <v>0.8</v>
      </c>
    </row>
    <row r="2015" spans="1:26" x14ac:dyDescent="0.2">
      <c r="A2015" t="s">
        <v>173</v>
      </c>
      <c r="B2015">
        <v>2019</v>
      </c>
      <c r="C2015" t="str">
        <f t="shared" si="31"/>
        <v>TVT2019</v>
      </c>
      <c r="D2015">
        <v>3.3752157613925557E-14</v>
      </c>
      <c r="E2015">
        <v>0.15332208927094459</v>
      </c>
      <c r="F2015">
        <v>0.93701248338640708</v>
      </c>
      <c r="G2015">
        <v>28.120333937282592</v>
      </c>
      <c r="H2015">
        <v>1.15617592479284</v>
      </c>
      <c r="I2015">
        <v>0.64091052995171338</v>
      </c>
      <c r="J2015">
        <v>1.6258631697973151E-2</v>
      </c>
      <c r="K2015">
        <v>0.1328201403287288</v>
      </c>
      <c r="L2015">
        <v>0.34455499902738262</v>
      </c>
      <c r="M2015">
        <v>12</v>
      </c>
      <c r="N2015">
        <v>0</v>
      </c>
      <c r="O2015">
        <v>1</v>
      </c>
      <c r="P2015">
        <v>0.52049999999999996</v>
      </c>
      <c r="Q2015">
        <v>8.1600000000000006E-2</v>
      </c>
      <c r="R2015">
        <v>0</v>
      </c>
      <c r="S2015">
        <v>0.46929999999999999</v>
      </c>
      <c r="T2015">
        <v>0.52049999999999996</v>
      </c>
      <c r="U2015">
        <v>5</v>
      </c>
      <c r="V2015">
        <v>1</v>
      </c>
      <c r="W2015">
        <v>0.2</v>
      </c>
      <c r="X2015">
        <v>0</v>
      </c>
      <c r="Y2015">
        <v>0.49730000000000002</v>
      </c>
      <c r="Z2015">
        <v>0.8</v>
      </c>
    </row>
    <row r="2016" spans="1:26" x14ac:dyDescent="0.2">
      <c r="A2016" t="s">
        <v>173</v>
      </c>
      <c r="B2016">
        <v>2020</v>
      </c>
      <c r="C2016" t="str">
        <f t="shared" si="31"/>
        <v>TVT2020</v>
      </c>
      <c r="D2016">
        <v>2.8993159508334512E-14</v>
      </c>
      <c r="E2016">
        <v>0.1274526398080808</v>
      </c>
      <c r="F2016">
        <v>0.93209997872559713</v>
      </c>
      <c r="G2016">
        <v>28.109737970548711</v>
      </c>
      <c r="H2016">
        <v>0.99200913309772976</v>
      </c>
      <c r="I2016">
        <v>0.63284385762564344</v>
      </c>
      <c r="J2016">
        <v>-1.0540027230408479E-2</v>
      </c>
      <c r="K2016">
        <v>0.21522746315685681</v>
      </c>
      <c r="L2016">
        <v>0.30273182355144063</v>
      </c>
      <c r="M2016">
        <v>13</v>
      </c>
      <c r="N2016">
        <v>0</v>
      </c>
      <c r="O2016">
        <v>1</v>
      </c>
      <c r="P2016">
        <v>0.52049999999999996</v>
      </c>
      <c r="Q2016">
        <v>7.0699999999999999E-2</v>
      </c>
      <c r="R2016">
        <v>0</v>
      </c>
      <c r="S2016">
        <v>0.46929999999999999</v>
      </c>
      <c r="T2016">
        <v>0.52049999999999996</v>
      </c>
      <c r="U2016">
        <v>6</v>
      </c>
      <c r="V2016">
        <v>1</v>
      </c>
      <c r="W2016">
        <v>0.1666666666666666</v>
      </c>
      <c r="X2016">
        <v>0</v>
      </c>
      <c r="Y2016">
        <v>0.496</v>
      </c>
      <c r="Z2016">
        <v>0.83333333333333337</v>
      </c>
    </row>
    <row r="2017" spans="1:26" x14ac:dyDescent="0.2">
      <c r="A2017" t="s">
        <v>173</v>
      </c>
      <c r="B2017">
        <v>2021</v>
      </c>
      <c r="C2017" t="str">
        <f t="shared" si="31"/>
        <v>TVT2021</v>
      </c>
      <c r="D2017">
        <v>4.5417687050908662E-14</v>
      </c>
      <c r="E2017">
        <v>0.139569058324475</v>
      </c>
      <c r="F2017">
        <v>0.97473049893748753</v>
      </c>
      <c r="G2017">
        <v>27.960891278743329</v>
      </c>
      <c r="H2017">
        <v>1.0591300081253869</v>
      </c>
      <c r="I2017">
        <v>0.5474186467923905</v>
      </c>
      <c r="J2017">
        <v>-0.1382987893700813</v>
      </c>
      <c r="K2017">
        <v>0.10047122621944291</v>
      </c>
      <c r="L2017">
        <v>0.31622409496112153</v>
      </c>
      <c r="M2017">
        <v>14</v>
      </c>
      <c r="N2017">
        <v>0</v>
      </c>
      <c r="O2017">
        <v>0</v>
      </c>
      <c r="P2017">
        <v>0.52049999999999996</v>
      </c>
      <c r="Q2017">
        <v>6.9599999999999995E-2</v>
      </c>
      <c r="R2017">
        <v>0</v>
      </c>
      <c r="S2017">
        <v>0.46929999999999999</v>
      </c>
      <c r="T2017">
        <v>0.52049999999999996</v>
      </c>
      <c r="U2017">
        <v>5</v>
      </c>
      <c r="V2017">
        <v>0</v>
      </c>
      <c r="W2017">
        <v>0.2</v>
      </c>
      <c r="X2017">
        <v>1</v>
      </c>
      <c r="Y2017">
        <v>0.50109999999999999</v>
      </c>
      <c r="Z2017">
        <v>0.8</v>
      </c>
    </row>
    <row r="2018" spans="1:26" x14ac:dyDescent="0.2">
      <c r="A2018" t="s">
        <v>173</v>
      </c>
      <c r="B2018">
        <v>2022</v>
      </c>
      <c r="C2018" t="str">
        <f t="shared" si="31"/>
        <v>TVT2022</v>
      </c>
      <c r="D2018">
        <v>1.6795896460267659E-14</v>
      </c>
      <c r="E2018">
        <v>8.8786223878683901E-2</v>
      </c>
      <c r="F2018">
        <v>0.9256619032316562</v>
      </c>
      <c r="G2018">
        <v>28.22615859872344</v>
      </c>
      <c r="H2018">
        <v>1.2342377902911921</v>
      </c>
      <c r="I2018">
        <v>0.6569775631542546</v>
      </c>
      <c r="J2018">
        <v>0.30377945549661223</v>
      </c>
      <c r="K2018">
        <v>9.197272795521283E-2</v>
      </c>
      <c r="L2018">
        <v>0.2044754422599441</v>
      </c>
      <c r="M2018">
        <v>15</v>
      </c>
      <c r="N2018">
        <v>0</v>
      </c>
      <c r="O2018">
        <v>0</v>
      </c>
      <c r="P2018">
        <v>0.52049999999999996</v>
      </c>
      <c r="Q2018">
        <v>6.7500000000000004E-2</v>
      </c>
      <c r="R2018">
        <v>0</v>
      </c>
      <c r="S2018">
        <v>0.46929999999999999</v>
      </c>
      <c r="T2018">
        <v>0.52049999999999996</v>
      </c>
      <c r="U2018">
        <v>5</v>
      </c>
      <c r="V2018">
        <v>0</v>
      </c>
      <c r="W2018">
        <v>0</v>
      </c>
      <c r="X2018">
        <v>0</v>
      </c>
      <c r="Y2018">
        <v>0.50249999999999995</v>
      </c>
      <c r="Z2018">
        <v>0.8</v>
      </c>
    </row>
    <row r="2019" spans="1:26" x14ac:dyDescent="0.2">
      <c r="A2019" t="s">
        <v>173</v>
      </c>
      <c r="B2019">
        <v>2023</v>
      </c>
      <c r="C2019" t="str">
        <f t="shared" si="31"/>
        <v>TVT2023</v>
      </c>
      <c r="D2019">
        <v>-64436831705.132629</v>
      </c>
      <c r="E2019">
        <v>1.384776029709377E-2</v>
      </c>
      <c r="F2019">
        <v>0.60383768614832578</v>
      </c>
      <c r="G2019">
        <v>28.006920045634011</v>
      </c>
      <c r="H2019">
        <v>1.207314328947281</v>
      </c>
      <c r="I2019">
        <v>0.37095296835945168</v>
      </c>
      <c r="J2019">
        <v>-0.19686989386831599</v>
      </c>
      <c r="K2019">
        <v>5.7428029415330983E-2</v>
      </c>
      <c r="L2019">
        <v>0.27934922162199838</v>
      </c>
      <c r="M2019">
        <v>16</v>
      </c>
      <c r="N2019">
        <v>0</v>
      </c>
      <c r="O2019">
        <v>0</v>
      </c>
      <c r="P2019">
        <v>0.52049999999999996</v>
      </c>
      <c r="Q2019">
        <v>6.7500000000000004E-2</v>
      </c>
      <c r="R2019">
        <v>0</v>
      </c>
      <c r="S2019">
        <v>0.46929999999999999</v>
      </c>
      <c r="T2019">
        <v>0.52049999999999996</v>
      </c>
      <c r="U2019">
        <v>5</v>
      </c>
      <c r="V2019">
        <v>0</v>
      </c>
      <c r="W2019">
        <v>0</v>
      </c>
      <c r="X2019">
        <v>0</v>
      </c>
      <c r="Y2019">
        <v>0.50249999999999995</v>
      </c>
      <c r="Z2019">
        <v>0.8</v>
      </c>
    </row>
    <row r="2020" spans="1:26" x14ac:dyDescent="0.2">
      <c r="A2020" t="s">
        <v>174</v>
      </c>
      <c r="B2020">
        <v>2012</v>
      </c>
      <c r="C2020" t="str">
        <f t="shared" si="31"/>
        <v>TXM2012</v>
      </c>
      <c r="D2020">
        <v>1.2469874045957291E-13</v>
      </c>
      <c r="E2020">
        <v>4.4504782470221722E-2</v>
      </c>
      <c r="F2020">
        <v>0.57441125385653014</v>
      </c>
      <c r="G2020">
        <v>25.99815835778756</v>
      </c>
      <c r="H2020">
        <v>0.64870080854301038</v>
      </c>
      <c r="I2020">
        <v>0.45259079174243783</v>
      </c>
      <c r="J2020">
        <v>-0.3547524705534042</v>
      </c>
      <c r="K2020">
        <v>1.9230839121518919E-2</v>
      </c>
      <c r="L2020">
        <v>0.16791368305809851</v>
      </c>
      <c r="M2020">
        <v>6</v>
      </c>
      <c r="N2020">
        <v>0</v>
      </c>
      <c r="O2020">
        <v>0</v>
      </c>
      <c r="P2020">
        <v>0.61209999999999998</v>
      </c>
      <c r="Q2020">
        <v>7.1999999999999998E-3</v>
      </c>
      <c r="R2020">
        <v>0</v>
      </c>
      <c r="S2020">
        <v>0.5121</v>
      </c>
      <c r="T2020">
        <v>0.61209999999999998</v>
      </c>
      <c r="U2020">
        <v>4</v>
      </c>
      <c r="V2020">
        <v>0</v>
      </c>
      <c r="W2020">
        <v>0.25</v>
      </c>
      <c r="X2020">
        <v>0</v>
      </c>
      <c r="Y2020">
        <v>0.46129999999999999</v>
      </c>
      <c r="Z2020">
        <v>1</v>
      </c>
    </row>
    <row r="2021" spans="1:26" x14ac:dyDescent="0.2">
      <c r="A2021" t="s">
        <v>174</v>
      </c>
      <c r="B2021">
        <v>2013</v>
      </c>
      <c r="C2021" t="str">
        <f t="shared" si="31"/>
        <v>TXM2013</v>
      </c>
      <c r="D2021">
        <v>1.5933942913293051E-13</v>
      </c>
      <c r="E2021">
        <v>5.0659028338883347E-2</v>
      </c>
      <c r="F2021">
        <v>0.65219662908128406</v>
      </c>
      <c r="G2021">
        <v>25.953406093813701</v>
      </c>
      <c r="H2021">
        <v>1.8384959042989739</v>
      </c>
      <c r="I2021">
        <v>0.41239233208040299</v>
      </c>
      <c r="J2021">
        <v>-4.3765653811048133E-2</v>
      </c>
      <c r="K2021">
        <v>0.35156963146870462</v>
      </c>
      <c r="L2021">
        <v>0.17254084735881031</v>
      </c>
      <c r="M2021">
        <v>7</v>
      </c>
      <c r="N2021">
        <v>0</v>
      </c>
      <c r="O2021">
        <v>0</v>
      </c>
      <c r="P2021">
        <v>0.61209999999999998</v>
      </c>
      <c r="Q2021">
        <v>7.1999999999999998E-3</v>
      </c>
      <c r="R2021">
        <v>0</v>
      </c>
      <c r="S2021">
        <v>0.5121</v>
      </c>
      <c r="T2021">
        <v>0.61209999999999998</v>
      </c>
      <c r="U2021">
        <v>5</v>
      </c>
      <c r="V2021">
        <v>0</v>
      </c>
      <c r="W2021">
        <v>0</v>
      </c>
      <c r="X2021">
        <v>0</v>
      </c>
      <c r="Y2021">
        <v>0.4511</v>
      </c>
      <c r="Z2021">
        <v>1</v>
      </c>
    </row>
    <row r="2022" spans="1:26" x14ac:dyDescent="0.2">
      <c r="A2022" t="s">
        <v>174</v>
      </c>
      <c r="B2022">
        <v>2014</v>
      </c>
      <c r="C2022" t="str">
        <f t="shared" si="31"/>
        <v>TXM2014</v>
      </c>
      <c r="D2022">
        <v>2.121600903748356E-13</v>
      </c>
      <c r="E2022">
        <v>5.6772171650735448E-2</v>
      </c>
      <c r="F2022">
        <v>0.71351105296577488</v>
      </c>
      <c r="G2022">
        <v>25.88065356824324</v>
      </c>
      <c r="H2022">
        <v>2.0064853011861099</v>
      </c>
      <c r="I2022">
        <v>0.35083780916013091</v>
      </c>
      <c r="J2022">
        <v>-7.0169089070692303E-2</v>
      </c>
      <c r="K2022">
        <v>-0.15111321234243091</v>
      </c>
      <c r="L2022">
        <v>0.12536855460642279</v>
      </c>
      <c r="M2022">
        <v>8</v>
      </c>
      <c r="N2022">
        <v>0</v>
      </c>
      <c r="O2022">
        <v>0</v>
      </c>
      <c r="P2022">
        <v>0.61209999999999998</v>
      </c>
      <c r="Q2022">
        <v>7.1999999999999998E-3</v>
      </c>
      <c r="R2022">
        <v>0</v>
      </c>
      <c r="S2022">
        <v>0.5121</v>
      </c>
      <c r="T2022">
        <v>0.61209999999999998</v>
      </c>
      <c r="U2022">
        <v>5</v>
      </c>
      <c r="V2022">
        <v>0</v>
      </c>
      <c r="W2022">
        <v>0</v>
      </c>
      <c r="X2022">
        <v>0</v>
      </c>
      <c r="Y2022">
        <v>0.46110000000000001</v>
      </c>
      <c r="Z2022">
        <v>1</v>
      </c>
    </row>
    <row r="2023" spans="1:26" x14ac:dyDescent="0.2">
      <c r="A2023" t="s">
        <v>174</v>
      </c>
      <c r="B2023">
        <v>2015</v>
      </c>
      <c r="C2023" t="str">
        <f t="shared" si="31"/>
        <v>TXM2015</v>
      </c>
      <c r="D2023">
        <v>1.3177205009320249E-13</v>
      </c>
      <c r="E2023">
        <v>2.9530234824496598E-2</v>
      </c>
      <c r="F2023">
        <v>0.75433668804414322</v>
      </c>
      <c r="G2023">
        <v>25.790826255013759</v>
      </c>
      <c r="H2023">
        <v>2.492979441090895</v>
      </c>
      <c r="I2023">
        <v>0.29145093630515301</v>
      </c>
      <c r="J2023">
        <v>-8.5910977276085432E-2</v>
      </c>
      <c r="K2023">
        <v>-7.7969770585258932E-2</v>
      </c>
      <c r="L2023">
        <v>0.1410653428254631</v>
      </c>
      <c r="M2023">
        <v>9</v>
      </c>
      <c r="N2023">
        <v>0</v>
      </c>
      <c r="O2023">
        <v>0</v>
      </c>
      <c r="P2023">
        <v>0.71210000000000007</v>
      </c>
      <c r="Q2023">
        <v>7.1999999999999998E-3</v>
      </c>
      <c r="R2023">
        <v>0.1</v>
      </c>
      <c r="S2023">
        <v>0.5121</v>
      </c>
      <c r="T2023">
        <v>0.71210000000000007</v>
      </c>
      <c r="U2023">
        <v>5</v>
      </c>
      <c r="V2023">
        <v>0</v>
      </c>
      <c r="W2023">
        <v>0</v>
      </c>
      <c r="X2023">
        <v>0</v>
      </c>
      <c r="Y2023">
        <v>0.4622</v>
      </c>
      <c r="Z2023">
        <v>1</v>
      </c>
    </row>
    <row r="2024" spans="1:26" x14ac:dyDescent="0.2">
      <c r="A2024" t="s">
        <v>174</v>
      </c>
      <c r="B2024">
        <v>2016</v>
      </c>
      <c r="C2024" t="str">
        <f t="shared" si="31"/>
        <v>TXM2016</v>
      </c>
      <c r="D2024">
        <v>2.9651405397647231E-13</v>
      </c>
      <c r="E2024">
        <v>8.5079597908419444E-2</v>
      </c>
      <c r="F2024">
        <v>0.64601204312453264</v>
      </c>
      <c r="G2024">
        <v>25.9442507546234</v>
      </c>
      <c r="H2024">
        <v>2.9470986371277981</v>
      </c>
      <c r="I2024">
        <v>0.35484392111177537</v>
      </c>
      <c r="J2024">
        <v>0.16581976395199871</v>
      </c>
      <c r="K2024">
        <v>7.4446972982496654E-2</v>
      </c>
      <c r="L2024">
        <v>0.1248025720327912</v>
      </c>
      <c r="M2024">
        <v>10</v>
      </c>
      <c r="N2024">
        <v>0</v>
      </c>
      <c r="O2024">
        <v>0</v>
      </c>
      <c r="P2024">
        <v>0.74309999999999998</v>
      </c>
      <c r="Q2024">
        <v>4.0000000000000002E-4</v>
      </c>
      <c r="R2024">
        <v>0.13100000000000001</v>
      </c>
      <c r="S2024">
        <v>0.5121</v>
      </c>
      <c r="T2024">
        <v>0.74309999999999998</v>
      </c>
      <c r="U2024">
        <v>5</v>
      </c>
      <c r="V2024">
        <v>0</v>
      </c>
      <c r="W2024">
        <v>0</v>
      </c>
      <c r="X2024">
        <v>0</v>
      </c>
      <c r="Y2024">
        <v>0.45100000000000001</v>
      </c>
      <c r="Z2024">
        <v>1</v>
      </c>
    </row>
    <row r="2025" spans="1:26" x14ac:dyDescent="0.2">
      <c r="A2025" t="s">
        <v>174</v>
      </c>
      <c r="B2025">
        <v>2017</v>
      </c>
      <c r="C2025" t="str">
        <f t="shared" si="31"/>
        <v>TXM2017</v>
      </c>
      <c r="D2025">
        <v>2.0701203785561959E-13</v>
      </c>
      <c r="E2025">
        <v>6.7631659794691323E-2</v>
      </c>
      <c r="F2025">
        <v>0.75966555608218334</v>
      </c>
      <c r="G2025">
        <v>26.017150212387381</v>
      </c>
      <c r="H2025">
        <v>2.4654138427810688</v>
      </c>
      <c r="I2025">
        <v>0.39053281556203712</v>
      </c>
      <c r="J2025">
        <v>7.5622385998121988E-2</v>
      </c>
      <c r="K2025">
        <v>-0.28342958867109241</v>
      </c>
      <c r="L2025">
        <v>8.6032583896265193E-3</v>
      </c>
      <c r="M2025">
        <v>11</v>
      </c>
      <c r="N2025">
        <v>0</v>
      </c>
      <c r="O2025">
        <v>0</v>
      </c>
      <c r="P2025">
        <v>0.76139999999999997</v>
      </c>
      <c r="Q2025">
        <v>4.0000000000000002E-4</v>
      </c>
      <c r="R2025">
        <v>0.14929999999999999</v>
      </c>
      <c r="S2025">
        <v>0.5121</v>
      </c>
      <c r="T2025">
        <v>0.76139999999999997</v>
      </c>
      <c r="U2025">
        <v>5</v>
      </c>
      <c r="V2025">
        <v>0</v>
      </c>
      <c r="W2025">
        <v>0</v>
      </c>
      <c r="X2025">
        <v>0</v>
      </c>
      <c r="Y2025">
        <v>0.46100000000000002</v>
      </c>
      <c r="Z2025">
        <v>1</v>
      </c>
    </row>
    <row r="2026" spans="1:26" x14ac:dyDescent="0.2">
      <c r="A2026" t="s">
        <v>174</v>
      </c>
      <c r="B2026">
        <v>2018</v>
      </c>
      <c r="C2026" t="str">
        <f t="shared" si="31"/>
        <v>TXM2018</v>
      </c>
      <c r="D2026">
        <v>4.9232093298305142E-14</v>
      </c>
      <c r="E2026">
        <v>1.0319623672544661E-2</v>
      </c>
      <c r="F2026">
        <v>0.61462364186693885</v>
      </c>
      <c r="G2026">
        <v>25.77322836481089</v>
      </c>
      <c r="H2026">
        <v>2.53800419351388</v>
      </c>
      <c r="I2026">
        <v>0.25568751902554099</v>
      </c>
      <c r="J2026">
        <v>-0.21645113188697701</v>
      </c>
      <c r="K2026">
        <v>0.1107946928243871</v>
      </c>
      <c r="L2026">
        <v>8.8921577258000307E-3</v>
      </c>
      <c r="M2026">
        <v>12</v>
      </c>
      <c r="N2026">
        <v>0</v>
      </c>
      <c r="O2026">
        <v>0</v>
      </c>
      <c r="P2026">
        <v>0.7641</v>
      </c>
      <c r="Q2026">
        <v>4.0000000000000002E-4</v>
      </c>
      <c r="R2026">
        <v>0.152</v>
      </c>
      <c r="S2026">
        <v>0.5121</v>
      </c>
      <c r="T2026">
        <v>0.7641</v>
      </c>
      <c r="U2026">
        <v>5</v>
      </c>
      <c r="V2026">
        <v>0</v>
      </c>
      <c r="W2026">
        <v>0</v>
      </c>
      <c r="X2026">
        <v>0</v>
      </c>
      <c r="Y2026">
        <v>0.46600000000000003</v>
      </c>
      <c r="Z2026">
        <v>1</v>
      </c>
    </row>
    <row r="2027" spans="1:26" x14ac:dyDescent="0.2">
      <c r="A2027" t="s">
        <v>174</v>
      </c>
      <c r="B2027">
        <v>2019</v>
      </c>
      <c r="C2027" t="str">
        <f t="shared" si="31"/>
        <v>TXM2019</v>
      </c>
      <c r="D2027">
        <v>4.6524343591205868E-14</v>
      </c>
      <c r="E2027">
        <v>7.9617650450179833E-3</v>
      </c>
      <c r="F2027">
        <v>0.33859455229864438</v>
      </c>
      <c r="G2027">
        <v>25.67832889017205</v>
      </c>
      <c r="H2027">
        <v>3.875694139897734</v>
      </c>
      <c r="I2027">
        <v>0.17086081812983389</v>
      </c>
      <c r="J2027">
        <v>-9.0535645894182282E-2</v>
      </c>
      <c r="K2027">
        <v>7.1352769220065365E-2</v>
      </c>
      <c r="L2027">
        <v>1.063935757339155E-2</v>
      </c>
      <c r="M2027">
        <v>13</v>
      </c>
      <c r="N2027">
        <v>0</v>
      </c>
      <c r="O2027">
        <v>1</v>
      </c>
      <c r="P2027">
        <v>0.78010000000000002</v>
      </c>
      <c r="Q2027">
        <v>4.0000000000000002E-4</v>
      </c>
      <c r="R2027">
        <v>0.16800000000000001</v>
      </c>
      <c r="S2027">
        <v>0.5121</v>
      </c>
      <c r="T2027">
        <v>0.78010000000000002</v>
      </c>
      <c r="U2027">
        <v>5</v>
      </c>
      <c r="V2027">
        <v>0</v>
      </c>
      <c r="W2027">
        <v>0</v>
      </c>
      <c r="X2027">
        <v>0</v>
      </c>
      <c r="Y2027">
        <v>0.47599999999999998</v>
      </c>
      <c r="Z2027">
        <v>1</v>
      </c>
    </row>
    <row r="2028" spans="1:26" x14ac:dyDescent="0.2">
      <c r="A2028" t="s">
        <v>174</v>
      </c>
      <c r="B2028">
        <v>2020</v>
      </c>
      <c r="C2028" t="str">
        <f t="shared" si="31"/>
        <v>TXM2020</v>
      </c>
      <c r="D2028">
        <v>1.8738850668674589E-14</v>
      </c>
      <c r="E2028">
        <v>2.9997124284159089E-3</v>
      </c>
      <c r="F2028">
        <v>0.4576550832891117</v>
      </c>
      <c r="G2028">
        <v>25.637294975119289</v>
      </c>
      <c r="H2028">
        <v>5.7904477647696373</v>
      </c>
      <c r="I2028">
        <v>0.14925566388133879</v>
      </c>
      <c r="J2028">
        <v>-4.0203422155781543E-2</v>
      </c>
      <c r="K2028">
        <v>0.13292631906750721</v>
      </c>
      <c r="L2028">
        <v>8.5604989644190808E-3</v>
      </c>
      <c r="M2028">
        <v>14</v>
      </c>
      <c r="N2028">
        <v>0</v>
      </c>
      <c r="O2028">
        <v>1</v>
      </c>
      <c r="P2028">
        <v>0.70109999999999995</v>
      </c>
      <c r="Q2028">
        <v>4.0000000000000002E-4</v>
      </c>
      <c r="R2028">
        <v>0</v>
      </c>
      <c r="S2028">
        <v>0.5121</v>
      </c>
      <c r="T2028">
        <v>0.61209999999999998</v>
      </c>
      <c r="U2028">
        <v>5</v>
      </c>
      <c r="V2028">
        <v>0</v>
      </c>
      <c r="W2028">
        <v>0</v>
      </c>
      <c r="X2028">
        <v>0</v>
      </c>
      <c r="Y2028">
        <v>0.49099999999999999</v>
      </c>
      <c r="Z2028">
        <v>1</v>
      </c>
    </row>
    <row r="2029" spans="1:26" x14ac:dyDescent="0.2">
      <c r="A2029" t="s">
        <v>174</v>
      </c>
      <c r="B2029">
        <v>2021</v>
      </c>
      <c r="C2029" t="str">
        <f t="shared" si="31"/>
        <v>TXM2021</v>
      </c>
      <c r="D2029">
        <v>3.410347568508415E-16</v>
      </c>
      <c r="E2029">
        <v>7.7401563921119328E-5</v>
      </c>
      <c r="F2029">
        <v>0.662667568752771</v>
      </c>
      <c r="G2029">
        <v>25.81038411981886</v>
      </c>
      <c r="H2029">
        <v>6.6425586490559922</v>
      </c>
      <c r="I2029">
        <v>0.28656188758801099</v>
      </c>
      <c r="J2029">
        <v>0.18897209091977449</v>
      </c>
      <c r="K2029">
        <v>-0.28205347896499361</v>
      </c>
      <c r="L2029">
        <v>6.520635793687812E-3</v>
      </c>
      <c r="M2029">
        <v>15</v>
      </c>
      <c r="N2029">
        <v>0</v>
      </c>
      <c r="O2029">
        <v>0</v>
      </c>
      <c r="P2029">
        <v>0.61209999999999998</v>
      </c>
      <c r="Q2029">
        <v>0.22839999999999999</v>
      </c>
      <c r="R2029">
        <v>0</v>
      </c>
      <c r="S2029">
        <v>0.5121</v>
      </c>
      <c r="T2029">
        <v>0.61209999999999998</v>
      </c>
      <c r="U2029">
        <v>7</v>
      </c>
      <c r="V2029">
        <v>0</v>
      </c>
      <c r="W2029">
        <v>0.2857142857142857</v>
      </c>
      <c r="X2029">
        <v>0</v>
      </c>
      <c r="Y2029">
        <v>0.4869</v>
      </c>
      <c r="Z2029">
        <v>1</v>
      </c>
    </row>
    <row r="2030" spans="1:26" x14ac:dyDescent="0.2">
      <c r="A2030" t="s">
        <v>174</v>
      </c>
      <c r="B2030">
        <v>2022</v>
      </c>
      <c r="C2030" t="str">
        <f t="shared" si="31"/>
        <v>TXM2022</v>
      </c>
      <c r="D2030">
        <v>4.5651986187601072E-16</v>
      </c>
      <c r="E2030">
        <v>1.53154977876095E-4</v>
      </c>
      <c r="F2030">
        <v>0.54114389023502329</v>
      </c>
      <c r="G2030">
        <v>26.005858473244022</v>
      </c>
      <c r="H2030">
        <v>3.4667423792037</v>
      </c>
      <c r="I2030">
        <v>0.41314691441916462</v>
      </c>
      <c r="J2030">
        <v>0.2158876101697032</v>
      </c>
      <c r="K2030">
        <v>-3.9397041285595687E-2</v>
      </c>
      <c r="L2030">
        <v>3.4424814987862708E-3</v>
      </c>
      <c r="M2030">
        <v>16</v>
      </c>
      <c r="N2030">
        <v>0</v>
      </c>
      <c r="O2030">
        <v>0</v>
      </c>
      <c r="P2030">
        <v>0.61209999999999998</v>
      </c>
      <c r="Q2030">
        <v>0.5121</v>
      </c>
      <c r="R2030">
        <v>0</v>
      </c>
      <c r="S2030">
        <v>0.5121</v>
      </c>
      <c r="T2030">
        <v>0.61209999999999998</v>
      </c>
      <c r="U2030">
        <v>5</v>
      </c>
      <c r="V2030">
        <v>0</v>
      </c>
      <c r="W2030">
        <v>0</v>
      </c>
      <c r="X2030">
        <v>0</v>
      </c>
      <c r="Y2030">
        <v>0.45779999999999998</v>
      </c>
      <c r="Z2030">
        <v>1</v>
      </c>
    </row>
    <row r="2031" spans="1:26" x14ac:dyDescent="0.2">
      <c r="A2031" t="s">
        <v>174</v>
      </c>
      <c r="B2031">
        <v>2023</v>
      </c>
      <c r="C2031" t="str">
        <f t="shared" si="31"/>
        <v>TXM2023</v>
      </c>
      <c r="D2031">
        <v>-8644729437.5416775</v>
      </c>
      <c r="E2031">
        <v>-3.6117839289733319E-2</v>
      </c>
      <c r="F2031">
        <v>0.28340298664448832</v>
      </c>
      <c r="G2031">
        <v>25.63141402162589</v>
      </c>
      <c r="H2031">
        <v>2.4121141504887071</v>
      </c>
      <c r="I2031">
        <v>4.5568845008405592E-2</v>
      </c>
      <c r="J2031">
        <v>-0.31232879268225772</v>
      </c>
      <c r="K2031">
        <v>0.1448501276208638</v>
      </c>
      <c r="L2031">
        <v>3.4029186079697019E-3</v>
      </c>
      <c r="M2031">
        <v>17</v>
      </c>
      <c r="N2031">
        <v>0</v>
      </c>
      <c r="O2031">
        <v>0</v>
      </c>
      <c r="P2031">
        <v>0.61209999999999998</v>
      </c>
      <c r="Q2031">
        <v>0.5121</v>
      </c>
      <c r="R2031">
        <v>0</v>
      </c>
      <c r="S2031">
        <v>0.5121</v>
      </c>
      <c r="T2031">
        <v>0.61209999999999998</v>
      </c>
      <c r="U2031">
        <v>5</v>
      </c>
      <c r="V2031">
        <v>0</v>
      </c>
      <c r="W2031">
        <v>0</v>
      </c>
      <c r="X2031">
        <v>0</v>
      </c>
      <c r="Y2031">
        <v>0.45779999999999998</v>
      </c>
      <c r="Z2031">
        <v>1</v>
      </c>
    </row>
    <row r="2032" spans="1:26" x14ac:dyDescent="0.2">
      <c r="A2032" t="s">
        <v>175</v>
      </c>
      <c r="B2032">
        <v>2012</v>
      </c>
      <c r="C2032" t="str">
        <f t="shared" si="31"/>
        <v>TYA2012</v>
      </c>
      <c r="D2032">
        <v>8.5558848196606563E-14</v>
      </c>
      <c r="E2032">
        <v>0.1237610630172689</v>
      </c>
      <c r="F2032">
        <v>0.72025014516956709</v>
      </c>
      <c r="G2032">
        <v>27.175027426558891</v>
      </c>
      <c r="H2032">
        <v>1.1768919142816781</v>
      </c>
      <c r="I2032">
        <v>0.56182725998395433</v>
      </c>
      <c r="J2032">
        <v>-5.593335362456376E-2</v>
      </c>
      <c r="K2032">
        <v>0.17304176041744501</v>
      </c>
      <c r="L2032">
        <v>0.22160924267816021</v>
      </c>
      <c r="M2032">
        <v>20</v>
      </c>
      <c r="N2032">
        <v>1</v>
      </c>
      <c r="O2032">
        <v>0</v>
      </c>
      <c r="P2032">
        <v>0.8</v>
      </c>
      <c r="Q2032">
        <v>8.0000000000000002E-3</v>
      </c>
      <c r="R2032">
        <v>0.8</v>
      </c>
      <c r="S2032">
        <v>0</v>
      </c>
      <c r="T2032">
        <v>0.8</v>
      </c>
      <c r="U2032">
        <v>5</v>
      </c>
      <c r="V2032">
        <v>0</v>
      </c>
      <c r="W2032">
        <v>0</v>
      </c>
      <c r="X2032">
        <v>0</v>
      </c>
      <c r="Y2032">
        <v>0.51900000000000002</v>
      </c>
      <c r="Z2032">
        <v>1</v>
      </c>
    </row>
    <row r="2033" spans="1:26" x14ac:dyDescent="0.2">
      <c r="A2033" t="s">
        <v>175</v>
      </c>
      <c r="B2033">
        <v>2013</v>
      </c>
      <c r="C2033" t="str">
        <f t="shared" si="31"/>
        <v>TYA2013</v>
      </c>
      <c r="D2033">
        <v>7.4808745438623568E-14</v>
      </c>
      <c r="E2033">
        <v>9.8585697663422012E-2</v>
      </c>
      <c r="F2033">
        <v>0.83602579571118374</v>
      </c>
      <c r="G2033">
        <v>27.180344091484141</v>
      </c>
      <c r="H2033">
        <v>1.370713989444577</v>
      </c>
      <c r="I2033">
        <v>0.51648281685147301</v>
      </c>
      <c r="J2033">
        <v>-0.17109128936870749</v>
      </c>
      <c r="K2033">
        <v>0.21524799528465741</v>
      </c>
      <c r="L2033">
        <v>0.12884830117961951</v>
      </c>
      <c r="M2033">
        <v>21</v>
      </c>
      <c r="N2033">
        <v>1</v>
      </c>
      <c r="O2033">
        <v>0</v>
      </c>
      <c r="P2033">
        <v>0.8</v>
      </c>
      <c r="Q2033">
        <v>8.0000000000000002E-3</v>
      </c>
      <c r="R2033">
        <v>0.8</v>
      </c>
      <c r="S2033">
        <v>0</v>
      </c>
      <c r="T2033">
        <v>0.8</v>
      </c>
      <c r="U2033">
        <v>7</v>
      </c>
      <c r="V2033">
        <v>0</v>
      </c>
      <c r="W2033">
        <v>0</v>
      </c>
      <c r="X2033">
        <v>0</v>
      </c>
      <c r="Y2033">
        <v>0.54830000000000001</v>
      </c>
      <c r="Z2033">
        <v>0.7142857142857143</v>
      </c>
    </row>
    <row r="2034" spans="1:26" x14ac:dyDescent="0.2">
      <c r="A2034" t="s">
        <v>175</v>
      </c>
      <c r="B2034">
        <v>2014</v>
      </c>
      <c r="C2034" t="str">
        <f t="shared" si="31"/>
        <v>TYA2014</v>
      </c>
      <c r="D2034">
        <v>8.5779210502742259E-14</v>
      </c>
      <c r="E2034">
        <v>0.12843994856912611</v>
      </c>
      <c r="F2034">
        <v>0.92432743050860278</v>
      </c>
      <c r="G2034">
        <v>27.312926042918999</v>
      </c>
      <c r="H2034">
        <v>1.3921613991970729</v>
      </c>
      <c r="I2034">
        <v>0.5141133275352876</v>
      </c>
      <c r="J2034">
        <v>0.3730082962431458</v>
      </c>
      <c r="K2034">
        <v>-1.1340743504471611E-2</v>
      </c>
      <c r="L2034">
        <v>0.15607200105189689</v>
      </c>
      <c r="M2034">
        <v>22</v>
      </c>
      <c r="N2034">
        <v>1</v>
      </c>
      <c r="O2034">
        <v>0</v>
      </c>
      <c r="P2034">
        <v>0.80040000000000011</v>
      </c>
      <c r="Q2034">
        <v>8.0000000000000002E-3</v>
      </c>
      <c r="R2034">
        <v>0.80040000000000011</v>
      </c>
      <c r="S2034">
        <v>0</v>
      </c>
      <c r="T2034">
        <v>0.80040000000000011</v>
      </c>
      <c r="U2034">
        <v>7</v>
      </c>
      <c r="V2034">
        <v>0</v>
      </c>
      <c r="W2034">
        <v>0</v>
      </c>
      <c r="X2034">
        <v>0</v>
      </c>
      <c r="Y2034">
        <v>0.55830000000000002</v>
      </c>
      <c r="Z2034">
        <v>0.7142857142857143</v>
      </c>
    </row>
    <row r="2035" spans="1:26" x14ac:dyDescent="0.2">
      <c r="A2035" t="s">
        <v>175</v>
      </c>
      <c r="B2035">
        <v>2015</v>
      </c>
      <c r="C2035" t="str">
        <f t="shared" si="31"/>
        <v>TYA2015</v>
      </c>
      <c r="D2035">
        <v>1.043758286570358E-13</v>
      </c>
      <c r="E2035">
        <v>0.1615187692744727</v>
      </c>
      <c r="F2035">
        <v>0.83516448620512884</v>
      </c>
      <c r="G2035">
        <v>27.374600445499539</v>
      </c>
      <c r="H2035">
        <v>1.644477207614065</v>
      </c>
      <c r="I2035">
        <v>0.49994835824737921</v>
      </c>
      <c r="J2035">
        <v>7.2737829333516135E-2</v>
      </c>
      <c r="K2035">
        <v>7.9369291698718009E-2</v>
      </c>
      <c r="L2035">
        <v>0.13542628281320071</v>
      </c>
      <c r="M2035">
        <v>23</v>
      </c>
      <c r="N2035">
        <v>1</v>
      </c>
      <c r="O2035">
        <v>0</v>
      </c>
      <c r="P2035">
        <v>0.80040000000000011</v>
      </c>
      <c r="Q2035">
        <v>8.6E-3</v>
      </c>
      <c r="R2035">
        <v>0.80040000000000011</v>
      </c>
      <c r="S2035">
        <v>0</v>
      </c>
      <c r="T2035">
        <v>0.80040000000000011</v>
      </c>
      <c r="U2035">
        <v>7</v>
      </c>
      <c r="V2035">
        <v>0</v>
      </c>
      <c r="W2035">
        <v>0</v>
      </c>
      <c r="X2035">
        <v>0</v>
      </c>
      <c r="Y2035">
        <v>0.56830000000000003</v>
      </c>
      <c r="Z2035">
        <v>0.7142857142857143</v>
      </c>
    </row>
    <row r="2036" spans="1:26" x14ac:dyDescent="0.2">
      <c r="A2036" t="s">
        <v>175</v>
      </c>
      <c r="B2036">
        <v>2016</v>
      </c>
      <c r="C2036" t="str">
        <f t="shared" si="31"/>
        <v>TYA2016</v>
      </c>
      <c r="D2036">
        <v>1.271617237075289E-13</v>
      </c>
      <c r="E2036">
        <v>0.1228748539900779</v>
      </c>
      <c r="F2036">
        <v>0.88388959864011007</v>
      </c>
      <c r="G2036">
        <v>27.152143861913189</v>
      </c>
      <c r="H2036">
        <v>1.7188410867899531</v>
      </c>
      <c r="I2036">
        <v>0.35890905537075452</v>
      </c>
      <c r="J2036">
        <v>-7.2947608579662093E-2</v>
      </c>
      <c r="K2036">
        <v>5.3708456417047343E-2</v>
      </c>
      <c r="L2036">
        <v>0.1455936571028689</v>
      </c>
      <c r="M2036">
        <v>24</v>
      </c>
      <c r="N2036">
        <v>1</v>
      </c>
      <c r="O2036">
        <v>0</v>
      </c>
      <c r="P2036">
        <v>0.80040000000000011</v>
      </c>
      <c r="Q2036">
        <v>8.6E-3</v>
      </c>
      <c r="R2036">
        <v>0.80040000000000011</v>
      </c>
      <c r="S2036">
        <v>0</v>
      </c>
      <c r="T2036">
        <v>0.80040000000000011</v>
      </c>
      <c r="U2036">
        <v>7</v>
      </c>
      <c r="V2036">
        <v>0</v>
      </c>
      <c r="W2036">
        <v>0</v>
      </c>
      <c r="X2036">
        <v>0</v>
      </c>
      <c r="Y2036">
        <v>0.57830000000000004</v>
      </c>
      <c r="Z2036">
        <v>0.7142857142857143</v>
      </c>
    </row>
    <row r="2037" spans="1:26" x14ac:dyDescent="0.2">
      <c r="A2037" t="s">
        <v>175</v>
      </c>
      <c r="B2037">
        <v>2017</v>
      </c>
      <c r="C2037" t="str">
        <f t="shared" si="31"/>
        <v>TYA2017</v>
      </c>
      <c r="D2037">
        <v>9.2891821794891112E-14</v>
      </c>
      <c r="E2037">
        <v>0.1527802836068608</v>
      </c>
      <c r="F2037">
        <v>0.85171048869916488</v>
      </c>
      <c r="G2037">
        <v>27.499647103766669</v>
      </c>
      <c r="H2037">
        <v>2.148192232301843</v>
      </c>
      <c r="I2037">
        <v>0.46684294556167227</v>
      </c>
      <c r="J2037">
        <v>0.22237031642549149</v>
      </c>
      <c r="K2037">
        <v>-7.5580543617816978E-2</v>
      </c>
      <c r="L2037">
        <v>0.12015531794280861</v>
      </c>
      <c r="M2037">
        <v>25</v>
      </c>
      <c r="N2037">
        <v>1</v>
      </c>
      <c r="O2037">
        <v>0</v>
      </c>
      <c r="P2037">
        <v>0.80040000000000011</v>
      </c>
      <c r="Q2037">
        <v>9.1999999999999998E-3</v>
      </c>
      <c r="R2037">
        <v>0.80040000000000011</v>
      </c>
      <c r="S2037">
        <v>0</v>
      </c>
      <c r="T2037">
        <v>0.80040000000000011</v>
      </c>
      <c r="U2037">
        <v>7</v>
      </c>
      <c r="V2037">
        <v>0</v>
      </c>
      <c r="W2037">
        <v>0</v>
      </c>
      <c r="X2037">
        <v>0</v>
      </c>
      <c r="Y2037">
        <v>0.60170000000000001</v>
      </c>
      <c r="Z2037">
        <v>0.7142857142857143</v>
      </c>
    </row>
    <row r="2038" spans="1:26" x14ac:dyDescent="0.2">
      <c r="A2038" t="s">
        <v>175</v>
      </c>
      <c r="B2038">
        <v>2018</v>
      </c>
      <c r="C2038" t="str">
        <f t="shared" si="31"/>
        <v>TYA2018</v>
      </c>
      <c r="D2038">
        <v>9.5999188427040551E-14</v>
      </c>
      <c r="E2038">
        <v>0.1416474797821865</v>
      </c>
      <c r="F2038">
        <v>0.85484322545712288</v>
      </c>
      <c r="G2038">
        <v>27.421850489289501</v>
      </c>
      <c r="H2038">
        <v>1.8760776911663599</v>
      </c>
      <c r="I2038">
        <v>0.45018439650584863</v>
      </c>
      <c r="J2038">
        <v>-7.4847429950780087E-2</v>
      </c>
      <c r="K2038">
        <v>0.13536603756999849</v>
      </c>
      <c r="L2038">
        <v>0.1239670459272227</v>
      </c>
      <c r="M2038">
        <v>26</v>
      </c>
      <c r="N2038">
        <v>1</v>
      </c>
      <c r="O2038">
        <v>0</v>
      </c>
      <c r="P2038">
        <v>0.80040000000000011</v>
      </c>
      <c r="Q2038">
        <v>1.06E-2</v>
      </c>
      <c r="R2038">
        <v>0.80040000000000011</v>
      </c>
      <c r="S2038">
        <v>0</v>
      </c>
      <c r="T2038">
        <v>0.80040000000000011</v>
      </c>
      <c r="U2038">
        <v>7</v>
      </c>
      <c r="V2038">
        <v>0</v>
      </c>
      <c r="W2038">
        <v>0</v>
      </c>
      <c r="X2038">
        <v>0</v>
      </c>
      <c r="Y2038">
        <v>0.61170000000000002</v>
      </c>
      <c r="Z2038">
        <v>0.7142857142857143</v>
      </c>
    </row>
    <row r="2039" spans="1:26" x14ac:dyDescent="0.2">
      <c r="A2039" t="s">
        <v>175</v>
      </c>
      <c r="B2039">
        <v>2019</v>
      </c>
      <c r="C2039" t="str">
        <f t="shared" si="31"/>
        <v>TYA2019</v>
      </c>
      <c r="D2039">
        <v>1.064992430203794E-13</v>
      </c>
      <c r="E2039">
        <v>0.18570431008611479</v>
      </c>
      <c r="F2039">
        <v>0.94576843403943056</v>
      </c>
      <c r="G2039">
        <v>27.541103006049479</v>
      </c>
      <c r="H2039">
        <v>1.937395296807453</v>
      </c>
      <c r="I2039">
        <v>0.47582826540329343</v>
      </c>
      <c r="J2039">
        <v>0.1266543814850023</v>
      </c>
      <c r="K2039">
        <v>-6.5157702939161427E-2</v>
      </c>
      <c r="L2039">
        <v>0.12163375568434411</v>
      </c>
      <c r="M2039">
        <v>27</v>
      </c>
      <c r="N2039">
        <v>1</v>
      </c>
      <c r="O2039">
        <v>1</v>
      </c>
      <c r="P2039">
        <v>0.80040000000000011</v>
      </c>
      <c r="Q2039">
        <v>1.17E-2</v>
      </c>
      <c r="R2039">
        <v>0.80040000000000011</v>
      </c>
      <c r="S2039">
        <v>0</v>
      </c>
      <c r="T2039">
        <v>0.80040000000000011</v>
      </c>
      <c r="U2039">
        <v>8</v>
      </c>
      <c r="V2039">
        <v>0</v>
      </c>
      <c r="W2039">
        <v>0</v>
      </c>
      <c r="X2039">
        <v>0</v>
      </c>
      <c r="Y2039">
        <v>0.62539999999999996</v>
      </c>
      <c r="Z2039">
        <v>0.75</v>
      </c>
    </row>
    <row r="2040" spans="1:26" x14ac:dyDescent="0.2">
      <c r="A2040" t="s">
        <v>175</v>
      </c>
      <c r="B2040">
        <v>2020</v>
      </c>
      <c r="C2040" t="str">
        <f t="shared" si="31"/>
        <v>TYA2020</v>
      </c>
      <c r="D2040">
        <v>8.9828461574708886E-14</v>
      </c>
      <c r="E2040">
        <v>0.14966366216585261</v>
      </c>
      <c r="F2040">
        <v>1.0043923618375441</v>
      </c>
      <c r="G2040">
        <v>27.5169486560482</v>
      </c>
      <c r="H2040">
        <v>1.8292530464420149</v>
      </c>
      <c r="I2040">
        <v>0.4645036017137103</v>
      </c>
      <c r="J2040">
        <v>-2.3864968313756729E-2</v>
      </c>
      <c r="K2040">
        <v>0.1776514126197703</v>
      </c>
      <c r="L2040">
        <v>0.1146457974007251</v>
      </c>
      <c r="M2040">
        <v>28</v>
      </c>
      <c r="N2040">
        <v>1</v>
      </c>
      <c r="O2040">
        <v>1</v>
      </c>
      <c r="P2040">
        <v>0.80040000000000011</v>
      </c>
      <c r="Q2040">
        <v>1.3100000000000001E-2</v>
      </c>
      <c r="R2040">
        <v>0.80040000000000011</v>
      </c>
      <c r="S2040">
        <v>0</v>
      </c>
      <c r="T2040">
        <v>0.80040000000000011</v>
      </c>
      <c r="U2040">
        <v>8</v>
      </c>
      <c r="V2040">
        <v>0</v>
      </c>
      <c r="W2040">
        <v>0</v>
      </c>
      <c r="X2040">
        <v>0</v>
      </c>
      <c r="Y2040">
        <v>0.63149999999999995</v>
      </c>
      <c r="Z2040">
        <v>0.75</v>
      </c>
    </row>
    <row r="2041" spans="1:26" x14ac:dyDescent="0.2">
      <c r="A2041" t="s">
        <v>175</v>
      </c>
      <c r="B2041">
        <v>2021</v>
      </c>
      <c r="C2041" t="str">
        <f t="shared" si="31"/>
        <v>TYA2021</v>
      </c>
      <c r="D2041">
        <v>4.530211260554636E-14</v>
      </c>
      <c r="E2041">
        <v>0.13690690802047181</v>
      </c>
      <c r="F2041">
        <v>1.0694904191778789</v>
      </c>
      <c r="G2041">
        <v>27.82653465704119</v>
      </c>
      <c r="H2041">
        <v>1.8992774873555689</v>
      </c>
      <c r="I2041">
        <v>0.59765042672113888</v>
      </c>
      <c r="J2041">
        <v>0.36286077431491659</v>
      </c>
      <c r="K2041">
        <v>-0.15461418722235351</v>
      </c>
      <c r="L2041">
        <v>8.0070712642148295E-2</v>
      </c>
      <c r="M2041">
        <v>29</v>
      </c>
      <c r="N2041">
        <v>1</v>
      </c>
      <c r="O2041">
        <v>0</v>
      </c>
      <c r="P2041">
        <v>0.80040000000000011</v>
      </c>
      <c r="Q2041">
        <v>1.4200000000000001E-2</v>
      </c>
      <c r="R2041">
        <v>0.80040000000000011</v>
      </c>
      <c r="S2041">
        <v>0</v>
      </c>
      <c r="T2041">
        <v>0.80040000000000011</v>
      </c>
      <c r="U2041">
        <v>8</v>
      </c>
      <c r="V2041">
        <v>0</v>
      </c>
      <c r="W2041">
        <v>0</v>
      </c>
      <c r="X2041">
        <v>0</v>
      </c>
      <c r="Y2041">
        <v>0.61209999999999998</v>
      </c>
      <c r="Z2041">
        <v>0.75</v>
      </c>
    </row>
    <row r="2042" spans="1:26" x14ac:dyDescent="0.2">
      <c r="A2042" t="s">
        <v>175</v>
      </c>
      <c r="B2042">
        <v>2022</v>
      </c>
      <c r="C2042" t="str">
        <f t="shared" si="31"/>
        <v>TYA2022</v>
      </c>
      <c r="D2042">
        <v>2.9112850207707922E-14</v>
      </c>
      <c r="E2042">
        <v>6.4957840285538471E-2</v>
      </c>
      <c r="F2042">
        <v>0.89071224400006233</v>
      </c>
      <c r="G2042">
        <v>27.677520696220231</v>
      </c>
      <c r="H2042">
        <v>1.5344217585739</v>
      </c>
      <c r="I2042">
        <v>0.53048695862975637</v>
      </c>
      <c r="J2042">
        <v>-0.1384429132292366</v>
      </c>
      <c r="K2042">
        <v>0.11496231048872139</v>
      </c>
      <c r="L2042">
        <v>8.1579562707238054E-2</v>
      </c>
      <c r="M2042">
        <v>30</v>
      </c>
      <c r="N2042">
        <v>1</v>
      </c>
      <c r="O2042">
        <v>0</v>
      </c>
      <c r="P2042">
        <v>0.80040000000000011</v>
      </c>
      <c r="Q2042">
        <v>1.49E-2</v>
      </c>
      <c r="R2042">
        <v>0.80040000000000011</v>
      </c>
      <c r="S2042">
        <v>0</v>
      </c>
      <c r="T2042">
        <v>0.80040000000000011</v>
      </c>
      <c r="U2042">
        <v>8</v>
      </c>
      <c r="V2042">
        <v>0</v>
      </c>
      <c r="W2042">
        <v>0</v>
      </c>
      <c r="X2042">
        <v>0</v>
      </c>
      <c r="Y2042">
        <v>0.62860000000000005</v>
      </c>
      <c r="Z2042">
        <v>0.75</v>
      </c>
    </row>
    <row r="2043" spans="1:26" x14ac:dyDescent="0.2">
      <c r="A2043" t="s">
        <v>175</v>
      </c>
      <c r="B2043">
        <v>2023</v>
      </c>
      <c r="C2043" t="str">
        <f t="shared" si="31"/>
        <v>TYA2023</v>
      </c>
      <c r="D2043">
        <v>-2996201520694.333</v>
      </c>
      <c r="E2043">
        <v>1.7502063696850419E-3</v>
      </c>
      <c r="F2043">
        <v>0.74804608343055823</v>
      </c>
      <c r="G2043">
        <v>27.585335964500391</v>
      </c>
      <c r="H2043">
        <v>1.7232064421990769</v>
      </c>
      <c r="I2043">
        <v>0.4250657561967493</v>
      </c>
      <c r="J2043">
        <v>-8.806332964565966E-2</v>
      </c>
      <c r="K2043">
        <v>0.19483878071832719</v>
      </c>
      <c r="L2043">
        <v>8.2964837884164561E-2</v>
      </c>
      <c r="M2043">
        <v>31</v>
      </c>
      <c r="N2043">
        <v>0</v>
      </c>
      <c r="O2043">
        <v>0</v>
      </c>
      <c r="P2043">
        <v>0.80040000000000011</v>
      </c>
      <c r="Q2043">
        <v>1.49E-2</v>
      </c>
      <c r="R2043">
        <v>0.80040000000000011</v>
      </c>
      <c r="S2043">
        <v>0</v>
      </c>
      <c r="T2043">
        <v>0.80040000000000011</v>
      </c>
      <c r="U2043">
        <v>8</v>
      </c>
      <c r="V2043">
        <v>0</v>
      </c>
      <c r="W2043">
        <v>0</v>
      </c>
      <c r="X2043">
        <v>0</v>
      </c>
      <c r="Y2043">
        <v>0.62860000000000005</v>
      </c>
      <c r="Z2043">
        <v>0.75</v>
      </c>
    </row>
    <row r="2044" spans="1:26" x14ac:dyDescent="0.2">
      <c r="A2044" t="s">
        <v>176</v>
      </c>
      <c r="B2044">
        <v>2014</v>
      </c>
      <c r="C2044" t="str">
        <f t="shared" si="31"/>
        <v>VAF2014</v>
      </c>
      <c r="D2044">
        <v>1.7215543189268741E-13</v>
      </c>
      <c r="E2044">
        <v>0.18653001347501161</v>
      </c>
      <c r="F2044">
        <v>0.82927427273810095</v>
      </c>
      <c r="G2044">
        <v>27.279386535444772</v>
      </c>
      <c r="H2044" t="e">
        <v>#N/A</v>
      </c>
      <c r="I2044">
        <v>0.35067959527897802</v>
      </c>
      <c r="J2044">
        <v>0</v>
      </c>
      <c r="K2044">
        <v>8.4174220817833739E-2</v>
      </c>
      <c r="L2044">
        <v>0.1076291445867622</v>
      </c>
      <c r="M2044">
        <v>54</v>
      </c>
      <c r="N2044">
        <v>0</v>
      </c>
      <c r="O2044">
        <v>0</v>
      </c>
      <c r="P2044">
        <v>0.8206</v>
      </c>
      <c r="Q2044">
        <v>4.0000000000000002E-4</v>
      </c>
      <c r="R2044">
        <v>0</v>
      </c>
      <c r="S2044">
        <v>0.67059999999999997</v>
      </c>
      <c r="T2044">
        <v>0.8206</v>
      </c>
      <c r="U2044">
        <v>5</v>
      </c>
      <c r="V2044">
        <v>0</v>
      </c>
      <c r="W2044">
        <v>0.4</v>
      </c>
      <c r="X2044">
        <v>0</v>
      </c>
      <c r="Y2044">
        <v>0.4355</v>
      </c>
      <c r="Z2044">
        <v>1</v>
      </c>
    </row>
    <row r="2045" spans="1:26" x14ac:dyDescent="0.2">
      <c r="A2045" t="s">
        <v>176</v>
      </c>
      <c r="B2045">
        <v>2015</v>
      </c>
      <c r="C2045" t="str">
        <f t="shared" si="31"/>
        <v>VAF2015</v>
      </c>
      <c r="D2045">
        <v>1.2673457007334511E-13</v>
      </c>
      <c r="E2045">
        <v>0.13909004480384859</v>
      </c>
      <c r="F2045">
        <v>1.073741368283375</v>
      </c>
      <c r="G2045">
        <v>27.29857157349311</v>
      </c>
      <c r="H2045">
        <v>2.523965686981454</v>
      </c>
      <c r="I2045">
        <v>0.34654144647771079</v>
      </c>
      <c r="J2045">
        <v>1.937025344956567E-2</v>
      </c>
      <c r="K2045">
        <v>7.8924234683604544E-2</v>
      </c>
      <c r="L2045">
        <v>0.15057384503584889</v>
      </c>
      <c r="M2045">
        <v>55</v>
      </c>
      <c r="N2045">
        <v>0</v>
      </c>
      <c r="O2045">
        <v>0</v>
      </c>
      <c r="P2045">
        <v>0.8206</v>
      </c>
      <c r="Q2045">
        <v>7.000000000000001E-4</v>
      </c>
      <c r="R2045">
        <v>0</v>
      </c>
      <c r="S2045">
        <v>0.67059999999999997</v>
      </c>
      <c r="T2045">
        <v>0.8206</v>
      </c>
      <c r="U2045">
        <v>5</v>
      </c>
      <c r="V2045">
        <v>0</v>
      </c>
      <c r="W2045">
        <v>0.4</v>
      </c>
      <c r="X2045">
        <v>0</v>
      </c>
      <c r="Y2045">
        <v>0.44550000000000001</v>
      </c>
      <c r="Z2045">
        <v>1</v>
      </c>
    </row>
    <row r="2046" spans="1:26" x14ac:dyDescent="0.2">
      <c r="A2046" t="s">
        <v>176</v>
      </c>
      <c r="B2046">
        <v>2016</v>
      </c>
      <c r="C2046" t="str">
        <f t="shared" si="31"/>
        <v>VAF2016</v>
      </c>
      <c r="D2046">
        <v>9.0896924703348416E-14</v>
      </c>
      <c r="E2046">
        <v>9.5439767970376121E-2</v>
      </c>
      <c r="F2046">
        <v>1.0156166550679031</v>
      </c>
      <c r="G2046">
        <v>27.273135900340741</v>
      </c>
      <c r="H2046">
        <v>2.4339468438480858</v>
      </c>
      <c r="I2046">
        <v>0.33412571881683167</v>
      </c>
      <c r="J2046">
        <v>-2.5114911766696221E-2</v>
      </c>
      <c r="K2046">
        <v>-6.0994602427788562E-3</v>
      </c>
      <c r="L2046">
        <v>0.1593536586364907</v>
      </c>
      <c r="M2046">
        <v>56</v>
      </c>
      <c r="N2046">
        <v>0</v>
      </c>
      <c r="O2046">
        <v>0</v>
      </c>
      <c r="P2046">
        <v>0.82409999999999994</v>
      </c>
      <c r="Q2046">
        <v>8.9999999999999998E-4</v>
      </c>
      <c r="R2046">
        <v>0</v>
      </c>
      <c r="S2046">
        <v>0.67059999999999997</v>
      </c>
      <c r="T2046">
        <v>0.82409999999999994</v>
      </c>
      <c r="U2046">
        <v>5</v>
      </c>
      <c r="V2046">
        <v>0</v>
      </c>
      <c r="W2046">
        <v>0.4</v>
      </c>
      <c r="X2046">
        <v>0</v>
      </c>
      <c r="Y2046">
        <v>0.46</v>
      </c>
      <c r="Z2046">
        <v>1</v>
      </c>
    </row>
    <row r="2047" spans="1:26" x14ac:dyDescent="0.2">
      <c r="A2047" t="s">
        <v>176</v>
      </c>
      <c r="B2047">
        <v>2017</v>
      </c>
      <c r="C2047" t="str">
        <f t="shared" si="31"/>
        <v>VAF2017</v>
      </c>
      <c r="D2047">
        <v>1.3323884332437239E-13</v>
      </c>
      <c r="E2047">
        <v>0.11868861349852231</v>
      </c>
      <c r="F2047">
        <v>0.83765078054353637</v>
      </c>
      <c r="G2047">
        <v>27.209499878727261</v>
      </c>
      <c r="H2047">
        <v>2.5072647939007551</v>
      </c>
      <c r="I2047">
        <v>0.26352594811267349</v>
      </c>
      <c r="J2047">
        <v>-6.1653524781875128E-2</v>
      </c>
      <c r="K2047">
        <v>-9.5989694795132648E-3</v>
      </c>
      <c r="L2047">
        <v>0.1700933787516099</v>
      </c>
      <c r="M2047">
        <v>57</v>
      </c>
      <c r="N2047">
        <v>0</v>
      </c>
      <c r="O2047">
        <v>0</v>
      </c>
      <c r="P2047">
        <v>0.77010000000000001</v>
      </c>
      <c r="Q2047">
        <v>1.1999999999999999E-3</v>
      </c>
      <c r="R2047">
        <v>0</v>
      </c>
      <c r="S2047">
        <v>0.67059999999999997</v>
      </c>
      <c r="T2047">
        <v>0.77010000000000001</v>
      </c>
      <c r="U2047">
        <v>5</v>
      </c>
      <c r="V2047">
        <v>0</v>
      </c>
      <c r="W2047">
        <v>0.4</v>
      </c>
      <c r="X2047">
        <v>0</v>
      </c>
      <c r="Y2047">
        <v>0.47</v>
      </c>
      <c r="Z2047">
        <v>1</v>
      </c>
    </row>
    <row r="2048" spans="1:26" x14ac:dyDescent="0.2">
      <c r="A2048" t="s">
        <v>176</v>
      </c>
      <c r="B2048">
        <v>2018</v>
      </c>
      <c r="C2048" t="str">
        <f t="shared" si="31"/>
        <v>VAF2018</v>
      </c>
      <c r="D2048">
        <v>1.1679575846975911E-13</v>
      </c>
      <c r="E2048">
        <v>9.9183305850193096E-2</v>
      </c>
      <c r="F2048">
        <v>0.90898787773048539</v>
      </c>
      <c r="G2048">
        <v>27.182262010042741</v>
      </c>
      <c r="H2048">
        <v>3.144813352949011</v>
      </c>
      <c r="I2048">
        <v>0.24821286702103609</v>
      </c>
      <c r="J2048">
        <v>-2.6332385326022442E-2</v>
      </c>
      <c r="K2048">
        <v>0.12520997995368471</v>
      </c>
      <c r="L2048">
        <v>8.3114764831468943E-2</v>
      </c>
      <c r="M2048">
        <v>58</v>
      </c>
      <c r="N2048">
        <v>0</v>
      </c>
      <c r="O2048">
        <v>0</v>
      </c>
      <c r="P2048">
        <v>0.77010000000000001</v>
      </c>
      <c r="Q2048">
        <v>8.9999999999999998E-4</v>
      </c>
      <c r="R2048">
        <v>0</v>
      </c>
      <c r="S2048">
        <v>0.67059999999999997</v>
      </c>
      <c r="T2048">
        <v>0.77010000000000001</v>
      </c>
      <c r="U2048">
        <v>4</v>
      </c>
      <c r="V2048">
        <v>0</v>
      </c>
      <c r="W2048">
        <v>0.5</v>
      </c>
      <c r="X2048">
        <v>0</v>
      </c>
      <c r="Y2048">
        <v>0.45100000000000001</v>
      </c>
      <c r="Z2048">
        <v>1</v>
      </c>
    </row>
    <row r="2049" spans="1:26" x14ac:dyDescent="0.2">
      <c r="A2049" t="s">
        <v>176</v>
      </c>
      <c r="B2049">
        <v>2019</v>
      </c>
      <c r="C2049" t="str">
        <f t="shared" si="31"/>
        <v>VAF2019</v>
      </c>
      <c r="D2049">
        <v>3.6549979271891952E-14</v>
      </c>
      <c r="E2049">
        <v>2.6934831583845461E-2</v>
      </c>
      <c r="F2049">
        <v>0.85833448914849031</v>
      </c>
      <c r="G2049">
        <v>27.072584576474739</v>
      </c>
      <c r="H2049">
        <v>3.300176282653394</v>
      </c>
      <c r="I2049">
        <v>0.22366893824076509</v>
      </c>
      <c r="J2049">
        <v>-0.10437189238768919</v>
      </c>
      <c r="K2049">
        <v>-0.1041896644751535</v>
      </c>
      <c r="L2049">
        <v>6.7752262061752777E-2</v>
      </c>
      <c r="M2049">
        <v>59</v>
      </c>
      <c r="N2049">
        <v>0</v>
      </c>
      <c r="O2049">
        <v>1</v>
      </c>
      <c r="P2049">
        <v>0.89400000000000002</v>
      </c>
      <c r="Q2049">
        <v>8.9999999999999998E-4</v>
      </c>
      <c r="R2049">
        <v>0</v>
      </c>
      <c r="S2049">
        <v>0.67059999999999997</v>
      </c>
      <c r="T2049">
        <v>0.89400000000000002</v>
      </c>
      <c r="U2049">
        <v>4</v>
      </c>
      <c r="V2049">
        <v>0</v>
      </c>
      <c r="W2049">
        <v>0.25</v>
      </c>
      <c r="X2049">
        <v>0</v>
      </c>
      <c r="Y2049">
        <v>0.48630000000000001</v>
      </c>
      <c r="Z2049">
        <v>1</v>
      </c>
    </row>
    <row r="2050" spans="1:26" x14ac:dyDescent="0.2">
      <c r="A2050" t="s">
        <v>176</v>
      </c>
      <c r="B2050">
        <v>2020</v>
      </c>
      <c r="C2050" t="str">
        <f t="shared" si="31"/>
        <v>VAF2020</v>
      </c>
      <c r="D2050">
        <v>6.6067898357720087E-14</v>
      </c>
      <c r="E2050">
        <v>4.9843169927289932E-2</v>
      </c>
      <c r="F2050">
        <v>0.87619426891697993</v>
      </c>
      <c r="G2050">
        <v>27.098443982729879</v>
      </c>
      <c r="H2050">
        <v>3.667969327173163</v>
      </c>
      <c r="I2050">
        <v>0.22180304515905069</v>
      </c>
      <c r="J2050">
        <v>2.8827120531616849E-2</v>
      </c>
      <c r="K2050">
        <v>3.8622073527891043E-2</v>
      </c>
      <c r="L2050">
        <v>5.8772039983696338E-2</v>
      </c>
      <c r="M2050">
        <v>60</v>
      </c>
      <c r="N2050">
        <v>0</v>
      </c>
      <c r="O2050">
        <v>1</v>
      </c>
      <c r="P2050">
        <v>0.89359999999999995</v>
      </c>
      <c r="Q2050">
        <v>5.6000000000000008E-3</v>
      </c>
      <c r="R2050">
        <v>0</v>
      </c>
      <c r="S2050">
        <v>0.67059999999999997</v>
      </c>
      <c r="T2050">
        <v>0.89359999999999995</v>
      </c>
      <c r="U2050">
        <v>5</v>
      </c>
      <c r="V2050">
        <v>0</v>
      </c>
      <c r="W2050">
        <v>0.4</v>
      </c>
      <c r="X2050">
        <v>0</v>
      </c>
      <c r="Y2050">
        <v>0.54400000000000004</v>
      </c>
      <c r="Z2050">
        <v>1</v>
      </c>
    </row>
    <row r="2051" spans="1:26" x14ac:dyDescent="0.2">
      <c r="A2051" t="s">
        <v>176</v>
      </c>
      <c r="B2051">
        <v>2021</v>
      </c>
      <c r="C2051" t="str">
        <f t="shared" ref="C2051:C2114" si="32">A2051&amp;B2051</f>
        <v>VAF2021</v>
      </c>
      <c r="D2051">
        <v>6.6468088793145174E-14</v>
      </c>
      <c r="E2051">
        <v>6.3751515751320501E-2</v>
      </c>
      <c r="F2051">
        <v>1.0508112904120119</v>
      </c>
      <c r="G2051">
        <v>27.22547827719244</v>
      </c>
      <c r="H2051">
        <v>3.748354927353339</v>
      </c>
      <c r="I2051">
        <v>0.30497942828614488</v>
      </c>
      <c r="J2051">
        <v>0.1357404038728707</v>
      </c>
      <c r="K2051">
        <v>0.2367441379528786</v>
      </c>
      <c r="L2051">
        <v>5.428221806699278E-2</v>
      </c>
      <c r="M2051">
        <v>61</v>
      </c>
      <c r="N2051">
        <v>0</v>
      </c>
      <c r="O2051">
        <v>0</v>
      </c>
      <c r="P2051">
        <v>0.89520000000000011</v>
      </c>
      <c r="Q2051">
        <v>4.8999999999999998E-3</v>
      </c>
      <c r="R2051">
        <v>0</v>
      </c>
      <c r="S2051">
        <v>0.67059999999999997</v>
      </c>
      <c r="T2051">
        <v>0.89520000000000011</v>
      </c>
      <c r="U2051">
        <v>5</v>
      </c>
      <c r="V2051">
        <v>0</v>
      </c>
      <c r="W2051">
        <v>0.4</v>
      </c>
      <c r="X2051">
        <v>0</v>
      </c>
      <c r="Y2051">
        <v>0.55399999999999994</v>
      </c>
      <c r="Z2051">
        <v>0.8</v>
      </c>
    </row>
    <row r="2052" spans="1:26" x14ac:dyDescent="0.2">
      <c r="A2052" t="s">
        <v>176</v>
      </c>
      <c r="B2052">
        <v>2022</v>
      </c>
      <c r="C2052" t="str">
        <f t="shared" si="32"/>
        <v>VAF2022</v>
      </c>
      <c r="D2052">
        <v>1.1209735615988461E-13</v>
      </c>
      <c r="E2052">
        <v>8.8538628224283586E-2</v>
      </c>
      <c r="F2052">
        <v>0.76522957519050772</v>
      </c>
      <c r="G2052">
        <v>27.14115274575353</v>
      </c>
      <c r="H2052">
        <v>2.7778775909690352</v>
      </c>
      <c r="I2052">
        <v>0.2242613128930746</v>
      </c>
      <c r="J2052">
        <v>-8.3447603081978627E-2</v>
      </c>
      <c r="K2052">
        <v>-8.0209345853715405E-2</v>
      </c>
      <c r="L2052">
        <v>5.8579605372778967E-2</v>
      </c>
      <c r="M2052">
        <v>62</v>
      </c>
      <c r="N2052">
        <v>0</v>
      </c>
      <c r="O2052">
        <v>0</v>
      </c>
      <c r="P2052">
        <v>0.91520000000000012</v>
      </c>
      <c r="Q2052">
        <v>4.0999999999999986E-3</v>
      </c>
      <c r="R2052">
        <v>0</v>
      </c>
      <c r="S2052">
        <v>0.67059999999999997</v>
      </c>
      <c r="T2052">
        <v>0.91520000000000012</v>
      </c>
      <c r="U2052">
        <v>5</v>
      </c>
      <c r="V2052">
        <v>0</v>
      </c>
      <c r="W2052">
        <v>0.4</v>
      </c>
      <c r="X2052">
        <v>0</v>
      </c>
      <c r="Y2052">
        <v>0.55249999999999999</v>
      </c>
      <c r="Z2052">
        <v>0.8</v>
      </c>
    </row>
    <row r="2053" spans="1:26" x14ac:dyDescent="0.2">
      <c r="A2053" t="s">
        <v>176</v>
      </c>
      <c r="B2053">
        <v>2023</v>
      </c>
      <c r="C2053" t="str">
        <f t="shared" si="32"/>
        <v>VAF2023</v>
      </c>
      <c r="D2053">
        <v>809682685945.62512</v>
      </c>
      <c r="E2053">
        <v>9.5844447789526194E-2</v>
      </c>
      <c r="F2053">
        <v>0.73723004124479707</v>
      </c>
      <c r="G2053">
        <v>27.216308753369759</v>
      </c>
      <c r="H2053">
        <v>3.8723434942475952</v>
      </c>
      <c r="I2053">
        <v>1.7461083469138151E-3</v>
      </c>
      <c r="J2053">
        <v>7.805232213924862E-2</v>
      </c>
      <c r="K2053">
        <v>-2.237750075305801E-2</v>
      </c>
      <c r="L2053">
        <v>5.4780470274512723E-2</v>
      </c>
      <c r="M2053">
        <v>63</v>
      </c>
      <c r="N2053">
        <v>0</v>
      </c>
      <c r="O2053">
        <v>0</v>
      </c>
      <c r="P2053">
        <v>0.91520000000000012</v>
      </c>
      <c r="Q2053">
        <v>4.0999999999999986E-3</v>
      </c>
      <c r="R2053">
        <v>0</v>
      </c>
      <c r="S2053">
        <v>0.67059999999999997</v>
      </c>
      <c r="T2053">
        <v>0.91520000000000012</v>
      </c>
      <c r="U2053">
        <v>5</v>
      </c>
      <c r="V2053">
        <v>0</v>
      </c>
      <c r="W2053">
        <v>0.4</v>
      </c>
      <c r="X2053">
        <v>0</v>
      </c>
      <c r="Y2053">
        <v>0.55249999999999999</v>
      </c>
      <c r="Z2053">
        <v>0.8</v>
      </c>
    </row>
    <row r="2054" spans="1:26" x14ac:dyDescent="0.2">
      <c r="A2054" t="s">
        <v>177</v>
      </c>
      <c r="B2054">
        <v>2012</v>
      </c>
      <c r="C2054" t="str">
        <f t="shared" si="32"/>
        <v>VBC2012</v>
      </c>
      <c r="D2054">
        <v>3.4758786825297569E-13</v>
      </c>
      <c r="E2054">
        <v>0.29307219014914709</v>
      </c>
      <c r="F2054">
        <v>0.92165070702359631</v>
      </c>
      <c r="G2054">
        <v>26.216374546174031</v>
      </c>
      <c r="H2054">
        <v>1.110899997605155</v>
      </c>
      <c r="I2054">
        <v>0.71178485309122641</v>
      </c>
      <c r="J2054">
        <v>0.28272561369599902</v>
      </c>
      <c r="K2054">
        <v>-3.8164812434023997E-2</v>
      </c>
      <c r="L2054">
        <v>0.188357202602457</v>
      </c>
      <c r="M2054">
        <v>9</v>
      </c>
      <c r="N2054">
        <v>0</v>
      </c>
      <c r="O2054">
        <v>0</v>
      </c>
      <c r="P2054">
        <v>0.51</v>
      </c>
      <c r="Q2054">
        <v>1.2500000000000001E-2</v>
      </c>
      <c r="R2054">
        <v>0</v>
      </c>
      <c r="S2054">
        <v>0.51</v>
      </c>
      <c r="T2054">
        <v>0.51</v>
      </c>
      <c r="U2054">
        <v>5</v>
      </c>
      <c r="V2054">
        <v>0</v>
      </c>
      <c r="W2054">
        <v>0.4</v>
      </c>
      <c r="X2054">
        <v>0</v>
      </c>
      <c r="Y2054">
        <v>0.42630000000000001</v>
      </c>
      <c r="Z2054">
        <v>1</v>
      </c>
    </row>
    <row r="2055" spans="1:26" x14ac:dyDescent="0.2">
      <c r="A2055" t="s">
        <v>177</v>
      </c>
      <c r="B2055">
        <v>2013</v>
      </c>
      <c r="C2055" t="str">
        <f t="shared" si="32"/>
        <v>VBC2013</v>
      </c>
      <c r="D2055">
        <v>2.426622293255402E-13</v>
      </c>
      <c r="E2055">
        <v>0.27000646023079378</v>
      </c>
      <c r="F2055">
        <v>1.0547200438426301</v>
      </c>
      <c r="G2055">
        <v>26.43649285107313</v>
      </c>
      <c r="H2055">
        <v>1.123893955671841</v>
      </c>
      <c r="I2055">
        <v>0.7278232688304106</v>
      </c>
      <c r="J2055">
        <v>0.24622415628969249</v>
      </c>
      <c r="K2055">
        <v>-5.714480056083905E-3</v>
      </c>
      <c r="L2055">
        <v>0.19009750283570359</v>
      </c>
      <c r="M2055">
        <v>10</v>
      </c>
      <c r="N2055">
        <v>0</v>
      </c>
      <c r="O2055">
        <v>0</v>
      </c>
      <c r="P2055">
        <v>0.83219999999999994</v>
      </c>
      <c r="Q2055">
        <v>4.8099999999999997E-2</v>
      </c>
      <c r="R2055">
        <v>0</v>
      </c>
      <c r="S2055">
        <v>0.51</v>
      </c>
      <c r="T2055">
        <v>0.83219999999999994</v>
      </c>
      <c r="U2055">
        <v>5</v>
      </c>
      <c r="V2055">
        <v>0</v>
      </c>
      <c r="W2055">
        <v>0.2</v>
      </c>
      <c r="X2055">
        <v>0</v>
      </c>
      <c r="Y2055">
        <v>0.40139999999999998</v>
      </c>
      <c r="Z2055">
        <v>1</v>
      </c>
    </row>
    <row r="2056" spans="1:26" x14ac:dyDescent="0.2">
      <c r="A2056" t="s">
        <v>177</v>
      </c>
      <c r="B2056">
        <v>2014</v>
      </c>
      <c r="C2056" t="str">
        <f t="shared" si="32"/>
        <v>VBC2014</v>
      </c>
      <c r="D2056">
        <v>3.1710596629726312E-13</v>
      </c>
      <c r="E2056">
        <v>0.24650854639077391</v>
      </c>
      <c r="F2056">
        <v>1.1221063643233571</v>
      </c>
      <c r="G2056">
        <v>26.284394560212839</v>
      </c>
      <c r="H2056">
        <v>1.1507135300923921</v>
      </c>
      <c r="I2056">
        <v>0.66538920314225147</v>
      </c>
      <c r="J2056">
        <v>-0.14109614580672469</v>
      </c>
      <c r="K2056">
        <v>0.22439131740052159</v>
      </c>
      <c r="L2056">
        <v>0.1887430832362719</v>
      </c>
      <c r="M2056">
        <v>11</v>
      </c>
      <c r="N2056">
        <v>0</v>
      </c>
      <c r="O2056">
        <v>0</v>
      </c>
      <c r="P2056">
        <v>0.83219999999999994</v>
      </c>
      <c r="Q2056">
        <v>4.8099999999999997E-2</v>
      </c>
      <c r="R2056">
        <v>0</v>
      </c>
      <c r="S2056">
        <v>0.51</v>
      </c>
      <c r="T2056">
        <v>0.83219999999999994</v>
      </c>
      <c r="U2056">
        <v>5</v>
      </c>
      <c r="V2056">
        <v>0</v>
      </c>
      <c r="W2056">
        <v>0.2</v>
      </c>
      <c r="X2056">
        <v>0</v>
      </c>
      <c r="Y2056">
        <v>0.41139999999999999</v>
      </c>
      <c r="Z2056">
        <v>1</v>
      </c>
    </row>
    <row r="2057" spans="1:26" x14ac:dyDescent="0.2">
      <c r="A2057" t="s">
        <v>177</v>
      </c>
      <c r="B2057">
        <v>2015</v>
      </c>
      <c r="C2057" t="str">
        <f t="shared" si="32"/>
        <v>VBC2015</v>
      </c>
      <c r="D2057">
        <v>3.1567410222023839E-13</v>
      </c>
      <c r="E2057">
        <v>0.2679604876471598</v>
      </c>
      <c r="F2057">
        <v>1.1244736534695881</v>
      </c>
      <c r="G2057">
        <v>26.37282198585978</v>
      </c>
      <c r="H2057">
        <v>1.1948631918712931</v>
      </c>
      <c r="I2057">
        <v>0.66523560939957449</v>
      </c>
      <c r="J2057">
        <v>9.2454965521039364E-2</v>
      </c>
      <c r="K2057">
        <v>3.1688974010685322E-2</v>
      </c>
      <c r="L2057">
        <v>0.142087192827516</v>
      </c>
      <c r="M2057">
        <v>12</v>
      </c>
      <c r="N2057">
        <v>0</v>
      </c>
      <c r="O2057">
        <v>0</v>
      </c>
      <c r="P2057">
        <v>0.83219999999999994</v>
      </c>
      <c r="Q2057">
        <v>4.8099999999999997E-2</v>
      </c>
      <c r="R2057">
        <v>0</v>
      </c>
      <c r="S2057">
        <v>0.51</v>
      </c>
      <c r="T2057">
        <v>0.83219999999999994</v>
      </c>
      <c r="U2057">
        <v>5</v>
      </c>
      <c r="V2057">
        <v>0</v>
      </c>
      <c r="W2057">
        <v>0.2</v>
      </c>
      <c r="X2057">
        <v>0</v>
      </c>
      <c r="Y2057">
        <v>0.4214</v>
      </c>
      <c r="Z2057">
        <v>1</v>
      </c>
    </row>
    <row r="2058" spans="1:26" x14ac:dyDescent="0.2">
      <c r="A2058" t="s">
        <v>177</v>
      </c>
      <c r="B2058">
        <v>2016</v>
      </c>
      <c r="C2058" t="str">
        <f t="shared" si="32"/>
        <v>VBC2016</v>
      </c>
      <c r="D2058">
        <v>1.828487299694198E-13</v>
      </c>
      <c r="E2058">
        <v>0.26918468580946958</v>
      </c>
      <c r="F2058">
        <v>1.2940132015529371</v>
      </c>
      <c r="G2058">
        <v>26.664046773369321</v>
      </c>
      <c r="H2058">
        <v>1.2444872687750359</v>
      </c>
      <c r="I2058">
        <v>0.74172047546384789</v>
      </c>
      <c r="J2058">
        <v>0.33806533051998922</v>
      </c>
      <c r="K2058">
        <v>5.4926722619685897E-2</v>
      </c>
      <c r="L2058">
        <v>0.19043367180903789</v>
      </c>
      <c r="M2058">
        <v>13</v>
      </c>
      <c r="N2058">
        <v>0</v>
      </c>
      <c r="O2058">
        <v>0</v>
      </c>
      <c r="P2058">
        <v>0.83219999999999994</v>
      </c>
      <c r="Q2058">
        <v>8.0000000000000004E-4</v>
      </c>
      <c r="R2058">
        <v>0</v>
      </c>
      <c r="S2058">
        <v>0.51</v>
      </c>
      <c r="T2058">
        <v>0.83219999999999994</v>
      </c>
      <c r="U2058">
        <v>5</v>
      </c>
      <c r="V2058">
        <v>0</v>
      </c>
      <c r="W2058">
        <v>0.4</v>
      </c>
      <c r="X2058">
        <v>0</v>
      </c>
      <c r="Y2058">
        <v>0.42249999999999999</v>
      </c>
      <c r="Z2058">
        <v>1</v>
      </c>
    </row>
    <row r="2059" spans="1:26" x14ac:dyDescent="0.2">
      <c r="A2059" t="s">
        <v>177</v>
      </c>
      <c r="B2059">
        <v>2017</v>
      </c>
      <c r="C2059" t="str">
        <f t="shared" si="32"/>
        <v>VBC2017</v>
      </c>
      <c r="D2059">
        <v>1.5205736425481551E-13</v>
      </c>
      <c r="E2059">
        <v>0.25669233161875749</v>
      </c>
      <c r="F2059">
        <v>1.2192137225126061</v>
      </c>
      <c r="G2059">
        <v>26.763304844030401</v>
      </c>
      <c r="H2059">
        <v>1.147007914523926</v>
      </c>
      <c r="I2059">
        <v>0.75125739706621264</v>
      </c>
      <c r="J2059">
        <v>0.1043512634475028</v>
      </c>
      <c r="K2059">
        <v>3.6683173892047713E-2</v>
      </c>
      <c r="L2059">
        <v>0.22815124586358199</v>
      </c>
      <c r="M2059">
        <v>14</v>
      </c>
      <c r="N2059">
        <v>0</v>
      </c>
      <c r="O2059">
        <v>0</v>
      </c>
      <c r="P2059">
        <v>0.755</v>
      </c>
      <c r="Q2059">
        <v>2.9999999999999997E-4</v>
      </c>
      <c r="R2059">
        <v>0</v>
      </c>
      <c r="S2059">
        <v>0.50960000000000005</v>
      </c>
      <c r="T2059">
        <v>0.755</v>
      </c>
      <c r="U2059">
        <v>5</v>
      </c>
      <c r="V2059">
        <v>0</v>
      </c>
      <c r="W2059">
        <v>0.2</v>
      </c>
      <c r="X2059">
        <v>0</v>
      </c>
      <c r="Y2059">
        <v>0.41889999999999999</v>
      </c>
      <c r="Z2059">
        <v>1</v>
      </c>
    </row>
    <row r="2060" spans="1:26" x14ac:dyDescent="0.2">
      <c r="A2060" t="s">
        <v>177</v>
      </c>
      <c r="B2060">
        <v>2018</v>
      </c>
      <c r="C2060" t="str">
        <f t="shared" si="32"/>
        <v>VBC2018</v>
      </c>
      <c r="D2060">
        <v>1.178534530585978E-13</v>
      </c>
      <c r="E2060">
        <v>0.24958624760593631</v>
      </c>
      <c r="F2060">
        <v>1.055626375205772</v>
      </c>
      <c r="G2060">
        <v>26.91021046853789</v>
      </c>
      <c r="H2060">
        <v>1.0869252283024939</v>
      </c>
      <c r="I2060">
        <v>0.77034411790320412</v>
      </c>
      <c r="J2060">
        <v>0.15824464796251461</v>
      </c>
      <c r="K2060">
        <v>-6.8850764895189778E-2</v>
      </c>
      <c r="L2060">
        <v>0.19032719241425661</v>
      </c>
      <c r="M2060">
        <v>15</v>
      </c>
      <c r="N2060">
        <v>0</v>
      </c>
      <c r="O2060">
        <v>0</v>
      </c>
      <c r="P2060">
        <v>0.755</v>
      </c>
      <c r="Q2060">
        <v>1.2999999999999999E-3</v>
      </c>
      <c r="R2060">
        <v>0</v>
      </c>
      <c r="S2060">
        <v>0.50960000000000005</v>
      </c>
      <c r="T2060">
        <v>0.755</v>
      </c>
      <c r="U2060">
        <v>5</v>
      </c>
      <c r="V2060">
        <v>0</v>
      </c>
      <c r="W2060">
        <v>0.2</v>
      </c>
      <c r="X2060">
        <v>0</v>
      </c>
      <c r="Y2060">
        <v>0.4163</v>
      </c>
      <c r="Z2060">
        <v>1</v>
      </c>
    </row>
    <row r="2061" spans="1:26" x14ac:dyDescent="0.2">
      <c r="A2061" t="s">
        <v>177</v>
      </c>
      <c r="B2061">
        <v>2019</v>
      </c>
      <c r="C2061" t="str">
        <f t="shared" si="32"/>
        <v>VBC2019</v>
      </c>
      <c r="D2061">
        <v>1.1270254612328979E-13</v>
      </c>
      <c r="E2061">
        <v>0.22696504882358659</v>
      </c>
      <c r="F2061">
        <v>0.98910792267785785</v>
      </c>
      <c r="G2061">
        <v>26.94321706375263</v>
      </c>
      <c r="H2061">
        <v>1.0909359449650771</v>
      </c>
      <c r="I2061">
        <v>0.75038812688004863</v>
      </c>
      <c r="J2061">
        <v>3.3557355751529627E-2</v>
      </c>
      <c r="K2061">
        <v>6.1321001203578918E-2</v>
      </c>
      <c r="L2061">
        <v>0.2339611330744012</v>
      </c>
      <c r="M2061">
        <v>16</v>
      </c>
      <c r="N2061">
        <v>0</v>
      </c>
      <c r="O2061">
        <v>1</v>
      </c>
      <c r="P2061">
        <v>0.755</v>
      </c>
      <c r="Q2061">
        <v>1.2999999999999999E-3</v>
      </c>
      <c r="R2061">
        <v>0</v>
      </c>
      <c r="S2061">
        <v>0.50960000000000005</v>
      </c>
      <c r="T2061">
        <v>0.755</v>
      </c>
      <c r="U2061">
        <v>5</v>
      </c>
      <c r="V2061">
        <v>0</v>
      </c>
      <c r="W2061">
        <v>0.2</v>
      </c>
      <c r="X2061">
        <v>0</v>
      </c>
      <c r="Y2061">
        <v>0.42630000000000001</v>
      </c>
      <c r="Z2061">
        <v>1</v>
      </c>
    </row>
    <row r="2062" spans="1:26" x14ac:dyDescent="0.2">
      <c r="A2062" t="s">
        <v>177</v>
      </c>
      <c r="B2062">
        <v>2020</v>
      </c>
      <c r="C2062" t="str">
        <f t="shared" si="32"/>
        <v>VBC2020</v>
      </c>
      <c r="D2062">
        <v>1.5442740265853261E-13</v>
      </c>
      <c r="E2062">
        <v>0.2072844161571219</v>
      </c>
      <c r="F2062">
        <v>1.0833157480420841</v>
      </c>
      <c r="G2062">
        <v>26.771313394362728</v>
      </c>
      <c r="H2062">
        <v>1.126098948954477</v>
      </c>
      <c r="I2062">
        <v>0.68465104594870663</v>
      </c>
      <c r="J2062">
        <v>-0.15793971455732381</v>
      </c>
      <c r="K2062">
        <v>0.23830235683283019</v>
      </c>
      <c r="L2062">
        <v>0.23268691456514021</v>
      </c>
      <c r="M2062">
        <v>17</v>
      </c>
      <c r="N2062">
        <v>0</v>
      </c>
      <c r="O2062">
        <v>1</v>
      </c>
      <c r="P2062">
        <v>0.85499999999999998</v>
      </c>
      <c r="Q2062">
        <v>0</v>
      </c>
      <c r="R2062">
        <v>0</v>
      </c>
      <c r="S2062">
        <v>0.50960000000000005</v>
      </c>
      <c r="T2062">
        <v>0.85499999999999998</v>
      </c>
      <c r="U2062">
        <v>5</v>
      </c>
      <c r="V2062">
        <v>0</v>
      </c>
      <c r="W2062">
        <v>0.2</v>
      </c>
      <c r="X2062">
        <v>0</v>
      </c>
      <c r="Y2062">
        <v>0.42670000000000002</v>
      </c>
      <c r="Z2062">
        <v>1</v>
      </c>
    </row>
    <row r="2063" spans="1:26" x14ac:dyDescent="0.2">
      <c r="A2063" t="s">
        <v>177</v>
      </c>
      <c r="B2063">
        <v>2021</v>
      </c>
      <c r="C2063" t="str">
        <f t="shared" si="32"/>
        <v>VBC2021</v>
      </c>
      <c r="D2063">
        <v>1.492213301937196E-13</v>
      </c>
      <c r="E2063">
        <v>0.1976714522756548</v>
      </c>
      <c r="F2063">
        <v>1.114696124955511</v>
      </c>
      <c r="G2063">
        <v>26.796405295748698</v>
      </c>
      <c r="H2063">
        <v>1.1575202595518199</v>
      </c>
      <c r="I2063">
        <v>0.67234416315957368</v>
      </c>
      <c r="J2063">
        <v>2.5247264812422902E-2</v>
      </c>
      <c r="K2063">
        <v>8.8681306741095034E-2</v>
      </c>
      <c r="L2063">
        <v>0.18754729468847031</v>
      </c>
      <c r="M2063">
        <v>18</v>
      </c>
      <c r="N2063">
        <v>0</v>
      </c>
      <c r="O2063">
        <v>0</v>
      </c>
      <c r="P2063">
        <v>0.85809999999999997</v>
      </c>
      <c r="Q2063">
        <v>0</v>
      </c>
      <c r="R2063">
        <v>0</v>
      </c>
      <c r="S2063">
        <v>0.50960000000000005</v>
      </c>
      <c r="T2063">
        <v>0.85809999999999997</v>
      </c>
      <c r="U2063">
        <v>5</v>
      </c>
      <c r="V2063">
        <v>0</v>
      </c>
      <c r="W2063">
        <v>0.2</v>
      </c>
      <c r="X2063">
        <v>0</v>
      </c>
      <c r="Y2063">
        <v>0.44109999999999999</v>
      </c>
      <c r="Z2063">
        <v>1</v>
      </c>
    </row>
    <row r="2064" spans="1:26" x14ac:dyDescent="0.2">
      <c r="A2064" t="s">
        <v>177</v>
      </c>
      <c r="B2064">
        <v>2022</v>
      </c>
      <c r="C2064" t="str">
        <f t="shared" si="32"/>
        <v>VBC2022</v>
      </c>
      <c r="D2064">
        <v>1.2912649846312909E-13</v>
      </c>
      <c r="E2064">
        <v>0.18151890204408699</v>
      </c>
      <c r="F2064">
        <v>1.073043986722791</v>
      </c>
      <c r="G2064">
        <v>26.853366358739699</v>
      </c>
      <c r="H2064">
        <v>1.225279344755301</v>
      </c>
      <c r="I2064">
        <v>0.67313956937041375</v>
      </c>
      <c r="J2064">
        <v>5.8781953484507772E-2</v>
      </c>
      <c r="K2064">
        <v>-2.2369342247189339E-2</v>
      </c>
      <c r="L2064">
        <v>0.18353199551246929</v>
      </c>
      <c r="M2064">
        <v>19</v>
      </c>
      <c r="N2064">
        <v>0</v>
      </c>
      <c r="O2064">
        <v>0</v>
      </c>
      <c r="P2064">
        <v>0.85809999999999997</v>
      </c>
      <c r="Q2064">
        <v>0</v>
      </c>
      <c r="R2064">
        <v>0</v>
      </c>
      <c r="S2064">
        <v>0.50960000000000005</v>
      </c>
      <c r="T2064">
        <v>0.85809999999999997</v>
      </c>
      <c r="U2064">
        <v>5</v>
      </c>
      <c r="V2064">
        <v>0</v>
      </c>
      <c r="W2064">
        <v>0.2</v>
      </c>
      <c r="X2064">
        <v>0</v>
      </c>
      <c r="Y2064">
        <v>0.43890000000000001</v>
      </c>
      <c r="Z2064">
        <v>1</v>
      </c>
    </row>
    <row r="2065" spans="1:26" x14ac:dyDescent="0.2">
      <c r="A2065" t="s">
        <v>177</v>
      </c>
      <c r="B2065">
        <v>2023</v>
      </c>
      <c r="C2065" t="str">
        <f t="shared" si="32"/>
        <v>VBC2023</v>
      </c>
      <c r="D2065">
        <v>-175186396382.63779</v>
      </c>
      <c r="E2065">
        <v>9.9276041445684651E-2</v>
      </c>
      <c r="F2065">
        <v>0.66397188966497767</v>
      </c>
      <c r="G2065">
        <v>26.684696990387799</v>
      </c>
      <c r="H2065">
        <v>1.216235516979568</v>
      </c>
      <c r="I2065">
        <v>0.27159546667857842</v>
      </c>
      <c r="J2065">
        <v>-0.15521182907860029</v>
      </c>
      <c r="K2065">
        <v>0.2143649081572043</v>
      </c>
      <c r="L2065">
        <v>0.19196210819534129</v>
      </c>
      <c r="M2065">
        <v>20</v>
      </c>
      <c r="N2065">
        <v>0</v>
      </c>
      <c r="O2065">
        <v>0</v>
      </c>
      <c r="P2065">
        <v>0.85809999999999997</v>
      </c>
      <c r="Q2065">
        <v>0</v>
      </c>
      <c r="R2065">
        <v>0</v>
      </c>
      <c r="S2065">
        <v>0.50960000000000005</v>
      </c>
      <c r="T2065">
        <v>0.85809999999999997</v>
      </c>
      <c r="U2065">
        <v>5</v>
      </c>
      <c r="V2065">
        <v>0</v>
      </c>
      <c r="W2065">
        <v>0.2</v>
      </c>
      <c r="X2065">
        <v>0</v>
      </c>
      <c r="Y2065">
        <v>0.43890000000000001</v>
      </c>
      <c r="Z2065">
        <v>1</v>
      </c>
    </row>
    <row r="2066" spans="1:26" x14ac:dyDescent="0.2">
      <c r="A2066" t="s">
        <v>178</v>
      </c>
      <c r="B2066">
        <v>2012</v>
      </c>
      <c r="C2066" t="str">
        <f t="shared" si="32"/>
        <v>VCA2012</v>
      </c>
      <c r="D2066">
        <v>1.54558543768008E-14</v>
      </c>
      <c r="E2066">
        <v>2.437233830511927E-2</v>
      </c>
      <c r="F2066">
        <v>0.99414610993429486</v>
      </c>
      <c r="G2066">
        <v>27.02840798921822</v>
      </c>
      <c r="H2066">
        <v>1.2967088369811519</v>
      </c>
      <c r="I2066">
        <v>0.65287630202973634</v>
      </c>
      <c r="J2066">
        <v>8.2386937701404594E-2</v>
      </c>
      <c r="K2066">
        <v>2.991109585615721E-2</v>
      </c>
      <c r="L2066">
        <v>0.21105345010582821</v>
      </c>
      <c r="M2066">
        <v>5</v>
      </c>
      <c r="N2066">
        <v>0</v>
      </c>
      <c r="O2066">
        <v>0</v>
      </c>
      <c r="P2066">
        <v>0.72140000000000004</v>
      </c>
      <c r="Q2066">
        <v>4.0000000000000002E-4</v>
      </c>
      <c r="R2066">
        <v>0</v>
      </c>
      <c r="S2066">
        <v>0.65</v>
      </c>
      <c r="T2066">
        <v>0.72140000000000004</v>
      </c>
      <c r="U2066">
        <v>5</v>
      </c>
      <c r="V2066">
        <v>0</v>
      </c>
      <c r="W2066">
        <v>0</v>
      </c>
      <c r="X2066">
        <v>0</v>
      </c>
      <c r="Y2066">
        <v>0.45</v>
      </c>
      <c r="Z2066">
        <v>1</v>
      </c>
    </row>
    <row r="2067" spans="1:26" x14ac:dyDescent="0.2">
      <c r="A2067" t="s">
        <v>178</v>
      </c>
      <c r="B2067">
        <v>2013</v>
      </c>
      <c r="C2067" t="str">
        <f t="shared" si="32"/>
        <v>VCA2013</v>
      </c>
      <c r="D2067">
        <v>3.0282446449705089E-15</v>
      </c>
      <c r="E2067">
        <v>4.743268129189856E-3</v>
      </c>
      <c r="F2067">
        <v>0.86305453234794594</v>
      </c>
      <c r="G2067">
        <v>27.0154061892909</v>
      </c>
      <c r="H2067">
        <v>1.2016259264210489</v>
      </c>
      <c r="I2067">
        <v>0.65505081992791869</v>
      </c>
      <c r="J2067">
        <v>-1.173749493467457E-2</v>
      </c>
      <c r="K2067">
        <v>-3.01541827283771E-2</v>
      </c>
      <c r="L2067">
        <v>0.1955689076276004</v>
      </c>
      <c r="M2067">
        <v>6</v>
      </c>
      <c r="N2067">
        <v>0</v>
      </c>
      <c r="O2067">
        <v>0</v>
      </c>
      <c r="P2067">
        <v>0.72140000000000004</v>
      </c>
      <c r="Q2067">
        <v>4.0000000000000002E-4</v>
      </c>
      <c r="R2067">
        <v>0</v>
      </c>
      <c r="S2067">
        <v>0.65</v>
      </c>
      <c r="T2067">
        <v>0.72140000000000004</v>
      </c>
      <c r="U2067">
        <v>5</v>
      </c>
      <c r="V2067">
        <v>0</v>
      </c>
      <c r="W2067">
        <v>0</v>
      </c>
      <c r="X2067">
        <v>0</v>
      </c>
      <c r="Y2067">
        <v>0.45</v>
      </c>
      <c r="Z2067">
        <v>1</v>
      </c>
    </row>
    <row r="2068" spans="1:26" x14ac:dyDescent="0.2">
      <c r="A2068" t="s">
        <v>178</v>
      </c>
      <c r="B2068">
        <v>2014</v>
      </c>
      <c r="C2068" t="str">
        <f t="shared" si="32"/>
        <v>VCA2014</v>
      </c>
      <c r="D2068">
        <v>1.8454967470893921E-14</v>
      </c>
      <c r="E2068">
        <v>2.3546513313659579E-2</v>
      </c>
      <c r="F2068">
        <v>0.71721598032493972</v>
      </c>
      <c r="G2068">
        <v>26.926068796293588</v>
      </c>
      <c r="H2068">
        <v>1.2161791544895351</v>
      </c>
      <c r="I2068">
        <v>0.61271580468958531</v>
      </c>
      <c r="J2068">
        <v>-8.6555143244775076E-2</v>
      </c>
      <c r="K2068">
        <v>1.998615539968367E-2</v>
      </c>
      <c r="L2068">
        <v>0.20281490116514581</v>
      </c>
      <c r="M2068">
        <v>7</v>
      </c>
      <c r="N2068">
        <v>0</v>
      </c>
      <c r="O2068">
        <v>0</v>
      </c>
      <c r="P2068">
        <v>0.72140000000000004</v>
      </c>
      <c r="Q2068">
        <v>4.0000000000000002E-4</v>
      </c>
      <c r="R2068">
        <v>0</v>
      </c>
      <c r="S2068">
        <v>0.65</v>
      </c>
      <c r="T2068">
        <v>0.72140000000000004</v>
      </c>
      <c r="U2068">
        <v>5</v>
      </c>
      <c r="V2068">
        <v>0</v>
      </c>
      <c r="W2068">
        <v>0</v>
      </c>
      <c r="X2068">
        <v>0</v>
      </c>
      <c r="Y2068">
        <v>0.45</v>
      </c>
      <c r="Z2068">
        <v>1</v>
      </c>
    </row>
    <row r="2069" spans="1:26" x14ac:dyDescent="0.2">
      <c r="A2069" t="s">
        <v>178</v>
      </c>
      <c r="B2069">
        <v>2015</v>
      </c>
      <c r="C2069" t="str">
        <f t="shared" si="32"/>
        <v>VCA2015</v>
      </c>
      <c r="D2069">
        <v>3.1812375693485578E-13</v>
      </c>
      <c r="E2069">
        <v>0.1705679771468992</v>
      </c>
      <c r="F2069">
        <v>0.76390312250163028</v>
      </c>
      <c r="G2069">
        <v>26.572899417310381</v>
      </c>
      <c r="H2069">
        <v>1.303709342355611</v>
      </c>
      <c r="I2069">
        <v>0.35261566139757022</v>
      </c>
      <c r="J2069">
        <v>-0.29754179835576838</v>
      </c>
      <c r="K2069">
        <v>0.68924888567248144</v>
      </c>
      <c r="L2069">
        <v>0.24842314469536561</v>
      </c>
      <c r="M2069">
        <v>8</v>
      </c>
      <c r="N2069">
        <v>0</v>
      </c>
      <c r="O2069">
        <v>0</v>
      </c>
      <c r="P2069">
        <v>0.72140000000000004</v>
      </c>
      <c r="Q2069">
        <v>4.0000000000000002E-4</v>
      </c>
      <c r="R2069">
        <v>0</v>
      </c>
      <c r="S2069">
        <v>0.65</v>
      </c>
      <c r="T2069">
        <v>0.72140000000000004</v>
      </c>
      <c r="U2069">
        <v>5</v>
      </c>
      <c r="V2069">
        <v>0</v>
      </c>
      <c r="W2069">
        <v>0</v>
      </c>
      <c r="X2069">
        <v>0</v>
      </c>
      <c r="Y2069">
        <v>0.45</v>
      </c>
      <c r="Z2069">
        <v>1</v>
      </c>
    </row>
    <row r="2070" spans="1:26" x14ac:dyDescent="0.2">
      <c r="A2070" t="s">
        <v>178</v>
      </c>
      <c r="B2070">
        <v>2016</v>
      </c>
      <c r="C2070" t="str">
        <f t="shared" si="32"/>
        <v>VCA2016</v>
      </c>
      <c r="D2070">
        <v>2.9331869329394071E-13</v>
      </c>
      <c r="E2070">
        <v>0.13313253726445809</v>
      </c>
      <c r="F2070">
        <v>0.71879859086153952</v>
      </c>
      <c r="G2070">
        <v>26.49867384532056</v>
      </c>
      <c r="H2070">
        <v>2.1136295906403051</v>
      </c>
      <c r="I2070">
        <v>0.28995910718020113</v>
      </c>
      <c r="J2070">
        <v>-7.1537764855685637E-2</v>
      </c>
      <c r="K2070">
        <v>0.18655221434536121</v>
      </c>
      <c r="L2070">
        <v>0.2588120612202951</v>
      </c>
      <c r="M2070">
        <v>9</v>
      </c>
      <c r="N2070">
        <v>0</v>
      </c>
      <c r="O2070">
        <v>0</v>
      </c>
      <c r="P2070">
        <v>0.72140000000000004</v>
      </c>
      <c r="Q2070">
        <v>4.0000000000000002E-4</v>
      </c>
      <c r="R2070">
        <v>0</v>
      </c>
      <c r="S2070">
        <v>0.65</v>
      </c>
      <c r="T2070">
        <v>0.72140000000000004</v>
      </c>
      <c r="U2070">
        <v>5</v>
      </c>
      <c r="V2070">
        <v>0</v>
      </c>
      <c r="W2070">
        <v>0</v>
      </c>
      <c r="X2070">
        <v>0</v>
      </c>
      <c r="Y2070">
        <v>0.46</v>
      </c>
      <c r="Z2070">
        <v>1</v>
      </c>
    </row>
    <row r="2071" spans="1:26" x14ac:dyDescent="0.2">
      <c r="A2071" t="s">
        <v>178</v>
      </c>
      <c r="B2071">
        <v>2017</v>
      </c>
      <c r="C2071" t="str">
        <f t="shared" si="32"/>
        <v>VCA2017</v>
      </c>
      <c r="D2071">
        <v>1.040559359084471E-13</v>
      </c>
      <c r="E2071">
        <v>6.9816509905914037E-2</v>
      </c>
      <c r="F2071">
        <v>0.83002855703715628</v>
      </c>
      <c r="G2071">
        <v>26.77635334377273</v>
      </c>
      <c r="H2071">
        <v>2.530335783099575</v>
      </c>
      <c r="I2071">
        <v>0.36593872803098398</v>
      </c>
      <c r="J2071">
        <v>0.108205257816572</v>
      </c>
      <c r="K2071">
        <v>0.33029191832063681</v>
      </c>
      <c r="L2071">
        <v>0.46946512003759139</v>
      </c>
      <c r="M2071">
        <v>10</v>
      </c>
      <c r="N2071">
        <v>1</v>
      </c>
      <c r="O2071">
        <v>0</v>
      </c>
      <c r="P2071">
        <v>0.72140000000000004</v>
      </c>
      <c r="Q2071">
        <v>2.0000000000000001E-4</v>
      </c>
      <c r="R2071">
        <v>0</v>
      </c>
      <c r="S2071">
        <v>0.65</v>
      </c>
      <c r="T2071">
        <v>0.72140000000000004</v>
      </c>
      <c r="U2071">
        <v>5</v>
      </c>
      <c r="V2071">
        <v>0</v>
      </c>
      <c r="W2071">
        <v>0</v>
      </c>
      <c r="X2071">
        <v>0</v>
      </c>
      <c r="Y2071">
        <v>0.48110000000000003</v>
      </c>
      <c r="Z2071">
        <v>1</v>
      </c>
    </row>
    <row r="2072" spans="1:26" x14ac:dyDescent="0.2">
      <c r="A2072" t="s">
        <v>178</v>
      </c>
      <c r="B2072">
        <v>2018</v>
      </c>
      <c r="C2072" t="str">
        <f t="shared" si="32"/>
        <v>VCA2018</v>
      </c>
      <c r="D2072">
        <v>8.5975348742035051E-14</v>
      </c>
      <c r="E2072">
        <v>0.12847903916108161</v>
      </c>
      <c r="F2072">
        <v>0.89437410599001355</v>
      </c>
      <c r="G2072">
        <v>27.138373237058591</v>
      </c>
      <c r="H2072" t="e">
        <v>#N/A</v>
      </c>
      <c r="I2072">
        <v>0.59112796219787855</v>
      </c>
      <c r="J2072">
        <v>0.71079396509887816</v>
      </c>
      <c r="K2072">
        <v>-0.35661063481014571</v>
      </c>
      <c r="L2072">
        <v>0.12720041839696439</v>
      </c>
      <c r="M2072">
        <v>11</v>
      </c>
      <c r="N2072">
        <v>0</v>
      </c>
      <c r="O2072">
        <v>0</v>
      </c>
      <c r="P2072">
        <v>0.72140000000000004</v>
      </c>
      <c r="Q2072">
        <v>2.0000000000000001E-4</v>
      </c>
      <c r="R2072">
        <v>0</v>
      </c>
      <c r="S2072">
        <v>0.65</v>
      </c>
      <c r="T2072">
        <v>0.72140000000000004</v>
      </c>
      <c r="U2072">
        <v>5</v>
      </c>
      <c r="V2072">
        <v>0</v>
      </c>
      <c r="W2072">
        <v>0</v>
      </c>
      <c r="X2072">
        <v>0</v>
      </c>
      <c r="Y2072">
        <v>0.49109999999999998</v>
      </c>
      <c r="Z2072">
        <v>1</v>
      </c>
    </row>
    <row r="2073" spans="1:26" x14ac:dyDescent="0.2">
      <c r="A2073" t="s">
        <v>178</v>
      </c>
      <c r="B2073">
        <v>2019</v>
      </c>
      <c r="C2073" t="str">
        <f t="shared" si="32"/>
        <v>VCA2019</v>
      </c>
      <c r="D2073">
        <v>9.8231384970389404E-14</v>
      </c>
      <c r="E2073">
        <v>0.11185978927551429</v>
      </c>
      <c r="F2073">
        <v>0.88660249005224101</v>
      </c>
      <c r="G2073">
        <v>26.95263981268144</v>
      </c>
      <c r="H2073">
        <v>1.45773943175037</v>
      </c>
      <c r="I2073">
        <v>0.55438580812612837</v>
      </c>
      <c r="J2073">
        <v>-0.16950504481404391</v>
      </c>
      <c r="K2073">
        <v>0.24223044973131039</v>
      </c>
      <c r="L2073">
        <v>0.1793174917974909</v>
      </c>
      <c r="M2073">
        <v>12</v>
      </c>
      <c r="N2073">
        <v>0</v>
      </c>
      <c r="O2073">
        <v>1</v>
      </c>
      <c r="P2073">
        <v>0.72140000000000004</v>
      </c>
      <c r="Q2073">
        <v>2.0000000000000001E-4</v>
      </c>
      <c r="R2073">
        <v>0</v>
      </c>
      <c r="S2073">
        <v>0.65</v>
      </c>
      <c r="T2073">
        <v>0.72140000000000004</v>
      </c>
      <c r="U2073">
        <v>5</v>
      </c>
      <c r="V2073">
        <v>0</v>
      </c>
      <c r="W2073">
        <v>0</v>
      </c>
      <c r="X2073">
        <v>0</v>
      </c>
      <c r="Y2073">
        <v>0.504</v>
      </c>
      <c r="Z2073">
        <v>1</v>
      </c>
    </row>
    <row r="2074" spans="1:26" x14ac:dyDescent="0.2">
      <c r="A2074" t="s">
        <v>178</v>
      </c>
      <c r="B2074">
        <v>2020</v>
      </c>
      <c r="C2074" t="str">
        <f t="shared" si="32"/>
        <v>VCA2020</v>
      </c>
      <c r="D2074">
        <v>2.1505374659748441E-13</v>
      </c>
      <c r="E2074">
        <v>9.5104481829184281E-2</v>
      </c>
      <c r="F2074">
        <v>0.82119181039404343</v>
      </c>
      <c r="G2074">
        <v>26.469411345283039</v>
      </c>
      <c r="H2074">
        <v>1.4302824802371941</v>
      </c>
      <c r="I2074">
        <v>0.29227373086762792</v>
      </c>
      <c r="J2074">
        <v>-0.38321110887836629</v>
      </c>
      <c r="K2074">
        <v>0.9639317550561699</v>
      </c>
      <c r="L2074">
        <v>0.2477351037788921</v>
      </c>
      <c r="M2074">
        <v>13</v>
      </c>
      <c r="N2074">
        <v>0</v>
      </c>
      <c r="O2074">
        <v>1</v>
      </c>
      <c r="P2074">
        <v>0.72140000000000004</v>
      </c>
      <c r="Q2074">
        <v>2.0000000000000001E-4</v>
      </c>
      <c r="R2074">
        <v>0</v>
      </c>
      <c r="S2074">
        <v>0.65</v>
      </c>
      <c r="T2074">
        <v>0.72140000000000004</v>
      </c>
      <c r="U2074">
        <v>4</v>
      </c>
      <c r="V2074">
        <v>0</v>
      </c>
      <c r="W2074">
        <v>0</v>
      </c>
      <c r="X2074">
        <v>0</v>
      </c>
      <c r="Y2074">
        <v>0.495</v>
      </c>
      <c r="Z2074">
        <v>1</v>
      </c>
    </row>
    <row r="2075" spans="1:26" x14ac:dyDescent="0.2">
      <c r="A2075" t="s">
        <v>178</v>
      </c>
      <c r="B2075">
        <v>2021</v>
      </c>
      <c r="C2075" t="str">
        <f t="shared" si="32"/>
        <v>VCA2021</v>
      </c>
      <c r="D2075">
        <v>1.085387749354132E-13</v>
      </c>
      <c r="E2075">
        <v>0.15129561655229501</v>
      </c>
      <c r="F2075">
        <v>1.0174623063742301</v>
      </c>
      <c r="G2075">
        <v>27.08452717372322</v>
      </c>
      <c r="H2075">
        <v>2.472670212996674</v>
      </c>
      <c r="I2075">
        <v>0.58464516869264638</v>
      </c>
      <c r="J2075">
        <v>0.84987085480530822</v>
      </c>
      <c r="K2075">
        <v>-0.4288396624785048</v>
      </c>
      <c r="L2075">
        <v>9.5994581322803002E-2</v>
      </c>
      <c r="M2075">
        <v>14</v>
      </c>
      <c r="N2075">
        <v>0</v>
      </c>
      <c r="O2075">
        <v>0</v>
      </c>
      <c r="P2075">
        <v>0.72140000000000004</v>
      </c>
      <c r="Q2075">
        <v>2.0000000000000001E-4</v>
      </c>
      <c r="R2075">
        <v>0</v>
      </c>
      <c r="S2075">
        <v>0.65</v>
      </c>
      <c r="T2075">
        <v>0.72140000000000004</v>
      </c>
      <c r="U2075">
        <v>5</v>
      </c>
      <c r="V2075">
        <v>0</v>
      </c>
      <c r="W2075">
        <v>0</v>
      </c>
      <c r="X2075">
        <v>0</v>
      </c>
      <c r="Y2075">
        <v>0.48920000000000002</v>
      </c>
      <c r="Z2075">
        <v>1</v>
      </c>
    </row>
    <row r="2076" spans="1:26" x14ac:dyDescent="0.2">
      <c r="A2076" t="s">
        <v>178</v>
      </c>
      <c r="B2076">
        <v>2022</v>
      </c>
      <c r="C2076" t="str">
        <f t="shared" si="32"/>
        <v>VCA2022</v>
      </c>
      <c r="D2076">
        <v>-4.276074813080553E-14</v>
      </c>
      <c r="E2076">
        <v>-3.1906982805225838E-2</v>
      </c>
      <c r="F2076">
        <v>0.93969772226323012</v>
      </c>
      <c r="G2076">
        <v>26.64066189981563</v>
      </c>
      <c r="H2076">
        <v>1.523580224563678</v>
      </c>
      <c r="I2076">
        <v>0.50220329919305251</v>
      </c>
      <c r="J2076">
        <v>-0.35844815122119861</v>
      </c>
      <c r="K2076">
        <v>0.37761429381446909</v>
      </c>
      <c r="L2076">
        <v>0.1152480190530937</v>
      </c>
      <c r="M2076">
        <v>15</v>
      </c>
      <c r="N2076">
        <v>0</v>
      </c>
      <c r="O2076">
        <v>0</v>
      </c>
      <c r="P2076">
        <v>0.72140000000000004</v>
      </c>
      <c r="Q2076">
        <v>2.0000000000000001E-4</v>
      </c>
      <c r="R2076">
        <v>0</v>
      </c>
      <c r="S2076">
        <v>0.65</v>
      </c>
      <c r="T2076">
        <v>0.72140000000000004</v>
      </c>
      <c r="U2076">
        <v>5</v>
      </c>
      <c r="V2076">
        <v>0</v>
      </c>
      <c r="W2076">
        <v>0</v>
      </c>
      <c r="X2076">
        <v>0</v>
      </c>
      <c r="Y2076">
        <v>0.48</v>
      </c>
      <c r="Z2076">
        <v>1</v>
      </c>
    </row>
    <row r="2077" spans="1:26" x14ac:dyDescent="0.2">
      <c r="A2077" t="s">
        <v>178</v>
      </c>
      <c r="B2077">
        <v>2023</v>
      </c>
      <c r="C2077" t="str">
        <f t="shared" si="32"/>
        <v>VCA2023</v>
      </c>
      <c r="D2077">
        <v>-30500616505.417702</v>
      </c>
      <c r="E2077">
        <v>3.1243501690106961E-2</v>
      </c>
      <c r="F2077">
        <v>0.63914984519627605</v>
      </c>
      <c r="G2077">
        <v>26.367476059062579</v>
      </c>
      <c r="H2077">
        <v>1.6842720946143059</v>
      </c>
      <c r="I2077">
        <v>0.17436928591444831</v>
      </c>
      <c r="J2077">
        <v>-0.2390486412858214</v>
      </c>
      <c r="K2077">
        <v>0.36307427101659728</v>
      </c>
      <c r="L2077">
        <v>0.10133284992296231</v>
      </c>
      <c r="M2077">
        <v>16</v>
      </c>
      <c r="N2077">
        <v>0</v>
      </c>
      <c r="O2077">
        <v>0</v>
      </c>
      <c r="P2077">
        <v>0.72140000000000004</v>
      </c>
      <c r="Q2077">
        <v>2.0000000000000001E-4</v>
      </c>
      <c r="R2077">
        <v>0</v>
      </c>
      <c r="S2077">
        <v>0.65</v>
      </c>
      <c r="T2077">
        <v>0.72140000000000004</v>
      </c>
      <c r="U2077">
        <v>5</v>
      </c>
      <c r="V2077">
        <v>0</v>
      </c>
      <c r="W2077">
        <v>0</v>
      </c>
      <c r="X2077">
        <v>0</v>
      </c>
      <c r="Y2077">
        <v>0.48</v>
      </c>
      <c r="Z2077">
        <v>1</v>
      </c>
    </row>
    <row r="2078" spans="1:26" x14ac:dyDescent="0.2">
      <c r="A2078" t="s">
        <v>179</v>
      </c>
      <c r="B2078">
        <v>2012</v>
      </c>
      <c r="C2078" t="str">
        <f t="shared" si="32"/>
        <v>VCF2012</v>
      </c>
      <c r="D2078">
        <v>2.3225508144086738E-13</v>
      </c>
      <c r="E2078">
        <v>0.31345884749234282</v>
      </c>
      <c r="F2078">
        <v>3.9132037192259208</v>
      </c>
      <c r="G2078">
        <v>27.756055686085659</v>
      </c>
      <c r="H2078">
        <v>8.4808033903526923</v>
      </c>
      <c r="I2078">
        <v>0.16037276768360861</v>
      </c>
      <c r="J2078">
        <v>0.38520537800203081</v>
      </c>
      <c r="K2078">
        <v>0.45336752173226652</v>
      </c>
      <c r="L2078">
        <v>0.44503626531789242</v>
      </c>
      <c r="M2078">
        <v>8</v>
      </c>
      <c r="N2078">
        <v>1</v>
      </c>
      <c r="O2078">
        <v>0</v>
      </c>
      <c r="P2078">
        <v>0.90500000000000003</v>
      </c>
      <c r="Q2078">
        <v>0.28260000000000002</v>
      </c>
      <c r="R2078">
        <v>0</v>
      </c>
      <c r="S2078">
        <v>0.373</v>
      </c>
      <c r="T2078">
        <v>0.90500000000000003</v>
      </c>
      <c r="U2078">
        <v>11</v>
      </c>
      <c r="V2078">
        <v>0</v>
      </c>
      <c r="W2078">
        <v>0</v>
      </c>
      <c r="X2078">
        <v>0</v>
      </c>
      <c r="Y2078">
        <v>0.4657</v>
      </c>
      <c r="Z2078">
        <v>1</v>
      </c>
    </row>
    <row r="2079" spans="1:26" x14ac:dyDescent="0.2">
      <c r="A2079" t="s">
        <v>179</v>
      </c>
      <c r="B2079">
        <v>2013</v>
      </c>
      <c r="C2079" t="str">
        <f t="shared" si="32"/>
        <v>VCF2013</v>
      </c>
      <c r="D2079">
        <v>1.00044425514007E-13</v>
      </c>
      <c r="E2079">
        <v>0.22969357637409901</v>
      </c>
      <c r="F2079">
        <v>2.5378240835576098</v>
      </c>
      <c r="G2079">
        <v>28.109335104473029</v>
      </c>
      <c r="H2079">
        <v>3.3378274555212268</v>
      </c>
      <c r="I2079">
        <v>0.2972947945300346</v>
      </c>
      <c r="J2079">
        <v>0.42372890389459511</v>
      </c>
      <c r="K2079">
        <v>0.25383914959868492</v>
      </c>
      <c r="L2079">
        <v>0.36135331393284642</v>
      </c>
      <c r="M2079">
        <v>9</v>
      </c>
      <c r="N2079">
        <v>1</v>
      </c>
      <c r="O2079">
        <v>0</v>
      </c>
      <c r="P2079">
        <v>0.66049999999999998</v>
      </c>
      <c r="Q2079">
        <v>1.21E-2</v>
      </c>
      <c r="R2079">
        <v>0</v>
      </c>
      <c r="S2079">
        <v>0.1285</v>
      </c>
      <c r="T2079">
        <v>0.66049999999999998</v>
      </c>
      <c r="U2079">
        <v>11</v>
      </c>
      <c r="V2079">
        <v>0</v>
      </c>
      <c r="W2079">
        <v>9.0909090909090912E-2</v>
      </c>
      <c r="X2079">
        <v>0</v>
      </c>
      <c r="Y2079">
        <v>0.45429999999999998</v>
      </c>
      <c r="Z2079">
        <v>1</v>
      </c>
    </row>
    <row r="2080" spans="1:26" x14ac:dyDescent="0.2">
      <c r="A2080" t="s">
        <v>179</v>
      </c>
      <c r="B2080">
        <v>2014</v>
      </c>
      <c r="C2080" t="str">
        <f t="shared" si="32"/>
        <v>VCF2014</v>
      </c>
      <c r="D2080">
        <v>6.4595384055334814E-14</v>
      </c>
      <c r="E2080">
        <v>0.27121013123853571</v>
      </c>
      <c r="F2080">
        <v>2.2509492491053731</v>
      </c>
      <c r="G2080">
        <v>28.544393852079541</v>
      </c>
      <c r="H2080">
        <v>2.08934390848263</v>
      </c>
      <c r="I2080">
        <v>0.40629826912594169</v>
      </c>
      <c r="J2080">
        <v>0.54262232344886185</v>
      </c>
      <c r="K2080">
        <v>0.163491064843827</v>
      </c>
      <c r="L2080">
        <v>0.27444036352670897</v>
      </c>
      <c r="M2080">
        <v>10</v>
      </c>
      <c r="N2080">
        <v>1</v>
      </c>
      <c r="O2080">
        <v>0</v>
      </c>
      <c r="P2080">
        <v>0.8911</v>
      </c>
      <c r="Q2080">
        <v>1.21E-2</v>
      </c>
      <c r="R2080">
        <v>0.23330000000000001</v>
      </c>
      <c r="S2080">
        <v>0.1258</v>
      </c>
      <c r="T2080">
        <v>0.8911</v>
      </c>
      <c r="U2080">
        <v>11</v>
      </c>
      <c r="V2080">
        <v>0</v>
      </c>
      <c r="W2080">
        <v>9.0909090909090912E-2</v>
      </c>
      <c r="X2080">
        <v>0</v>
      </c>
      <c r="Y2080">
        <v>0.46429999999999999</v>
      </c>
      <c r="Z2080">
        <v>1</v>
      </c>
    </row>
    <row r="2081" spans="1:26" x14ac:dyDescent="0.2">
      <c r="A2081" t="s">
        <v>179</v>
      </c>
      <c r="B2081">
        <v>2015</v>
      </c>
      <c r="C2081" t="str">
        <f t="shared" si="32"/>
        <v>VCF2015</v>
      </c>
      <c r="D2081">
        <v>4.6161752946376172E-14</v>
      </c>
      <c r="E2081">
        <v>0.16698784372919129</v>
      </c>
      <c r="F2081">
        <v>1.729826091512775</v>
      </c>
      <c r="G2081">
        <v>28.559027136953901</v>
      </c>
      <c r="H2081">
        <v>1.7522418415362599</v>
      </c>
      <c r="I2081">
        <v>0.30076150458230833</v>
      </c>
      <c r="J2081">
        <v>1.6340323104382382E-2</v>
      </c>
      <c r="K2081">
        <v>0.1875285893678631</v>
      </c>
      <c r="L2081">
        <v>0.28008063680053691</v>
      </c>
      <c r="M2081">
        <v>11</v>
      </c>
      <c r="N2081">
        <v>1</v>
      </c>
      <c r="O2081">
        <v>0</v>
      </c>
      <c r="P2081">
        <v>0.83489999999999998</v>
      </c>
      <c r="Q2081">
        <v>1.17E-2</v>
      </c>
      <c r="R2081">
        <v>0.23330000000000001</v>
      </c>
      <c r="S2081">
        <v>0</v>
      </c>
      <c r="T2081">
        <v>0.83489999999999998</v>
      </c>
      <c r="U2081">
        <v>6</v>
      </c>
      <c r="V2081">
        <v>0</v>
      </c>
      <c r="W2081">
        <v>0.1666666666666666</v>
      </c>
      <c r="X2081">
        <v>0</v>
      </c>
      <c r="Y2081">
        <v>0.47920000000000001</v>
      </c>
      <c r="Z2081">
        <v>1</v>
      </c>
    </row>
    <row r="2082" spans="1:26" x14ac:dyDescent="0.2">
      <c r="A2082" t="s">
        <v>179</v>
      </c>
      <c r="B2082">
        <v>2016</v>
      </c>
      <c r="C2082" t="str">
        <f t="shared" si="32"/>
        <v>VCF2016</v>
      </c>
      <c r="D2082">
        <v>3.8630949324729961E-14</v>
      </c>
      <c r="E2082">
        <v>0.17717748555090371</v>
      </c>
      <c r="F2082">
        <v>1.821903081056564</v>
      </c>
      <c r="G2082">
        <v>28.775326659885518</v>
      </c>
      <c r="H2082">
        <v>2.5531771305913349</v>
      </c>
      <c r="I2082">
        <v>0.31531245142636949</v>
      </c>
      <c r="J2082">
        <v>0.24147417330134541</v>
      </c>
      <c r="K2082">
        <v>0.21934832468227999</v>
      </c>
      <c r="L2082">
        <v>0.23416115521932129</v>
      </c>
      <c r="M2082">
        <v>12</v>
      </c>
      <c r="N2082">
        <v>1</v>
      </c>
      <c r="O2082">
        <v>0</v>
      </c>
      <c r="P2082">
        <v>0.91789999999999994</v>
      </c>
      <c r="Q2082">
        <v>8.6999999999999994E-3</v>
      </c>
      <c r="R2082">
        <v>0.23330000000000001</v>
      </c>
      <c r="S2082">
        <v>0</v>
      </c>
      <c r="T2082">
        <v>0.91789999999999994</v>
      </c>
      <c r="U2082">
        <v>6</v>
      </c>
      <c r="V2082">
        <v>0</v>
      </c>
      <c r="W2082">
        <v>0.1666666666666666</v>
      </c>
      <c r="X2082">
        <v>0</v>
      </c>
      <c r="Y2082">
        <v>0.46910000000000002</v>
      </c>
      <c r="Z2082">
        <v>1</v>
      </c>
    </row>
    <row r="2083" spans="1:26" x14ac:dyDescent="0.2">
      <c r="A2083" t="s">
        <v>179</v>
      </c>
      <c r="B2083">
        <v>2017</v>
      </c>
      <c r="C2083" t="str">
        <f t="shared" si="32"/>
        <v>VCF2017</v>
      </c>
      <c r="D2083">
        <v>2.8764238600762459E-14</v>
      </c>
      <c r="E2083">
        <v>0.48266435135997487</v>
      </c>
      <c r="F2083">
        <v>2.7520660995376471</v>
      </c>
      <c r="G2083">
        <v>28.90731731975167</v>
      </c>
      <c r="H2083">
        <v>2.3507971902133278</v>
      </c>
      <c r="I2083">
        <v>0.78645173007231084</v>
      </c>
      <c r="J2083">
        <v>0.14109766121256451</v>
      </c>
      <c r="K2083">
        <v>0.1079485810043503</v>
      </c>
      <c r="L2083">
        <v>0.18804894058340441</v>
      </c>
      <c r="M2083">
        <v>13</v>
      </c>
      <c r="N2083">
        <v>1</v>
      </c>
      <c r="O2083">
        <v>0</v>
      </c>
      <c r="P2083">
        <v>0.91789999999999994</v>
      </c>
      <c r="Q2083">
        <v>8.6999999999999994E-3</v>
      </c>
      <c r="R2083">
        <v>0.23330000000000001</v>
      </c>
      <c r="S2083">
        <v>0</v>
      </c>
      <c r="T2083">
        <v>0.91789999999999994</v>
      </c>
      <c r="U2083">
        <v>6</v>
      </c>
      <c r="V2083">
        <v>0</v>
      </c>
      <c r="W2083">
        <v>0.1666666666666666</v>
      </c>
      <c r="X2083">
        <v>0</v>
      </c>
      <c r="Y2083">
        <v>0.4758</v>
      </c>
      <c r="Z2083">
        <v>1</v>
      </c>
    </row>
    <row r="2084" spans="1:26" x14ac:dyDescent="0.2">
      <c r="A2084" t="s">
        <v>179</v>
      </c>
      <c r="B2084">
        <v>2018</v>
      </c>
      <c r="C2084" t="str">
        <f t="shared" si="32"/>
        <v>VCF2018</v>
      </c>
      <c r="D2084">
        <v>1.296387959039745E-13</v>
      </c>
      <c r="E2084">
        <v>0.45427187185853263</v>
      </c>
      <c r="F2084">
        <v>2.118072191095338</v>
      </c>
      <c r="G2084">
        <v>28.42701208939582</v>
      </c>
      <c r="H2084">
        <v>1.0063000899161401</v>
      </c>
      <c r="I2084">
        <v>0.36742266166206222</v>
      </c>
      <c r="J2084">
        <v>-0.38140545084700761</v>
      </c>
      <c r="K2084">
        <v>-0.21193698281049711</v>
      </c>
      <c r="L2084">
        <v>0.27023895242253593</v>
      </c>
      <c r="M2084">
        <v>14</v>
      </c>
      <c r="N2084">
        <v>1</v>
      </c>
      <c r="O2084">
        <v>0</v>
      </c>
      <c r="P2084">
        <v>0.9849</v>
      </c>
      <c r="Q2084">
        <v>0</v>
      </c>
      <c r="R2084">
        <v>0</v>
      </c>
      <c r="S2084">
        <v>0</v>
      </c>
      <c r="T2084">
        <v>0.9849</v>
      </c>
      <c r="U2084">
        <v>6</v>
      </c>
      <c r="V2084">
        <v>0</v>
      </c>
      <c r="W2084">
        <v>0.1666666666666666</v>
      </c>
      <c r="X2084">
        <v>0</v>
      </c>
      <c r="Y2084">
        <v>0.46920000000000001</v>
      </c>
      <c r="Z2084">
        <v>1</v>
      </c>
    </row>
    <row r="2085" spans="1:26" x14ac:dyDescent="0.2">
      <c r="A2085" t="s">
        <v>179</v>
      </c>
      <c r="B2085">
        <v>2019</v>
      </c>
      <c r="C2085" t="str">
        <f t="shared" si="32"/>
        <v>VCF2019</v>
      </c>
      <c r="D2085">
        <v>1.368667344491E-13</v>
      </c>
      <c r="E2085">
        <v>0.47000195224659008</v>
      </c>
      <c r="F2085">
        <v>2.4779905791004628</v>
      </c>
      <c r="G2085">
        <v>28.430925812650859</v>
      </c>
      <c r="H2085">
        <v>1.944900588293613</v>
      </c>
      <c r="I2085">
        <v>0.35197398739618208</v>
      </c>
      <c r="J2085">
        <v>3.9213918709077866E-3</v>
      </c>
      <c r="K2085">
        <v>0.3001187837452941</v>
      </c>
      <c r="L2085">
        <v>0.23623639428800339</v>
      </c>
      <c r="M2085">
        <v>15</v>
      </c>
      <c r="N2085">
        <v>1</v>
      </c>
      <c r="O2085">
        <v>1</v>
      </c>
      <c r="P2085">
        <v>0.9849</v>
      </c>
      <c r="Q2085">
        <v>0</v>
      </c>
      <c r="R2085">
        <v>0</v>
      </c>
      <c r="S2085">
        <v>0</v>
      </c>
      <c r="T2085">
        <v>0.9849</v>
      </c>
      <c r="U2085">
        <v>6</v>
      </c>
      <c r="V2085">
        <v>0</v>
      </c>
      <c r="W2085">
        <v>0.1666666666666666</v>
      </c>
      <c r="X2085">
        <v>0</v>
      </c>
      <c r="Y2085">
        <v>0.47670000000000001</v>
      </c>
      <c r="Z2085">
        <v>1</v>
      </c>
    </row>
    <row r="2086" spans="1:26" x14ac:dyDescent="0.2">
      <c r="A2086" t="s">
        <v>179</v>
      </c>
      <c r="B2086">
        <v>2020</v>
      </c>
      <c r="C2086" t="str">
        <f t="shared" si="32"/>
        <v>VCF2020</v>
      </c>
      <c r="D2086">
        <v>1.5861960883389989E-13</v>
      </c>
      <c r="E2086">
        <v>0.48106411341673783</v>
      </c>
      <c r="F2086">
        <v>3.1161222431348259</v>
      </c>
      <c r="G2086">
        <v>28.387978118858971</v>
      </c>
      <c r="H2086">
        <v>2.1217397340483819</v>
      </c>
      <c r="I2086">
        <v>0.29709575926843851</v>
      </c>
      <c r="J2086">
        <v>-4.2038503910027829E-2</v>
      </c>
      <c r="K2086">
        <v>0.75343053072573485</v>
      </c>
      <c r="L2086">
        <v>0.21905095700240459</v>
      </c>
      <c r="M2086">
        <v>16</v>
      </c>
      <c r="N2086">
        <v>1</v>
      </c>
      <c r="O2086">
        <v>1</v>
      </c>
      <c r="P2086">
        <v>0.98790000000000011</v>
      </c>
      <c r="Q2086">
        <v>0</v>
      </c>
      <c r="R2086">
        <v>0</v>
      </c>
      <c r="S2086">
        <v>0</v>
      </c>
      <c r="T2086">
        <v>0.98790000000000011</v>
      </c>
      <c r="U2086">
        <v>5</v>
      </c>
      <c r="V2086">
        <v>0</v>
      </c>
      <c r="W2086">
        <v>0.4</v>
      </c>
      <c r="X2086">
        <v>0</v>
      </c>
      <c r="Y2086">
        <v>0.46179999999999999</v>
      </c>
      <c r="Z2086">
        <v>1</v>
      </c>
    </row>
    <row r="2087" spans="1:26" x14ac:dyDescent="0.2">
      <c r="A2087" t="s">
        <v>179</v>
      </c>
      <c r="B2087">
        <v>2021</v>
      </c>
      <c r="C2087" t="str">
        <f t="shared" si="32"/>
        <v>VCF2021</v>
      </c>
      <c r="D2087">
        <v>1.132103873472978E-13</v>
      </c>
      <c r="E2087">
        <v>0.33943396454809832</v>
      </c>
      <c r="F2087">
        <v>3.553307826414382</v>
      </c>
      <c r="G2087">
        <v>28.296580055729439</v>
      </c>
      <c r="H2087">
        <v>2.578154324703358</v>
      </c>
      <c r="I2087">
        <v>0.35109733975594137</v>
      </c>
      <c r="J2087">
        <v>-8.7345655461880001E-2</v>
      </c>
      <c r="K2087">
        <v>0.34744939440159772</v>
      </c>
      <c r="L2087">
        <v>0.21233216879677561</v>
      </c>
      <c r="M2087">
        <v>17</v>
      </c>
      <c r="N2087">
        <v>1</v>
      </c>
      <c r="O2087">
        <v>0</v>
      </c>
      <c r="P2087">
        <v>0.98790000000000011</v>
      </c>
      <c r="Q2087">
        <v>0</v>
      </c>
      <c r="R2087">
        <v>0</v>
      </c>
      <c r="S2087">
        <v>0</v>
      </c>
      <c r="T2087">
        <v>0.98790000000000011</v>
      </c>
      <c r="U2087">
        <v>4</v>
      </c>
      <c r="V2087">
        <v>0</v>
      </c>
      <c r="W2087">
        <v>0.5</v>
      </c>
      <c r="X2087">
        <v>0</v>
      </c>
      <c r="Y2087">
        <v>0.4733</v>
      </c>
      <c r="Z2087">
        <v>1</v>
      </c>
    </row>
    <row r="2088" spans="1:26" x14ac:dyDescent="0.2">
      <c r="A2088" t="s">
        <v>179</v>
      </c>
      <c r="B2088">
        <v>2022</v>
      </c>
      <c r="C2088" t="str">
        <f t="shared" si="32"/>
        <v>VCF2022</v>
      </c>
      <c r="D2088">
        <v>7.1931001159337034E-14</v>
      </c>
      <c r="E2088">
        <v>0.1919055783522913</v>
      </c>
      <c r="F2088">
        <v>3.024600636374188</v>
      </c>
      <c r="G2088">
        <v>28.375930248742041</v>
      </c>
      <c r="H2088">
        <v>2.214210992105345</v>
      </c>
      <c r="I2088">
        <v>0.21052490931453369</v>
      </c>
      <c r="J2088">
        <v>8.2583368827997994E-2</v>
      </c>
      <c r="K2088">
        <v>-9.0958311006283085E-2</v>
      </c>
      <c r="L2088">
        <v>0.14918447732220511</v>
      </c>
      <c r="M2088">
        <v>18</v>
      </c>
      <c r="N2088">
        <v>1</v>
      </c>
      <c r="O2088">
        <v>0</v>
      </c>
      <c r="P2088">
        <v>0.98790000000000011</v>
      </c>
      <c r="Q2088">
        <v>0</v>
      </c>
      <c r="R2088">
        <v>0</v>
      </c>
      <c r="S2088">
        <v>0</v>
      </c>
      <c r="T2088">
        <v>0.98790000000000011</v>
      </c>
      <c r="U2088">
        <v>4</v>
      </c>
      <c r="V2088">
        <v>0</v>
      </c>
      <c r="W2088">
        <v>0.5</v>
      </c>
      <c r="X2088">
        <v>0</v>
      </c>
      <c r="Y2088">
        <v>0.52329999999999999</v>
      </c>
      <c r="Z2088">
        <v>1</v>
      </c>
    </row>
    <row r="2089" spans="1:26" x14ac:dyDescent="0.2">
      <c r="A2089" t="s">
        <v>179</v>
      </c>
      <c r="B2089">
        <v>2023</v>
      </c>
      <c r="C2089" t="str">
        <f t="shared" si="32"/>
        <v>VCF2023</v>
      </c>
      <c r="D2089">
        <v>1716384202867.748</v>
      </c>
      <c r="E2089">
        <v>0.18051772401649491</v>
      </c>
      <c r="F2089">
        <v>1.954031424108293</v>
      </c>
      <c r="G2089">
        <v>28.608748116161511</v>
      </c>
      <c r="H2089">
        <v>4.0370386792849011</v>
      </c>
      <c r="I2089">
        <v>6.238251595935275E-2</v>
      </c>
      <c r="J2089">
        <v>0.26215157946758971</v>
      </c>
      <c r="K2089">
        <v>0.28339839165484332</v>
      </c>
      <c r="L2089">
        <v>9.9743404818065456E-2</v>
      </c>
      <c r="M2089">
        <v>19</v>
      </c>
      <c r="N2089">
        <v>0</v>
      </c>
      <c r="O2089">
        <v>0</v>
      </c>
      <c r="P2089">
        <v>0.98790000000000011</v>
      </c>
      <c r="Q2089">
        <v>0</v>
      </c>
      <c r="R2089">
        <v>0</v>
      </c>
      <c r="S2089">
        <v>0</v>
      </c>
      <c r="T2089">
        <v>0.98790000000000011</v>
      </c>
      <c r="U2089">
        <v>4</v>
      </c>
      <c r="V2089">
        <v>0</v>
      </c>
      <c r="W2089">
        <v>0.5</v>
      </c>
      <c r="X2089">
        <v>0</v>
      </c>
      <c r="Y2089">
        <v>0.52329999999999999</v>
      </c>
      <c r="Z2089">
        <v>1</v>
      </c>
    </row>
    <row r="2090" spans="1:26" x14ac:dyDescent="0.2">
      <c r="A2090" t="s">
        <v>180</v>
      </c>
      <c r="B2090">
        <v>2012</v>
      </c>
      <c r="C2090" t="str">
        <f t="shared" si="32"/>
        <v>VCS2012</v>
      </c>
      <c r="D2090">
        <v>8.3590397440051883E-15</v>
      </c>
      <c r="E2090">
        <v>5.8601417211730122E-2</v>
      </c>
      <c r="F2090">
        <v>0.82578876601863516</v>
      </c>
      <c r="G2090">
        <v>28.604677219494889</v>
      </c>
      <c r="H2090">
        <v>0.90931677192339833</v>
      </c>
      <c r="I2090">
        <v>0.61960546724053034</v>
      </c>
      <c r="J2090">
        <v>-1.8847896049542619E-2</v>
      </c>
      <c r="K2090">
        <v>6.6344597458816768E-2</v>
      </c>
      <c r="L2090">
        <v>0.45674823127230652</v>
      </c>
      <c r="M2090">
        <v>7</v>
      </c>
      <c r="N2090">
        <v>1</v>
      </c>
      <c r="O2090">
        <v>0</v>
      </c>
      <c r="P2090">
        <v>0.38579999999999998</v>
      </c>
      <c r="Q2090">
        <v>1.6799999999999999E-2</v>
      </c>
      <c r="R2090">
        <v>0.33579999999999999</v>
      </c>
      <c r="S2090">
        <v>0.05</v>
      </c>
      <c r="T2090">
        <v>0.38579999999999998</v>
      </c>
      <c r="U2090">
        <v>5</v>
      </c>
      <c r="V2090">
        <v>0</v>
      </c>
      <c r="W2090">
        <v>0</v>
      </c>
      <c r="X2090">
        <v>0</v>
      </c>
      <c r="Y2090">
        <v>0.46</v>
      </c>
      <c r="Z2090">
        <v>1</v>
      </c>
    </row>
    <row r="2091" spans="1:26" x14ac:dyDescent="0.2">
      <c r="A2091" t="s">
        <v>180</v>
      </c>
      <c r="B2091">
        <v>2013</v>
      </c>
      <c r="C2091" t="str">
        <f t="shared" si="32"/>
        <v>VCS2013</v>
      </c>
      <c r="D2091">
        <v>8.8799531252759772E-15</v>
      </c>
      <c r="E2091">
        <v>6.4003762663905561E-2</v>
      </c>
      <c r="F2091">
        <v>0.87456989001560625</v>
      </c>
      <c r="G2091">
        <v>28.648726302413891</v>
      </c>
      <c r="H2091">
        <v>1.045904580374561</v>
      </c>
      <c r="I2091">
        <v>0.61597511006301775</v>
      </c>
      <c r="J2091">
        <v>4.5033646931500249E-2</v>
      </c>
      <c r="K2091">
        <v>7.2855993337475555E-2</v>
      </c>
      <c r="L2091">
        <v>0.41538433024630539</v>
      </c>
      <c r="M2091">
        <v>8</v>
      </c>
      <c r="N2091">
        <v>1</v>
      </c>
      <c r="O2091">
        <v>0</v>
      </c>
      <c r="P2091">
        <v>0.46269999999999989</v>
      </c>
      <c r="Q2091">
        <v>1.6799999999999999E-2</v>
      </c>
      <c r="R2091">
        <v>0.46269999999999989</v>
      </c>
      <c r="S2091">
        <v>0</v>
      </c>
      <c r="T2091">
        <v>0.46269999999999989</v>
      </c>
      <c r="U2091">
        <v>5</v>
      </c>
      <c r="V2091">
        <v>0</v>
      </c>
      <c r="W2091">
        <v>0</v>
      </c>
      <c r="X2091">
        <v>0</v>
      </c>
      <c r="Y2091">
        <v>0.47549999999999998</v>
      </c>
      <c r="Z2091">
        <v>1</v>
      </c>
    </row>
    <row r="2092" spans="1:26" x14ac:dyDescent="0.2">
      <c r="A2092" t="s">
        <v>180</v>
      </c>
      <c r="B2092">
        <v>2014</v>
      </c>
      <c r="C2092" t="str">
        <f t="shared" si="32"/>
        <v>VCS2014</v>
      </c>
      <c r="D2092">
        <v>3.0262340376728152E-14</v>
      </c>
      <c r="E2092">
        <v>0.27010702815879029</v>
      </c>
      <c r="F2092">
        <v>1.1371740031183819</v>
      </c>
      <c r="G2092">
        <v>28.604803702615161</v>
      </c>
      <c r="H2092">
        <v>1.0312854628596391</v>
      </c>
      <c r="I2092">
        <v>0.70324256052838086</v>
      </c>
      <c r="J2092">
        <v>-4.2971971231505091E-2</v>
      </c>
      <c r="K2092">
        <v>9.1090445453758141E-3</v>
      </c>
      <c r="L2092">
        <v>0.27011873154892191</v>
      </c>
      <c r="M2092">
        <v>9</v>
      </c>
      <c r="N2092">
        <v>1</v>
      </c>
      <c r="O2092">
        <v>0</v>
      </c>
      <c r="P2092">
        <v>0.57999999999999996</v>
      </c>
      <c r="Q2092">
        <v>1.46E-2</v>
      </c>
      <c r="R2092">
        <v>0</v>
      </c>
      <c r="S2092">
        <v>0</v>
      </c>
      <c r="T2092">
        <v>0.57999999999999996</v>
      </c>
      <c r="U2092">
        <v>5</v>
      </c>
      <c r="V2092">
        <v>1</v>
      </c>
      <c r="W2092">
        <v>0.2</v>
      </c>
      <c r="X2092">
        <v>0</v>
      </c>
      <c r="Y2092">
        <v>0.42549999999999999</v>
      </c>
      <c r="Z2092">
        <v>1</v>
      </c>
    </row>
    <row r="2093" spans="1:26" x14ac:dyDescent="0.2">
      <c r="A2093" t="s">
        <v>180</v>
      </c>
      <c r="B2093">
        <v>2015</v>
      </c>
      <c r="C2093" t="str">
        <f t="shared" si="32"/>
        <v>VCS2015</v>
      </c>
      <c r="D2093">
        <v>5.2300969657010742E-14</v>
      </c>
      <c r="E2093">
        <v>0.40520418204579989</v>
      </c>
      <c r="F2093">
        <v>1.769003499084091</v>
      </c>
      <c r="G2093">
        <v>28.654004370306431</v>
      </c>
      <c r="H2093">
        <v>1.2449543145287481</v>
      </c>
      <c r="I2093">
        <v>0.64098565307019517</v>
      </c>
      <c r="J2093">
        <v>5.0431117179437157E-2</v>
      </c>
      <c r="K2093">
        <v>9.2711204450183118E-2</v>
      </c>
      <c r="L2093">
        <v>0.25285100393790788</v>
      </c>
      <c r="M2093">
        <v>10</v>
      </c>
      <c r="N2093">
        <v>1</v>
      </c>
      <c r="O2093">
        <v>0</v>
      </c>
      <c r="P2093">
        <v>0.57999999999999996</v>
      </c>
      <c r="Q2093">
        <v>1.1299999999999999E-2</v>
      </c>
      <c r="R2093">
        <v>0</v>
      </c>
      <c r="S2093">
        <v>0</v>
      </c>
      <c r="T2093">
        <v>0.57999999999999996</v>
      </c>
      <c r="U2093">
        <v>5</v>
      </c>
      <c r="V2093">
        <v>1</v>
      </c>
      <c r="W2093">
        <v>0.4</v>
      </c>
      <c r="X2093">
        <v>0</v>
      </c>
      <c r="Y2093">
        <v>0.42170000000000002</v>
      </c>
      <c r="Z2093">
        <v>1</v>
      </c>
    </row>
    <row r="2094" spans="1:26" x14ac:dyDescent="0.2">
      <c r="A2094" t="s">
        <v>180</v>
      </c>
      <c r="B2094">
        <v>2016</v>
      </c>
      <c r="C2094" t="str">
        <f t="shared" si="32"/>
        <v>VCS2016</v>
      </c>
      <c r="D2094">
        <v>6.0980821624323447E-14</v>
      </c>
      <c r="E2094">
        <v>0.46950328673232739</v>
      </c>
      <c r="F2094">
        <v>2.874473935258973</v>
      </c>
      <c r="G2094">
        <v>28.836372199160689</v>
      </c>
      <c r="H2094">
        <v>1.3792841837461971</v>
      </c>
      <c r="I2094">
        <v>0.56645721923648173</v>
      </c>
      <c r="J2094">
        <v>0.19299214682940599</v>
      </c>
      <c r="K2094">
        <v>0.24076034178262101</v>
      </c>
      <c r="L2094">
        <v>0.16223321583382019</v>
      </c>
      <c r="M2094">
        <v>11</v>
      </c>
      <c r="N2094">
        <v>1</v>
      </c>
      <c r="O2094">
        <v>0</v>
      </c>
      <c r="P2094">
        <v>0.72489999999999999</v>
      </c>
      <c r="Q2094">
        <v>2.93E-2</v>
      </c>
      <c r="R2094">
        <v>0</v>
      </c>
      <c r="S2094">
        <v>0</v>
      </c>
      <c r="T2094">
        <v>0.72489999999999999</v>
      </c>
      <c r="U2094">
        <v>5</v>
      </c>
      <c r="V2094">
        <v>0</v>
      </c>
      <c r="W2094">
        <v>0.4</v>
      </c>
      <c r="X2094">
        <v>0</v>
      </c>
      <c r="Y2094">
        <v>0.42749999999999999</v>
      </c>
      <c r="Z2094">
        <v>1</v>
      </c>
    </row>
    <row r="2095" spans="1:26" x14ac:dyDescent="0.2">
      <c r="A2095" t="s">
        <v>180</v>
      </c>
      <c r="B2095">
        <v>2017</v>
      </c>
      <c r="C2095" t="str">
        <f t="shared" si="32"/>
        <v>VCS2017</v>
      </c>
      <c r="D2095">
        <v>7.7288139445678888E-14</v>
      </c>
      <c r="E2095">
        <v>0.46820915801834623</v>
      </c>
      <c r="F2095">
        <v>5.2428216828713596</v>
      </c>
      <c r="G2095">
        <v>28.968585900552021</v>
      </c>
      <c r="H2095">
        <v>1.60059845671527</v>
      </c>
      <c r="I2095">
        <v>0.37111685707225112</v>
      </c>
      <c r="J2095">
        <v>0.14810983666650429</v>
      </c>
      <c r="K2095">
        <v>0.18888206633835089</v>
      </c>
      <c r="L2095">
        <v>0.12879510852202911</v>
      </c>
      <c r="M2095">
        <v>12</v>
      </c>
      <c r="N2095">
        <v>1</v>
      </c>
      <c r="O2095">
        <v>0</v>
      </c>
      <c r="P2095">
        <v>0.8</v>
      </c>
      <c r="Q2095">
        <v>2.9399999999999999E-2</v>
      </c>
      <c r="R2095">
        <v>0</v>
      </c>
      <c r="S2095">
        <v>0</v>
      </c>
      <c r="T2095">
        <v>0.8</v>
      </c>
      <c r="U2095">
        <v>5</v>
      </c>
      <c r="V2095">
        <v>0</v>
      </c>
      <c r="W2095">
        <v>0.4</v>
      </c>
      <c r="X2095">
        <v>0</v>
      </c>
      <c r="Y2095">
        <v>0.42449999999999999</v>
      </c>
      <c r="Z2095">
        <v>1</v>
      </c>
    </row>
    <row r="2096" spans="1:26" x14ac:dyDescent="0.2">
      <c r="A2096" t="s">
        <v>180</v>
      </c>
      <c r="B2096">
        <v>2018</v>
      </c>
      <c r="C2096" t="str">
        <f t="shared" si="32"/>
        <v>VCS2018</v>
      </c>
      <c r="D2096">
        <v>5.792030727265057E-14</v>
      </c>
      <c r="E2096">
        <v>0.4114712462643913</v>
      </c>
      <c r="F2096">
        <v>2.7866808978920519</v>
      </c>
      <c r="G2096">
        <v>29.11360865194133</v>
      </c>
      <c r="H2096">
        <v>2.3286441247099172</v>
      </c>
      <c r="I2096">
        <v>0.38002960560389659</v>
      </c>
      <c r="J2096">
        <v>0.15606587207354439</v>
      </c>
      <c r="K2096">
        <v>7.5320764608673138E-2</v>
      </c>
      <c r="L2096">
        <v>0.13117233108291579</v>
      </c>
      <c r="M2096">
        <v>13</v>
      </c>
      <c r="N2096">
        <v>1</v>
      </c>
      <c r="O2096">
        <v>0</v>
      </c>
      <c r="P2096">
        <v>0.81629999999999991</v>
      </c>
      <c r="Q2096">
        <v>0.03</v>
      </c>
      <c r="R2096">
        <v>0</v>
      </c>
      <c r="S2096">
        <v>0</v>
      </c>
      <c r="T2096">
        <v>0.81629999999999991</v>
      </c>
      <c r="U2096">
        <v>5</v>
      </c>
      <c r="V2096">
        <v>0</v>
      </c>
      <c r="W2096">
        <v>0.4</v>
      </c>
      <c r="X2096">
        <v>0</v>
      </c>
      <c r="Y2096">
        <v>0.42920000000000003</v>
      </c>
      <c r="Z2096">
        <v>1</v>
      </c>
    </row>
    <row r="2097" spans="1:26" x14ac:dyDescent="0.2">
      <c r="A2097" t="s">
        <v>180</v>
      </c>
      <c r="B2097">
        <v>2019</v>
      </c>
      <c r="C2097" t="str">
        <f t="shared" si="32"/>
        <v>VCS2019</v>
      </c>
      <c r="D2097">
        <v>4.5227380561243887E-14</v>
      </c>
      <c r="E2097">
        <v>0.4088846057076666</v>
      </c>
      <c r="F2097">
        <v>2.3910552306108199</v>
      </c>
      <c r="G2097">
        <v>29.350882914864581</v>
      </c>
      <c r="H2097">
        <v>2.267476500723355</v>
      </c>
      <c r="I2097">
        <v>0.38237173262048357</v>
      </c>
      <c r="J2097">
        <v>0.26778877755419472</v>
      </c>
      <c r="K2097">
        <v>0.1589432864305998</v>
      </c>
      <c r="L2097">
        <v>0.1963605057580253</v>
      </c>
      <c r="M2097">
        <v>14</v>
      </c>
      <c r="N2097">
        <v>1</v>
      </c>
      <c r="O2097">
        <v>1</v>
      </c>
      <c r="P2097">
        <v>0.81629999999999991</v>
      </c>
      <c r="Q2097">
        <v>4.0500000000000001E-2</v>
      </c>
      <c r="R2097">
        <v>0</v>
      </c>
      <c r="S2097">
        <v>0</v>
      </c>
      <c r="T2097">
        <v>0.81629999999999991</v>
      </c>
      <c r="U2097">
        <v>5</v>
      </c>
      <c r="V2097">
        <v>0</v>
      </c>
      <c r="W2097">
        <v>0.6</v>
      </c>
      <c r="X2097">
        <v>0</v>
      </c>
      <c r="Y2097">
        <v>0.40600000000000003</v>
      </c>
      <c r="Z2097">
        <v>1</v>
      </c>
    </row>
    <row r="2098" spans="1:26" x14ac:dyDescent="0.2">
      <c r="A2098" t="s">
        <v>180</v>
      </c>
      <c r="B2098">
        <v>2020</v>
      </c>
      <c r="C2098" t="str">
        <f t="shared" si="32"/>
        <v>VCS2020</v>
      </c>
      <c r="D2098">
        <v>3.895646985783394E-14</v>
      </c>
      <c r="E2098">
        <v>0.37026594481709862</v>
      </c>
      <c r="F2098">
        <v>2.5978670011681948</v>
      </c>
      <c r="G2098">
        <v>29.431960709234591</v>
      </c>
      <c r="H2098">
        <v>2.3676525188609792</v>
      </c>
      <c r="I2098">
        <v>0.36290535721545197</v>
      </c>
      <c r="J2098">
        <v>8.4455257798890848E-2</v>
      </c>
      <c r="K2098">
        <v>0.20908769906595409</v>
      </c>
      <c r="L2098">
        <v>0.1864797581625485</v>
      </c>
      <c r="M2098">
        <v>15</v>
      </c>
      <c r="N2098">
        <v>1</v>
      </c>
      <c r="O2098">
        <v>1</v>
      </c>
      <c r="P2098">
        <v>0.84160000000000001</v>
      </c>
      <c r="Q2098">
        <v>4.1099999999999998E-2</v>
      </c>
      <c r="R2098">
        <v>0</v>
      </c>
      <c r="S2098">
        <v>0</v>
      </c>
      <c r="T2098">
        <v>0.84160000000000001</v>
      </c>
      <c r="U2098">
        <v>5</v>
      </c>
      <c r="V2098">
        <v>0</v>
      </c>
      <c r="W2098">
        <v>0.4</v>
      </c>
      <c r="X2098">
        <v>1</v>
      </c>
      <c r="Y2098">
        <v>0.44450000000000001</v>
      </c>
      <c r="Z2098">
        <v>1</v>
      </c>
    </row>
    <row r="2099" spans="1:26" x14ac:dyDescent="0.2">
      <c r="A2099" t="s">
        <v>180</v>
      </c>
      <c r="B2099">
        <v>2021</v>
      </c>
      <c r="C2099" t="str">
        <f t="shared" si="32"/>
        <v>VCS2021</v>
      </c>
      <c r="D2099">
        <v>3.7296898921556409E-14</v>
      </c>
      <c r="E2099">
        <v>0.3635593427964956</v>
      </c>
      <c r="F2099">
        <v>3.0087010878594609</v>
      </c>
      <c r="G2099">
        <v>29.56151498070848</v>
      </c>
      <c r="H2099">
        <v>2.45280630430605</v>
      </c>
      <c r="I2099">
        <v>0.29286839761352551</v>
      </c>
      <c r="J2099">
        <v>0.1383208881387685</v>
      </c>
      <c r="K2099">
        <v>0.16090054582845931</v>
      </c>
      <c r="L2099">
        <v>0.15101408796515781</v>
      </c>
      <c r="M2099">
        <v>16</v>
      </c>
      <c r="N2099">
        <v>1</v>
      </c>
      <c r="O2099">
        <v>0</v>
      </c>
      <c r="P2099">
        <v>0.84160000000000001</v>
      </c>
      <c r="Q2099">
        <v>4.1099999999999998E-2</v>
      </c>
      <c r="R2099">
        <v>0</v>
      </c>
      <c r="S2099">
        <v>0</v>
      </c>
      <c r="T2099">
        <v>0.84160000000000001</v>
      </c>
      <c r="U2099">
        <v>5</v>
      </c>
      <c r="V2099">
        <v>0</v>
      </c>
      <c r="W2099">
        <v>0.4</v>
      </c>
      <c r="X2099">
        <v>0</v>
      </c>
      <c r="Y2099">
        <v>0.44900000000000001</v>
      </c>
      <c r="Z2099">
        <v>1</v>
      </c>
    </row>
    <row r="2100" spans="1:26" x14ac:dyDescent="0.2">
      <c r="A2100" t="s">
        <v>180</v>
      </c>
      <c r="B2100">
        <v>2022</v>
      </c>
      <c r="C2100" t="str">
        <f t="shared" si="32"/>
        <v>VCS2022</v>
      </c>
      <c r="D2100">
        <v>2.645143304900512E-14</v>
      </c>
      <c r="E2100">
        <v>0.2359343197377049</v>
      </c>
      <c r="F2100">
        <v>1.625693762391238</v>
      </c>
      <c r="G2100">
        <v>29.51656002442429</v>
      </c>
      <c r="H2100">
        <v>3.1131384708140901</v>
      </c>
      <c r="I2100">
        <v>0.26118240494277312</v>
      </c>
      <c r="J2100">
        <v>-4.3959455518163611E-2</v>
      </c>
      <c r="K2100">
        <v>0.18416461672206261</v>
      </c>
      <c r="L2100">
        <v>0.15575176363014909</v>
      </c>
      <c r="M2100">
        <v>17</v>
      </c>
      <c r="N2100">
        <v>1</v>
      </c>
      <c r="O2100">
        <v>0</v>
      </c>
      <c r="P2100">
        <v>0.84150000000000003</v>
      </c>
      <c r="Q2100">
        <v>4.1099999999999998E-2</v>
      </c>
      <c r="R2100">
        <v>0</v>
      </c>
      <c r="S2100">
        <v>0</v>
      </c>
      <c r="T2100">
        <v>0.84150000000000003</v>
      </c>
      <c r="U2100">
        <v>5</v>
      </c>
      <c r="V2100">
        <v>0</v>
      </c>
      <c r="W2100">
        <v>0.4</v>
      </c>
      <c r="X2100">
        <v>0</v>
      </c>
      <c r="Y2100">
        <v>0.45700000000000002</v>
      </c>
      <c r="Z2100">
        <v>1</v>
      </c>
    </row>
    <row r="2101" spans="1:26" x14ac:dyDescent="0.2">
      <c r="A2101" t="s">
        <v>180</v>
      </c>
      <c r="B2101">
        <v>2023</v>
      </c>
      <c r="C2101" t="str">
        <f t="shared" si="32"/>
        <v>VCS2023</v>
      </c>
      <c r="D2101">
        <v>16913331401017.4</v>
      </c>
      <c r="E2101">
        <v>0.15779309054861529</v>
      </c>
      <c r="F2101">
        <v>1.5312315106072529</v>
      </c>
      <c r="G2101">
        <v>29.497926520778311</v>
      </c>
      <c r="H2101">
        <v>3.403486199490529</v>
      </c>
      <c r="I2101">
        <v>0.17073962270956741</v>
      </c>
      <c r="J2101">
        <v>-1.846097319444806E-2</v>
      </c>
      <c r="K2101">
        <v>0.20954179949528459</v>
      </c>
      <c r="L2101">
        <v>0.14423886520902479</v>
      </c>
      <c r="M2101">
        <v>18</v>
      </c>
      <c r="N2101">
        <v>0</v>
      </c>
      <c r="O2101">
        <v>0</v>
      </c>
      <c r="P2101">
        <v>0.84150000000000003</v>
      </c>
      <c r="Q2101">
        <v>4.1099999999999998E-2</v>
      </c>
      <c r="R2101">
        <v>0</v>
      </c>
      <c r="S2101">
        <v>0</v>
      </c>
      <c r="T2101">
        <v>0.84150000000000003</v>
      </c>
      <c r="U2101">
        <v>5</v>
      </c>
      <c r="V2101">
        <v>0</v>
      </c>
      <c r="W2101">
        <v>0.4</v>
      </c>
      <c r="X2101">
        <v>0</v>
      </c>
      <c r="Y2101">
        <v>0.45700000000000002</v>
      </c>
      <c r="Z2101">
        <v>1</v>
      </c>
    </row>
    <row r="2102" spans="1:26" x14ac:dyDescent="0.2">
      <c r="A2102" t="s">
        <v>181</v>
      </c>
      <c r="B2102">
        <v>2012</v>
      </c>
      <c r="C2102" t="str">
        <f t="shared" si="32"/>
        <v>VDL2012</v>
      </c>
      <c r="D2102">
        <v>1.0701007859538461E-12</v>
      </c>
      <c r="E2102">
        <v>0.21798832799413639</v>
      </c>
      <c r="F2102">
        <v>0.75914940248674856</v>
      </c>
      <c r="G2102">
        <v>25.66145535765239</v>
      </c>
      <c r="H2102">
        <v>2.890335863572489</v>
      </c>
      <c r="I2102">
        <v>0.31511145557032011</v>
      </c>
      <c r="J2102">
        <v>0.1164835788126415</v>
      </c>
      <c r="K2102">
        <v>0.27786663089508962</v>
      </c>
      <c r="L2102">
        <v>0.1036478324381943</v>
      </c>
      <c r="M2102">
        <v>20</v>
      </c>
      <c r="N2102">
        <v>0</v>
      </c>
      <c r="O2102">
        <v>0</v>
      </c>
      <c r="P2102">
        <v>0.66739999999999999</v>
      </c>
      <c r="Q2102">
        <v>6.5000000000000002E-2</v>
      </c>
      <c r="R2102">
        <v>0.20200000000000001</v>
      </c>
      <c r="S2102">
        <v>0</v>
      </c>
      <c r="T2102">
        <v>0.45050000000000001</v>
      </c>
      <c r="U2102">
        <v>9</v>
      </c>
      <c r="V2102">
        <v>1</v>
      </c>
      <c r="W2102">
        <v>0.22222222222222221</v>
      </c>
      <c r="X2102">
        <v>1</v>
      </c>
      <c r="Y2102">
        <v>0.41710000000000003</v>
      </c>
      <c r="Z2102">
        <v>0.66666666666666663</v>
      </c>
    </row>
    <row r="2103" spans="1:26" x14ac:dyDescent="0.2">
      <c r="A2103" t="s">
        <v>181</v>
      </c>
      <c r="B2103">
        <v>2013</v>
      </c>
      <c r="C2103" t="str">
        <f t="shared" si="32"/>
        <v>VDL2013</v>
      </c>
      <c r="D2103">
        <v>1.131208578545699E-12</v>
      </c>
      <c r="E2103">
        <v>0.20228536540201461</v>
      </c>
      <c r="F2103">
        <v>1.337995084337225</v>
      </c>
      <c r="G2103">
        <v>25.674724747888021</v>
      </c>
      <c r="H2103">
        <v>2.8112825795409111</v>
      </c>
      <c r="I2103">
        <v>0.2093768838753135</v>
      </c>
      <c r="J2103">
        <v>1.8302168625170308E-2</v>
      </c>
      <c r="K2103">
        <v>7.1968459815300298E-2</v>
      </c>
      <c r="L2103">
        <v>8.7339487823422754E-2</v>
      </c>
      <c r="M2103">
        <v>21</v>
      </c>
      <c r="N2103">
        <v>0</v>
      </c>
      <c r="O2103">
        <v>0</v>
      </c>
      <c r="P2103">
        <v>0.66749999999999998</v>
      </c>
      <c r="Q2103">
        <v>6.1600000000000002E-2</v>
      </c>
      <c r="R2103">
        <v>0.20200000000000001</v>
      </c>
      <c r="S2103">
        <v>0</v>
      </c>
      <c r="T2103">
        <v>0.4506</v>
      </c>
      <c r="U2103">
        <v>5</v>
      </c>
      <c r="V2103">
        <v>1</v>
      </c>
      <c r="W2103">
        <v>0.2</v>
      </c>
      <c r="X2103">
        <v>1</v>
      </c>
      <c r="Y2103">
        <v>0.42090000000000011</v>
      </c>
      <c r="Z2103">
        <v>0.8</v>
      </c>
    </row>
    <row r="2104" spans="1:26" x14ac:dyDescent="0.2">
      <c r="A2104" t="s">
        <v>181</v>
      </c>
      <c r="B2104">
        <v>2014</v>
      </c>
      <c r="C2104" t="str">
        <f t="shared" si="32"/>
        <v>VDL2014</v>
      </c>
      <c r="D2104">
        <v>6.1560689687821428E-13</v>
      </c>
      <c r="E2104">
        <v>0.15446009178596751</v>
      </c>
      <c r="F2104">
        <v>1.809808848838927</v>
      </c>
      <c r="G2104">
        <v>25.925501205367471</v>
      </c>
      <c r="H2104">
        <v>4.390291719623316</v>
      </c>
      <c r="I2104">
        <v>0.27591541443660977</v>
      </c>
      <c r="J2104">
        <v>0.28502279498715583</v>
      </c>
      <c r="K2104">
        <v>6.5886732327798528E-2</v>
      </c>
      <c r="L2104">
        <v>0.1243565687299918</v>
      </c>
      <c r="M2104">
        <v>22</v>
      </c>
      <c r="N2104">
        <v>0</v>
      </c>
      <c r="O2104">
        <v>0</v>
      </c>
      <c r="P2104">
        <v>0.76900000000000002</v>
      </c>
      <c r="Q2104">
        <v>5.8899999999999987E-2</v>
      </c>
      <c r="R2104">
        <v>0.20200000000000001</v>
      </c>
      <c r="S2104">
        <v>0</v>
      </c>
      <c r="T2104">
        <v>0.55200000000000005</v>
      </c>
      <c r="U2104">
        <v>5</v>
      </c>
      <c r="V2104">
        <v>0</v>
      </c>
      <c r="W2104">
        <v>0.2</v>
      </c>
      <c r="X2104">
        <v>1</v>
      </c>
      <c r="Y2104">
        <v>0.43090000000000012</v>
      </c>
      <c r="Z2104">
        <v>0.8</v>
      </c>
    </row>
    <row r="2105" spans="1:26" x14ac:dyDescent="0.2">
      <c r="A2105" t="s">
        <v>181</v>
      </c>
      <c r="B2105">
        <v>2015</v>
      </c>
      <c r="C2105" t="str">
        <f t="shared" si="32"/>
        <v>VDL2015</v>
      </c>
      <c r="D2105">
        <v>5.4958232294052414E-13</v>
      </c>
      <c r="E2105">
        <v>0.15947263742093409</v>
      </c>
      <c r="F2105">
        <v>2.3056414228752629</v>
      </c>
      <c r="G2105">
        <v>26.08505740435189</v>
      </c>
      <c r="H2105">
        <v>3.1905965236959801</v>
      </c>
      <c r="I2105">
        <v>0.26558241112821318</v>
      </c>
      <c r="J2105">
        <v>0.17299018122533119</v>
      </c>
      <c r="K2105">
        <v>-9.564845022721559E-2</v>
      </c>
      <c r="L2105">
        <v>0.1077284332007247</v>
      </c>
      <c r="M2105">
        <v>23</v>
      </c>
      <c r="N2105">
        <v>0</v>
      </c>
      <c r="O2105">
        <v>0</v>
      </c>
      <c r="P2105">
        <v>0.86</v>
      </c>
      <c r="Q2105">
        <v>2.6100000000000002E-2</v>
      </c>
      <c r="R2105">
        <v>0.51</v>
      </c>
      <c r="S2105">
        <v>0</v>
      </c>
      <c r="T2105">
        <v>0.86</v>
      </c>
      <c r="U2105">
        <v>4</v>
      </c>
      <c r="V2105">
        <v>0</v>
      </c>
      <c r="W2105">
        <v>0.25</v>
      </c>
      <c r="X2105">
        <v>1</v>
      </c>
      <c r="Y2105">
        <v>0.44109999999999999</v>
      </c>
      <c r="Z2105">
        <v>0.75</v>
      </c>
    </row>
    <row r="2106" spans="1:26" x14ac:dyDescent="0.2">
      <c r="A2106" t="s">
        <v>181</v>
      </c>
      <c r="B2106">
        <v>2016</v>
      </c>
      <c r="C2106" t="str">
        <f t="shared" si="32"/>
        <v>VDL2016</v>
      </c>
      <c r="D2106">
        <v>3.8883060093184412E-13</v>
      </c>
      <c r="E2106">
        <v>0.1161232114626855</v>
      </c>
      <c r="F2106">
        <v>2.4289433907012481</v>
      </c>
      <c r="G2106">
        <v>26.161173327722761</v>
      </c>
      <c r="H2106">
        <v>3.361871570460635</v>
      </c>
      <c r="I2106">
        <v>0.2299931035941741</v>
      </c>
      <c r="J2106">
        <v>7.9087658385874393E-2</v>
      </c>
      <c r="K2106">
        <v>0.1079279303231072</v>
      </c>
      <c r="L2106">
        <v>0.19801959895082699</v>
      </c>
      <c r="M2106">
        <v>24</v>
      </c>
      <c r="N2106">
        <v>0</v>
      </c>
      <c r="O2106">
        <v>0</v>
      </c>
      <c r="P2106">
        <v>0.86</v>
      </c>
      <c r="Q2106">
        <v>2.5999999999999999E-2</v>
      </c>
      <c r="R2106">
        <v>0.51</v>
      </c>
      <c r="S2106">
        <v>0</v>
      </c>
      <c r="T2106">
        <v>0.86</v>
      </c>
      <c r="U2106">
        <v>5</v>
      </c>
      <c r="V2106">
        <v>0</v>
      </c>
      <c r="W2106">
        <v>0.2</v>
      </c>
      <c r="X2106">
        <v>1</v>
      </c>
      <c r="Y2106">
        <v>0.46600000000000003</v>
      </c>
      <c r="Z2106">
        <v>0.8</v>
      </c>
    </row>
    <row r="2107" spans="1:26" x14ac:dyDescent="0.2">
      <c r="A2107" t="s">
        <v>181</v>
      </c>
      <c r="B2107">
        <v>2017</v>
      </c>
      <c r="C2107" t="str">
        <f t="shared" si="32"/>
        <v>VDL2017</v>
      </c>
      <c r="D2107">
        <v>3.0844434100369552E-13</v>
      </c>
      <c r="E2107">
        <v>0.1142885382745866</v>
      </c>
      <c r="F2107">
        <v>1.927199403016854</v>
      </c>
      <c r="G2107">
        <v>26.286492283535679</v>
      </c>
      <c r="H2107">
        <v>3.4852460694339999</v>
      </c>
      <c r="I2107">
        <v>0.29651850831205651</v>
      </c>
      <c r="J2107">
        <v>0</v>
      </c>
      <c r="K2107">
        <v>5.0338240982334997E-2</v>
      </c>
      <c r="L2107">
        <v>0.2093522972310479</v>
      </c>
      <c r="M2107">
        <v>25</v>
      </c>
      <c r="N2107">
        <v>0</v>
      </c>
      <c r="O2107">
        <v>0</v>
      </c>
      <c r="P2107">
        <v>0.86</v>
      </c>
      <c r="Q2107">
        <v>2.93E-2</v>
      </c>
      <c r="R2107">
        <v>0.51</v>
      </c>
      <c r="S2107">
        <v>0</v>
      </c>
      <c r="T2107">
        <v>0.86</v>
      </c>
      <c r="U2107">
        <v>5</v>
      </c>
      <c r="V2107">
        <v>1</v>
      </c>
      <c r="W2107">
        <v>0.2</v>
      </c>
      <c r="X2107">
        <v>1</v>
      </c>
      <c r="Y2107">
        <v>0.46100000000000002</v>
      </c>
      <c r="Z2107">
        <v>1</v>
      </c>
    </row>
    <row r="2108" spans="1:26" x14ac:dyDescent="0.2">
      <c r="A2108" t="s">
        <v>181</v>
      </c>
      <c r="B2108">
        <v>2018</v>
      </c>
      <c r="C2108" t="str">
        <f t="shared" si="32"/>
        <v>VDL2018</v>
      </c>
      <c r="D2108">
        <v>0</v>
      </c>
      <c r="E2108">
        <v>0</v>
      </c>
      <c r="F2108">
        <v>2.0291695522705431</v>
      </c>
      <c r="G2108">
        <v>26.153017120059449</v>
      </c>
      <c r="H2108" t="e">
        <v>#N/A</v>
      </c>
      <c r="I2108">
        <v>0.16563903171649769</v>
      </c>
      <c r="J2108">
        <v>-0.12495079811197241</v>
      </c>
      <c r="K2108">
        <v>0.206641172052866</v>
      </c>
      <c r="L2108">
        <v>0.44918396510167952</v>
      </c>
      <c r="M2108">
        <v>26</v>
      </c>
      <c r="N2108">
        <v>0</v>
      </c>
      <c r="O2108">
        <v>0</v>
      </c>
      <c r="P2108">
        <v>0.86</v>
      </c>
      <c r="Q2108">
        <v>2.7900000000000001E-2</v>
      </c>
      <c r="R2108">
        <v>0.51</v>
      </c>
      <c r="S2108">
        <v>0</v>
      </c>
      <c r="T2108">
        <v>0.86</v>
      </c>
      <c r="U2108">
        <v>5</v>
      </c>
      <c r="V2108">
        <v>1</v>
      </c>
      <c r="W2108">
        <v>0.2</v>
      </c>
      <c r="X2108">
        <v>1</v>
      </c>
      <c r="Y2108">
        <v>0.48</v>
      </c>
      <c r="Z2108">
        <v>1</v>
      </c>
    </row>
    <row r="2109" spans="1:26" x14ac:dyDescent="0.2">
      <c r="A2109" t="s">
        <v>181</v>
      </c>
      <c r="B2109">
        <v>2019</v>
      </c>
      <c r="C2109" t="str">
        <f t="shared" si="32"/>
        <v>VDL2019</v>
      </c>
      <c r="D2109">
        <v>2.3875565015110561E-13</v>
      </c>
      <c r="E2109">
        <v>8.6718947089844872E-2</v>
      </c>
      <c r="F2109">
        <v>1.708120645979279</v>
      </c>
      <c r="G2109">
        <v>26.300594878426089</v>
      </c>
      <c r="H2109">
        <v>4.518351289473622</v>
      </c>
      <c r="I2109">
        <v>0.27214832086397978</v>
      </c>
      <c r="J2109">
        <v>0.15902340509277971</v>
      </c>
      <c r="K2109">
        <v>0.20742544498510351</v>
      </c>
      <c r="L2109">
        <v>0.26205895461759449</v>
      </c>
      <c r="M2109">
        <v>27</v>
      </c>
      <c r="N2109">
        <v>0</v>
      </c>
      <c r="O2109">
        <v>1</v>
      </c>
      <c r="P2109">
        <v>0.89300000000000002</v>
      </c>
      <c r="Q2109">
        <v>2.4E-2</v>
      </c>
      <c r="R2109">
        <v>0</v>
      </c>
      <c r="S2109">
        <v>0</v>
      </c>
      <c r="T2109">
        <v>0.89300000000000002</v>
      </c>
      <c r="U2109">
        <v>5</v>
      </c>
      <c r="V2109">
        <v>1</v>
      </c>
      <c r="W2109">
        <v>0.2</v>
      </c>
      <c r="X2109">
        <v>1</v>
      </c>
      <c r="Y2109">
        <v>0.46600000000000003</v>
      </c>
      <c r="Z2109">
        <v>1</v>
      </c>
    </row>
    <row r="2110" spans="1:26" x14ac:dyDescent="0.2">
      <c r="A2110" t="s">
        <v>181</v>
      </c>
      <c r="B2110">
        <v>2020</v>
      </c>
      <c r="C2110" t="str">
        <f t="shared" si="32"/>
        <v>VDL2020</v>
      </c>
      <c r="D2110">
        <v>3.4649874330598149E-13</v>
      </c>
      <c r="E2110">
        <v>8.2228462869671615E-2</v>
      </c>
      <c r="F2110">
        <v>1.7723728814769859</v>
      </c>
      <c r="G2110">
        <v>26.116693900548871</v>
      </c>
      <c r="H2110">
        <v>2.721821941342458</v>
      </c>
      <c r="I2110">
        <v>7.3137015222374646E-2</v>
      </c>
      <c r="J2110">
        <v>-0.1679818120451568</v>
      </c>
      <c r="K2110">
        <v>-6.4112288213381011E-2</v>
      </c>
      <c r="L2110">
        <v>0.24843907123178</v>
      </c>
      <c r="M2110">
        <v>28</v>
      </c>
      <c r="N2110">
        <v>0</v>
      </c>
      <c r="O2110">
        <v>1</v>
      </c>
      <c r="P2110">
        <v>0.89300000000000002</v>
      </c>
      <c r="Q2110">
        <v>2.4E-2</v>
      </c>
      <c r="R2110">
        <v>0</v>
      </c>
      <c r="S2110">
        <v>0</v>
      </c>
      <c r="T2110">
        <v>0.89300000000000002</v>
      </c>
      <c r="U2110">
        <v>5</v>
      </c>
      <c r="V2110">
        <v>0</v>
      </c>
      <c r="W2110">
        <v>0.4</v>
      </c>
      <c r="X2110">
        <v>1</v>
      </c>
      <c r="Y2110">
        <v>0.48139999999999999</v>
      </c>
      <c r="Z2110">
        <v>1</v>
      </c>
    </row>
    <row r="2111" spans="1:26" x14ac:dyDescent="0.2">
      <c r="A2111" t="s">
        <v>181</v>
      </c>
      <c r="B2111">
        <v>2021</v>
      </c>
      <c r="C2111" t="str">
        <f t="shared" si="32"/>
        <v>VDL2021</v>
      </c>
      <c r="D2111">
        <v>2.071881777124176E-13</v>
      </c>
      <c r="E2111">
        <v>5.5328994367266182E-2</v>
      </c>
      <c r="F2111">
        <v>1.553621796158885</v>
      </c>
      <c r="G2111">
        <v>26.183245869360132</v>
      </c>
      <c r="H2111">
        <v>9.5150806320897949</v>
      </c>
      <c r="I2111">
        <v>0.11965805819239381</v>
      </c>
      <c r="J2111">
        <v>6.8816507755258494E-2</v>
      </c>
      <c r="K2111">
        <v>0.37913357654270402</v>
      </c>
      <c r="L2111">
        <v>0.30114883446525642</v>
      </c>
      <c r="M2111">
        <v>29</v>
      </c>
      <c r="N2111">
        <v>0</v>
      </c>
      <c r="O2111">
        <v>0</v>
      </c>
      <c r="P2111">
        <v>0.89300000000000002</v>
      </c>
      <c r="Q2111">
        <v>2.3400000000000001E-2</v>
      </c>
      <c r="R2111">
        <v>0</v>
      </c>
      <c r="S2111">
        <v>0</v>
      </c>
      <c r="T2111">
        <v>0.89300000000000002</v>
      </c>
      <c r="U2111">
        <v>5</v>
      </c>
      <c r="V2111">
        <v>0</v>
      </c>
      <c r="W2111">
        <v>0.4</v>
      </c>
      <c r="X2111">
        <v>1</v>
      </c>
      <c r="Y2111">
        <v>0.49</v>
      </c>
      <c r="Z2111">
        <v>1</v>
      </c>
    </row>
    <row r="2112" spans="1:26" x14ac:dyDescent="0.2">
      <c r="A2112" t="s">
        <v>181</v>
      </c>
      <c r="B2112">
        <v>2022</v>
      </c>
      <c r="C2112" t="str">
        <f t="shared" si="32"/>
        <v>VDL2022</v>
      </c>
      <c r="D2112">
        <v>7.3588601945970454E-14</v>
      </c>
      <c r="E2112">
        <v>1.7070244069694991E-2</v>
      </c>
      <c r="F2112">
        <v>1.7659945947611531</v>
      </c>
      <c r="G2112">
        <v>26.0718514782771</v>
      </c>
      <c r="H2112">
        <v>6.1024259418884901</v>
      </c>
      <c r="I2112">
        <v>9.3365895939372556E-2</v>
      </c>
      <c r="J2112">
        <v>-0.1054141373412322</v>
      </c>
      <c r="K2112">
        <v>-0.1027203546335588</v>
      </c>
      <c r="L2112">
        <v>0.2577509921014951</v>
      </c>
      <c r="M2112">
        <v>30</v>
      </c>
      <c r="N2112">
        <v>0</v>
      </c>
      <c r="O2112">
        <v>0</v>
      </c>
      <c r="P2112">
        <v>0.89300000000000002</v>
      </c>
      <c r="Q2112">
        <v>2.3400000000000001E-2</v>
      </c>
      <c r="R2112">
        <v>0</v>
      </c>
      <c r="S2112">
        <v>0</v>
      </c>
      <c r="T2112">
        <v>0.89300000000000002</v>
      </c>
      <c r="U2112">
        <v>5</v>
      </c>
      <c r="V2112">
        <v>0</v>
      </c>
      <c r="W2112">
        <v>0.4</v>
      </c>
      <c r="X2112">
        <v>1</v>
      </c>
      <c r="Y2112">
        <v>0.46899999999999997</v>
      </c>
      <c r="Z2112">
        <v>1</v>
      </c>
    </row>
    <row r="2113" spans="1:26" x14ac:dyDescent="0.2">
      <c r="A2113" t="s">
        <v>181</v>
      </c>
      <c r="B2113">
        <v>2023</v>
      </c>
      <c r="C2113" t="str">
        <f t="shared" si="32"/>
        <v>VDL2023</v>
      </c>
      <c r="D2113">
        <v>-68168087173.162216</v>
      </c>
      <c r="E2113">
        <v>-8.170459813361397E-2</v>
      </c>
      <c r="F2113">
        <v>1.1602685987044119</v>
      </c>
      <c r="G2113">
        <v>26.0718514782771</v>
      </c>
      <c r="H2113">
        <v>8.8904758470832768</v>
      </c>
      <c r="I2113">
        <v>5.215208573498268E-2</v>
      </c>
      <c r="J2113">
        <v>-0.16072168063733891</v>
      </c>
      <c r="K2113">
        <v>-4.5114616123161012E-2</v>
      </c>
      <c r="L2113">
        <v>0.24728695240798221</v>
      </c>
      <c r="M2113">
        <v>31</v>
      </c>
      <c r="N2113">
        <v>0</v>
      </c>
      <c r="O2113">
        <v>0</v>
      </c>
      <c r="P2113">
        <v>0.89300000000000002</v>
      </c>
      <c r="Q2113">
        <v>2.3400000000000001E-2</v>
      </c>
      <c r="R2113">
        <v>0</v>
      </c>
      <c r="S2113">
        <v>0</v>
      </c>
      <c r="T2113">
        <v>0.89300000000000002</v>
      </c>
      <c r="U2113">
        <v>5</v>
      </c>
      <c r="V2113">
        <v>0</v>
      </c>
      <c r="W2113">
        <v>0.4</v>
      </c>
      <c r="X2113">
        <v>1</v>
      </c>
      <c r="Y2113">
        <v>0.46899999999999997</v>
      </c>
      <c r="Z2113">
        <v>1</v>
      </c>
    </row>
    <row r="2114" spans="1:26" x14ac:dyDescent="0.2">
      <c r="A2114" t="s">
        <v>182</v>
      </c>
      <c r="B2114">
        <v>2015</v>
      </c>
      <c r="C2114" t="str">
        <f t="shared" si="32"/>
        <v>VDP2015</v>
      </c>
      <c r="D2114">
        <v>2.0339792017785491E-13</v>
      </c>
      <c r="E2114">
        <v>0.1146601049515433</v>
      </c>
      <c r="F2114">
        <v>0.92482082602001014</v>
      </c>
      <c r="G2114">
        <v>26.77219921435475</v>
      </c>
      <c r="H2114" t="e">
        <v>#N/A</v>
      </c>
      <c r="I2114">
        <v>0.24845920470090241</v>
      </c>
      <c r="J2114">
        <v>0</v>
      </c>
      <c r="K2114">
        <v>0.14041472454347609</v>
      </c>
      <c r="L2114">
        <v>0.22996643412824319</v>
      </c>
      <c r="M2114">
        <v>12</v>
      </c>
      <c r="N2114">
        <v>0</v>
      </c>
      <c r="O2114">
        <v>0</v>
      </c>
      <c r="P2114">
        <v>0.35899999999999999</v>
      </c>
      <c r="Q2114">
        <v>0.1699</v>
      </c>
      <c r="R2114">
        <v>0</v>
      </c>
      <c r="S2114">
        <v>0.14299999999999999</v>
      </c>
      <c r="T2114">
        <v>0.25900000000000001</v>
      </c>
      <c r="U2114">
        <v>5</v>
      </c>
      <c r="V2114">
        <v>0</v>
      </c>
      <c r="W2114">
        <v>0.2</v>
      </c>
      <c r="X2114">
        <v>1</v>
      </c>
      <c r="Y2114">
        <v>0.4829</v>
      </c>
      <c r="Z2114">
        <v>1</v>
      </c>
    </row>
    <row r="2115" spans="1:26" x14ac:dyDescent="0.2">
      <c r="A2115" t="s">
        <v>182</v>
      </c>
      <c r="B2115">
        <v>2016</v>
      </c>
      <c r="C2115" t="str">
        <f t="shared" ref="C2115:C2178" si="33">A2115&amp;B2115</f>
        <v>VDP2016</v>
      </c>
      <c r="D2115">
        <v>2.2980761947070872E-13</v>
      </c>
      <c r="E2115">
        <v>0.15720538641606541</v>
      </c>
      <c r="F2115">
        <v>1.006196530569754</v>
      </c>
      <c r="G2115">
        <v>26.943702207128101</v>
      </c>
      <c r="H2115">
        <v>2.923631219445137</v>
      </c>
      <c r="I2115">
        <v>0.26481236829487581</v>
      </c>
      <c r="J2115">
        <v>0.16445627389955389</v>
      </c>
      <c r="K2115">
        <v>0.1214849276556392</v>
      </c>
      <c r="L2115">
        <v>0.2014173915654727</v>
      </c>
      <c r="M2115">
        <v>13</v>
      </c>
      <c r="N2115">
        <v>0</v>
      </c>
      <c r="O2115">
        <v>0</v>
      </c>
      <c r="P2115">
        <v>0.35899999999999999</v>
      </c>
      <c r="Q2115">
        <v>0.1699</v>
      </c>
      <c r="R2115">
        <v>0</v>
      </c>
      <c r="S2115">
        <v>0.14299999999999999</v>
      </c>
      <c r="T2115">
        <v>0.25900000000000001</v>
      </c>
      <c r="U2115">
        <v>5</v>
      </c>
      <c r="V2115">
        <v>0</v>
      </c>
      <c r="W2115">
        <v>0.2</v>
      </c>
      <c r="X2115">
        <v>1</v>
      </c>
      <c r="Y2115">
        <v>0.4829</v>
      </c>
      <c r="Z2115">
        <v>1</v>
      </c>
    </row>
    <row r="2116" spans="1:26" x14ac:dyDescent="0.2">
      <c r="A2116" t="s">
        <v>182</v>
      </c>
      <c r="B2116">
        <v>2017</v>
      </c>
      <c r="C2116" t="str">
        <f t="shared" si="33"/>
        <v>VDP2017</v>
      </c>
      <c r="D2116">
        <v>2.141600168073161E-13</v>
      </c>
      <c r="E2116">
        <v>0.1508465858169766</v>
      </c>
      <c r="F2116">
        <v>1.183792255645147</v>
      </c>
      <c r="G2116">
        <v>26.976085362569901</v>
      </c>
      <c r="H2116">
        <v>2.9714006747552788</v>
      </c>
      <c r="I2116">
        <v>0.26248998267631879</v>
      </c>
      <c r="J2116">
        <v>4.1901276741228788E-2</v>
      </c>
      <c r="K2116">
        <v>7.4987422333047227E-2</v>
      </c>
      <c r="L2116">
        <v>0.19945018677964371</v>
      </c>
      <c r="M2116">
        <v>14</v>
      </c>
      <c r="N2116">
        <v>0</v>
      </c>
      <c r="O2116">
        <v>0</v>
      </c>
      <c r="P2116">
        <v>0.35899999999999999</v>
      </c>
      <c r="Q2116">
        <v>0.16089999999999999</v>
      </c>
      <c r="R2116">
        <v>0</v>
      </c>
      <c r="S2116">
        <v>0.14299999999999999</v>
      </c>
      <c r="T2116">
        <v>0.25900000000000001</v>
      </c>
      <c r="U2116">
        <v>5</v>
      </c>
      <c r="V2116">
        <v>0</v>
      </c>
      <c r="W2116">
        <v>0.2</v>
      </c>
      <c r="X2116">
        <v>0</v>
      </c>
      <c r="Y2116">
        <v>0.47699999999999998</v>
      </c>
      <c r="Z2116">
        <v>1</v>
      </c>
    </row>
    <row r="2117" spans="1:26" x14ac:dyDescent="0.2">
      <c r="A2117" t="s">
        <v>182</v>
      </c>
      <c r="B2117">
        <v>2018</v>
      </c>
      <c r="C2117" t="str">
        <f t="shared" si="33"/>
        <v>VDP2018</v>
      </c>
      <c r="D2117">
        <v>1.409376887139545E-13</v>
      </c>
      <c r="E2117">
        <v>0.12630832236488851</v>
      </c>
      <c r="F2117">
        <v>0.99650050662549483</v>
      </c>
      <c r="G2117">
        <v>27.135716795947719</v>
      </c>
      <c r="H2117">
        <v>2.936564585796789</v>
      </c>
      <c r="I2117">
        <v>0.32003392523317958</v>
      </c>
      <c r="J2117">
        <v>0.17307843374985629</v>
      </c>
      <c r="K2117">
        <v>1.978781707487447E-2</v>
      </c>
      <c r="L2117">
        <v>0.17591084586875241</v>
      </c>
      <c r="M2117">
        <v>15</v>
      </c>
      <c r="N2117">
        <v>0</v>
      </c>
      <c r="O2117">
        <v>0</v>
      </c>
      <c r="P2117">
        <v>0.35899999999999999</v>
      </c>
      <c r="Q2117">
        <v>0.16520000000000001</v>
      </c>
      <c r="R2117">
        <v>0</v>
      </c>
      <c r="S2117">
        <v>0.14299999999999999</v>
      </c>
      <c r="T2117">
        <v>0.25900000000000001</v>
      </c>
      <c r="U2117">
        <v>5</v>
      </c>
      <c r="V2117">
        <v>0</v>
      </c>
      <c r="W2117">
        <v>0.2</v>
      </c>
      <c r="X2117">
        <v>0</v>
      </c>
      <c r="Y2117">
        <v>0.4733</v>
      </c>
      <c r="Z2117">
        <v>1</v>
      </c>
    </row>
    <row r="2118" spans="1:26" x14ac:dyDescent="0.2">
      <c r="A2118" t="s">
        <v>182</v>
      </c>
      <c r="B2118">
        <v>2019</v>
      </c>
      <c r="C2118" t="str">
        <f t="shared" si="33"/>
        <v>VDP2019</v>
      </c>
      <c r="D2118">
        <v>1.012020985344014E-13</v>
      </c>
      <c r="E2118">
        <v>0.10458312285207171</v>
      </c>
      <c r="F2118">
        <v>0.98272678092865451</v>
      </c>
      <c r="G2118">
        <v>27.219820576670781</v>
      </c>
      <c r="H2118">
        <v>2.471747055324331</v>
      </c>
      <c r="I2118">
        <v>0.3585751411610183</v>
      </c>
      <c r="J2118">
        <v>8.7741774579171969E-2</v>
      </c>
      <c r="K2118">
        <v>-3.8447918468556323E-2</v>
      </c>
      <c r="L2118">
        <v>0.16008294598959569</v>
      </c>
      <c r="M2118">
        <v>16</v>
      </c>
      <c r="N2118">
        <v>0</v>
      </c>
      <c r="O2118">
        <v>1</v>
      </c>
      <c r="P2118">
        <v>0.35909999999999997</v>
      </c>
      <c r="Q2118">
        <v>0.1731</v>
      </c>
      <c r="R2118">
        <v>0</v>
      </c>
      <c r="S2118">
        <v>0.14299999999999999</v>
      </c>
      <c r="T2118">
        <v>0.25869999999999999</v>
      </c>
      <c r="U2118">
        <v>5</v>
      </c>
      <c r="V2118">
        <v>0</v>
      </c>
      <c r="W2118">
        <v>0.2</v>
      </c>
      <c r="X2118">
        <v>0</v>
      </c>
      <c r="Y2118">
        <v>0.48330000000000001</v>
      </c>
      <c r="Z2118">
        <v>1</v>
      </c>
    </row>
    <row r="2119" spans="1:26" x14ac:dyDescent="0.2">
      <c r="A2119" t="s">
        <v>182</v>
      </c>
      <c r="B2119">
        <v>2020</v>
      </c>
      <c r="C2119" t="str">
        <f t="shared" si="33"/>
        <v>VDP2020</v>
      </c>
      <c r="D2119">
        <v>6.2534933889234571E-14</v>
      </c>
      <c r="E2119">
        <v>9.2232971917226958E-2</v>
      </c>
      <c r="F2119">
        <v>0.95342353197939189</v>
      </c>
      <c r="G2119">
        <v>27.520980983167881</v>
      </c>
      <c r="H2119">
        <v>2.212217615236002</v>
      </c>
      <c r="I2119">
        <v>0.39263932374029731</v>
      </c>
      <c r="J2119">
        <v>0.35142610167974658</v>
      </c>
      <c r="K2119">
        <v>-9.6914555708721064E-3</v>
      </c>
      <c r="L2119">
        <v>0.129719504858018</v>
      </c>
      <c r="M2119">
        <v>17</v>
      </c>
      <c r="N2119">
        <v>0</v>
      </c>
      <c r="O2119">
        <v>1</v>
      </c>
      <c r="P2119">
        <v>0.22359999999999999</v>
      </c>
      <c r="Q2119">
        <v>0.1149</v>
      </c>
      <c r="R2119">
        <v>0</v>
      </c>
      <c r="S2119">
        <v>0.14360000000000001</v>
      </c>
      <c r="T2119">
        <v>0.14360000000000001</v>
      </c>
      <c r="U2119">
        <v>5</v>
      </c>
      <c r="V2119">
        <v>0</v>
      </c>
      <c r="W2119">
        <v>0.2</v>
      </c>
      <c r="X2119">
        <v>0</v>
      </c>
      <c r="Y2119">
        <v>0.49630000000000002</v>
      </c>
      <c r="Z2119">
        <v>1</v>
      </c>
    </row>
    <row r="2120" spans="1:26" x14ac:dyDescent="0.2">
      <c r="A2120" t="s">
        <v>182</v>
      </c>
      <c r="B2120">
        <v>2021</v>
      </c>
      <c r="C2120" t="str">
        <f t="shared" si="33"/>
        <v>VDP2021</v>
      </c>
      <c r="D2120">
        <v>5.6584492003508048E-14</v>
      </c>
      <c r="E2120">
        <v>0.10307152381872881</v>
      </c>
      <c r="F2120">
        <v>1.037316010896653</v>
      </c>
      <c r="G2120">
        <v>27.662131175641999</v>
      </c>
      <c r="H2120">
        <v>1.7944297551163879</v>
      </c>
      <c r="I2120">
        <v>0.4336698906579744</v>
      </c>
      <c r="J2120">
        <v>0.1515975962888263</v>
      </c>
      <c r="K2120">
        <v>-1.3287080704018709E-2</v>
      </c>
      <c r="L2120">
        <v>0.11835175945687</v>
      </c>
      <c r="M2120">
        <v>18</v>
      </c>
      <c r="N2120">
        <v>0</v>
      </c>
      <c r="O2120">
        <v>0</v>
      </c>
      <c r="P2120">
        <v>0.223</v>
      </c>
      <c r="Q2120">
        <v>0.1283</v>
      </c>
      <c r="R2120">
        <v>0</v>
      </c>
      <c r="S2120">
        <v>0.14360000000000001</v>
      </c>
      <c r="T2120">
        <v>0.14360000000000001</v>
      </c>
      <c r="U2120">
        <v>7</v>
      </c>
      <c r="V2120">
        <v>0</v>
      </c>
      <c r="W2120">
        <v>0</v>
      </c>
      <c r="X2120">
        <v>0</v>
      </c>
      <c r="Y2120">
        <v>0.52100000000000002</v>
      </c>
      <c r="Z2120">
        <v>1</v>
      </c>
    </row>
    <row r="2121" spans="1:26" x14ac:dyDescent="0.2">
      <c r="A2121" t="s">
        <v>182</v>
      </c>
      <c r="B2121">
        <v>2022</v>
      </c>
      <c r="C2121" t="str">
        <f t="shared" si="33"/>
        <v>VDP2022</v>
      </c>
      <c r="D2121">
        <v>6.0541982850631866E-14</v>
      </c>
      <c r="E2121">
        <v>0.1173781311905097</v>
      </c>
      <c r="F2121">
        <v>1.0041761255707771</v>
      </c>
      <c r="G2121">
        <v>27.728324256130971</v>
      </c>
      <c r="H2121">
        <v>1.6636517615141651</v>
      </c>
      <c r="I2121">
        <v>0.43150366806100571</v>
      </c>
      <c r="J2121">
        <v>6.8432990815950445E-2</v>
      </c>
      <c r="K2121">
        <v>2.563698924910392E-2</v>
      </c>
      <c r="L2121">
        <v>0.13712686988221581</v>
      </c>
      <c r="M2121">
        <v>19</v>
      </c>
      <c r="N2121">
        <v>0</v>
      </c>
      <c r="O2121">
        <v>0</v>
      </c>
      <c r="P2121">
        <v>0.36890000000000001</v>
      </c>
      <c r="Q2121">
        <v>0.1789</v>
      </c>
      <c r="R2121">
        <v>0</v>
      </c>
      <c r="S2121">
        <v>0.1429</v>
      </c>
      <c r="T2121">
        <v>0.23200000000000001</v>
      </c>
      <c r="U2121">
        <v>7</v>
      </c>
      <c r="V2121">
        <v>0</v>
      </c>
      <c r="W2121">
        <v>0</v>
      </c>
      <c r="X2121">
        <v>1</v>
      </c>
      <c r="Y2121">
        <v>0.52600000000000002</v>
      </c>
      <c r="Z2121">
        <v>1</v>
      </c>
    </row>
    <row r="2122" spans="1:26" x14ac:dyDescent="0.2">
      <c r="A2122" t="s">
        <v>182</v>
      </c>
      <c r="B2122">
        <v>2023</v>
      </c>
      <c r="C2122" t="str">
        <f t="shared" si="33"/>
        <v>VDP2023</v>
      </c>
      <c r="D2122">
        <v>-10105854984417.32</v>
      </c>
      <c r="E2122">
        <v>9.7791355356541029E-2</v>
      </c>
      <c r="F2122">
        <v>1.342772505316379</v>
      </c>
      <c r="G2122">
        <v>27.720354725439819</v>
      </c>
      <c r="H2122">
        <v>1.93584899005357</v>
      </c>
      <c r="I2122">
        <v>0.2497969281262595</v>
      </c>
      <c r="J2122">
        <v>-7.9378581756509581E-3</v>
      </c>
      <c r="K2122">
        <v>0.11275936242374621</v>
      </c>
      <c r="L2122">
        <v>0.15753431006032079</v>
      </c>
      <c r="M2122">
        <v>20</v>
      </c>
      <c r="N2122">
        <v>0</v>
      </c>
      <c r="O2122">
        <v>0</v>
      </c>
      <c r="P2122">
        <v>0.36890000000000001</v>
      </c>
      <c r="Q2122">
        <v>0.1789</v>
      </c>
      <c r="R2122">
        <v>0</v>
      </c>
      <c r="S2122">
        <v>0.1429</v>
      </c>
      <c r="T2122">
        <v>0.23200000000000001</v>
      </c>
      <c r="U2122">
        <v>7</v>
      </c>
      <c r="V2122">
        <v>0</v>
      </c>
      <c r="W2122">
        <v>0</v>
      </c>
      <c r="X2122">
        <v>1</v>
      </c>
      <c r="Y2122">
        <v>0.52600000000000002</v>
      </c>
      <c r="Z2122">
        <v>1</v>
      </c>
    </row>
    <row r="2123" spans="1:26" x14ac:dyDescent="0.2">
      <c r="A2123" t="s">
        <v>183</v>
      </c>
      <c r="B2123">
        <v>2012</v>
      </c>
      <c r="C2123" t="str">
        <f t="shared" si="33"/>
        <v>VGC2012</v>
      </c>
      <c r="D2123">
        <v>-3.2884724509402449E-16</v>
      </c>
      <c r="E2123">
        <v>-2.8895449234589771E-2</v>
      </c>
      <c r="F2123">
        <v>0.90279358084301786</v>
      </c>
      <c r="G2123">
        <v>29.97187359200969</v>
      </c>
      <c r="H2123" t="e">
        <v>#N/A</v>
      </c>
      <c r="I2123">
        <v>0.86066059041654486</v>
      </c>
      <c r="J2123">
        <v>0</v>
      </c>
      <c r="K2123">
        <v>-1.5492518920026991E-2</v>
      </c>
      <c r="L2123">
        <v>0.32137489303653222</v>
      </c>
      <c r="M2123">
        <v>2</v>
      </c>
      <c r="N2123">
        <v>0</v>
      </c>
      <c r="O2123">
        <v>0</v>
      </c>
      <c r="P2123">
        <v>0.91500000000000004</v>
      </c>
      <c r="Q2123">
        <v>3.8E-3</v>
      </c>
      <c r="R2123">
        <v>0</v>
      </c>
      <c r="S2123">
        <v>0</v>
      </c>
      <c r="T2123">
        <v>0</v>
      </c>
      <c r="U2123">
        <v>5</v>
      </c>
      <c r="V2123">
        <v>0</v>
      </c>
      <c r="W2123">
        <v>0</v>
      </c>
      <c r="X2123">
        <v>0</v>
      </c>
      <c r="Y2123">
        <v>0.4733</v>
      </c>
      <c r="Z2123">
        <v>1</v>
      </c>
    </row>
    <row r="2124" spans="1:26" x14ac:dyDescent="0.2">
      <c r="A2124" t="s">
        <v>183</v>
      </c>
      <c r="B2124">
        <v>2013</v>
      </c>
      <c r="C2124" t="str">
        <f t="shared" si="33"/>
        <v>VGC2013</v>
      </c>
      <c r="D2124">
        <v>3.015301732478645E-16</v>
      </c>
      <c r="E2124">
        <v>3.1569099350300452E-2</v>
      </c>
      <c r="F2124">
        <v>1.030531148206862</v>
      </c>
      <c r="G2124">
        <v>30.048421962150101</v>
      </c>
      <c r="H2124">
        <v>0.83475780962428214</v>
      </c>
      <c r="I2124">
        <v>0.87382394448925438</v>
      </c>
      <c r="J2124">
        <v>6.1525634883280667E-2</v>
      </c>
      <c r="K2124">
        <v>3.9701198104782717E-2</v>
      </c>
      <c r="L2124">
        <v>0.29222601136847498</v>
      </c>
      <c r="M2124">
        <v>3</v>
      </c>
      <c r="N2124">
        <v>0</v>
      </c>
      <c r="O2124">
        <v>0</v>
      </c>
      <c r="P2124">
        <v>0.91500000000000004</v>
      </c>
      <c r="Q2124">
        <v>3.8E-3</v>
      </c>
      <c r="R2124">
        <v>0</v>
      </c>
      <c r="S2124">
        <v>0</v>
      </c>
      <c r="T2124">
        <v>0</v>
      </c>
      <c r="U2124">
        <v>5</v>
      </c>
      <c r="V2124">
        <v>0</v>
      </c>
      <c r="W2124">
        <v>0</v>
      </c>
      <c r="X2124">
        <v>0</v>
      </c>
      <c r="Y2124">
        <v>0.4733</v>
      </c>
      <c r="Z2124">
        <v>1</v>
      </c>
    </row>
    <row r="2125" spans="1:26" x14ac:dyDescent="0.2">
      <c r="A2125" t="s">
        <v>183</v>
      </c>
      <c r="B2125">
        <v>2014</v>
      </c>
      <c r="C2125" t="str">
        <f t="shared" si="33"/>
        <v>VGC2014</v>
      </c>
      <c r="D2125">
        <v>0</v>
      </c>
      <c r="E2125">
        <v>0</v>
      </c>
      <c r="F2125">
        <v>1.2903780471096951</v>
      </c>
      <c r="G2125">
        <v>30.134069830762169</v>
      </c>
      <c r="H2125" t="e">
        <v>#N/A</v>
      </c>
      <c r="I2125">
        <v>0.76000512728491776</v>
      </c>
      <c r="J2125">
        <v>0</v>
      </c>
      <c r="K2125">
        <v>4.3443125958604757E-2</v>
      </c>
      <c r="L2125">
        <v>0.50305081454670675</v>
      </c>
      <c r="M2125">
        <v>4</v>
      </c>
      <c r="N2125">
        <v>0</v>
      </c>
      <c r="O2125">
        <v>0</v>
      </c>
      <c r="P2125">
        <v>0.91500000000000004</v>
      </c>
      <c r="Q2125">
        <v>3.8E-3</v>
      </c>
      <c r="R2125">
        <v>0</v>
      </c>
      <c r="S2125">
        <v>0.91500000000000004</v>
      </c>
      <c r="T2125">
        <v>0.91500000000000004</v>
      </c>
      <c r="U2125">
        <v>5</v>
      </c>
      <c r="V2125">
        <v>0</v>
      </c>
      <c r="W2125">
        <v>0</v>
      </c>
      <c r="X2125">
        <v>0</v>
      </c>
      <c r="Y2125">
        <v>0.4733</v>
      </c>
      <c r="Z2125">
        <v>1</v>
      </c>
    </row>
    <row r="2126" spans="1:26" x14ac:dyDescent="0.2">
      <c r="A2126" t="s">
        <v>183</v>
      </c>
      <c r="B2126">
        <v>2015</v>
      </c>
      <c r="C2126" t="str">
        <f t="shared" si="33"/>
        <v>VGC2015</v>
      </c>
      <c r="D2126">
        <v>2.9882665285837988E-15</v>
      </c>
      <c r="E2126">
        <v>0.1231027148064895</v>
      </c>
      <c r="F2126">
        <v>0.8983020704905651</v>
      </c>
      <c r="G2126">
        <v>30.087468316604149</v>
      </c>
      <c r="H2126" t="e">
        <v>#N/A</v>
      </c>
      <c r="I2126">
        <v>0.71687829562434546</v>
      </c>
      <c r="J2126">
        <v>3.981868276036904E-2</v>
      </c>
      <c r="K2126">
        <v>7.9534011431872637E-2</v>
      </c>
      <c r="L2126">
        <v>0.33436823376694319</v>
      </c>
      <c r="M2126">
        <v>5</v>
      </c>
      <c r="N2126">
        <v>0</v>
      </c>
      <c r="O2126">
        <v>0</v>
      </c>
      <c r="P2126">
        <v>0.91500000000000004</v>
      </c>
      <c r="Q2126">
        <v>3.8E-3</v>
      </c>
      <c r="R2126">
        <v>0</v>
      </c>
      <c r="S2126">
        <v>0.91500000000000004</v>
      </c>
      <c r="T2126">
        <v>0.91500000000000004</v>
      </c>
      <c r="U2126">
        <v>5</v>
      </c>
      <c r="V2126">
        <v>0</v>
      </c>
      <c r="W2126">
        <v>0</v>
      </c>
      <c r="X2126">
        <v>0</v>
      </c>
      <c r="Y2126">
        <v>0.49450000000000011</v>
      </c>
      <c r="Z2126">
        <v>1</v>
      </c>
    </row>
    <row r="2127" spans="1:26" x14ac:dyDescent="0.2">
      <c r="A2127" t="s">
        <v>183</v>
      </c>
      <c r="B2127">
        <v>2016</v>
      </c>
      <c r="C2127" t="str">
        <f t="shared" si="33"/>
        <v>VGC2016</v>
      </c>
      <c r="D2127">
        <v>3.6787769880121068E-15</v>
      </c>
      <c r="E2127">
        <v>0.14213180244487941</v>
      </c>
      <c r="F2127">
        <v>1.0254041275690171</v>
      </c>
      <c r="G2127">
        <v>30.19515953913746</v>
      </c>
      <c r="H2127">
        <v>1.0386966102554209</v>
      </c>
      <c r="I2127">
        <v>0.66379562109703349</v>
      </c>
      <c r="J2127">
        <v>0.12254686739937511</v>
      </c>
      <c r="K2127">
        <v>8.5811944482502747E-2</v>
      </c>
      <c r="L2127">
        <v>0.34807517399879712</v>
      </c>
      <c r="M2127">
        <v>6</v>
      </c>
      <c r="N2127">
        <v>0</v>
      </c>
      <c r="O2127">
        <v>0</v>
      </c>
      <c r="P2127">
        <v>0.7881999999999999</v>
      </c>
      <c r="Q2127">
        <v>8.3999999999999995E-3</v>
      </c>
      <c r="R2127">
        <v>0</v>
      </c>
      <c r="S2127">
        <v>0.7881999999999999</v>
      </c>
      <c r="T2127">
        <v>0.7881999999999999</v>
      </c>
      <c r="U2127">
        <v>5</v>
      </c>
      <c r="V2127">
        <v>0</v>
      </c>
      <c r="W2127">
        <v>0</v>
      </c>
      <c r="X2127">
        <v>0</v>
      </c>
      <c r="Y2127">
        <v>0.49330000000000002</v>
      </c>
      <c r="Z2127">
        <v>1</v>
      </c>
    </row>
    <row r="2128" spans="1:26" x14ac:dyDescent="0.2">
      <c r="A2128" t="s">
        <v>183</v>
      </c>
      <c r="B2128">
        <v>2017</v>
      </c>
      <c r="C2128" t="str">
        <f t="shared" si="33"/>
        <v>VGC2017</v>
      </c>
      <c r="D2128">
        <v>2.9115525785694399E-15</v>
      </c>
      <c r="E2128">
        <v>0.1113958385225587</v>
      </c>
      <c r="F2128">
        <v>1.2839582558305429</v>
      </c>
      <c r="G2128">
        <v>30.40574787346884</v>
      </c>
      <c r="H2128">
        <v>1.217270394195648</v>
      </c>
      <c r="I2128">
        <v>0.58091299943084285</v>
      </c>
      <c r="J2128">
        <v>0.22916148849966711</v>
      </c>
      <c r="K2128">
        <v>9.8135291799951743E-2</v>
      </c>
      <c r="L2128">
        <v>0.31301641348069659</v>
      </c>
      <c r="M2128">
        <v>7</v>
      </c>
      <c r="N2128">
        <v>0</v>
      </c>
      <c r="O2128">
        <v>0</v>
      </c>
      <c r="P2128">
        <v>0.53969999999999996</v>
      </c>
      <c r="Q2128">
        <v>4.5000000000000014E-3</v>
      </c>
      <c r="R2128">
        <v>0</v>
      </c>
      <c r="S2128">
        <v>0.53969999999999996</v>
      </c>
      <c r="T2128">
        <v>0.53969999999999996</v>
      </c>
      <c r="U2128">
        <v>5</v>
      </c>
      <c r="V2128">
        <v>0</v>
      </c>
      <c r="W2128">
        <v>0</v>
      </c>
      <c r="X2128">
        <v>0</v>
      </c>
      <c r="Y2128">
        <v>0.50329999999999997</v>
      </c>
      <c r="Z2128">
        <v>1</v>
      </c>
    </row>
    <row r="2129" spans="1:26" x14ac:dyDescent="0.2">
      <c r="A2129" t="s">
        <v>183</v>
      </c>
      <c r="B2129">
        <v>2018</v>
      </c>
      <c r="C2129" t="str">
        <f t="shared" si="33"/>
        <v>VGC2018</v>
      </c>
      <c r="D2129">
        <v>2.44090563672946E-15</v>
      </c>
      <c r="E2129">
        <v>9.7092649269977294E-2</v>
      </c>
      <c r="F2129">
        <v>1.0779069658882541</v>
      </c>
      <c r="G2129">
        <v>30.436391097267862</v>
      </c>
      <c r="H2129">
        <v>1.5659106770969831</v>
      </c>
      <c r="I2129">
        <v>0.58435616669314761</v>
      </c>
      <c r="J2129">
        <v>2.7358009903095001E-2</v>
      </c>
      <c r="K2129">
        <v>9.9597030837213218E-2</v>
      </c>
      <c r="L2129">
        <v>0.34607606701353688</v>
      </c>
      <c r="M2129">
        <v>8</v>
      </c>
      <c r="N2129">
        <v>0</v>
      </c>
      <c r="O2129">
        <v>0</v>
      </c>
      <c r="P2129">
        <v>0.59989999999999999</v>
      </c>
      <c r="Q2129">
        <v>6.8999999999999999E-3</v>
      </c>
      <c r="R2129">
        <v>0</v>
      </c>
      <c r="S2129">
        <v>0.53969999999999996</v>
      </c>
      <c r="T2129">
        <v>0.59989999999999999</v>
      </c>
      <c r="U2129">
        <v>5</v>
      </c>
      <c r="V2129">
        <v>0</v>
      </c>
      <c r="W2129">
        <v>0</v>
      </c>
      <c r="X2129">
        <v>0</v>
      </c>
      <c r="Y2129">
        <v>0.51500000000000001</v>
      </c>
      <c r="Z2129">
        <v>1</v>
      </c>
    </row>
    <row r="2130" spans="1:26" x14ac:dyDescent="0.2">
      <c r="A2130" t="s">
        <v>183</v>
      </c>
      <c r="B2130">
        <v>2019</v>
      </c>
      <c r="C2130" t="str">
        <f t="shared" si="33"/>
        <v>VGC2019</v>
      </c>
      <c r="D2130">
        <v>1.919914601677213E-15</v>
      </c>
      <c r="E2130">
        <v>0.1076345455056734</v>
      </c>
      <c r="F2130">
        <v>1.0600652881303501</v>
      </c>
      <c r="G2130">
        <v>30.621125289372561</v>
      </c>
      <c r="H2130">
        <v>1.3302758301565749</v>
      </c>
      <c r="I2130">
        <v>0.64525525307876097</v>
      </c>
      <c r="J2130">
        <v>0.1977677526470594</v>
      </c>
      <c r="K2130">
        <v>0.19597668073976179</v>
      </c>
      <c r="L2130">
        <v>0.2974532288430965</v>
      </c>
      <c r="M2130">
        <v>9</v>
      </c>
      <c r="N2130">
        <v>0</v>
      </c>
      <c r="O2130">
        <v>1</v>
      </c>
      <c r="P2130">
        <v>0.63549999999999995</v>
      </c>
      <c r="Q2130">
        <v>6.6E-3</v>
      </c>
      <c r="R2130">
        <v>0</v>
      </c>
      <c r="S2130">
        <v>0.38579999999999998</v>
      </c>
      <c r="T2130">
        <v>0.63549999999999995</v>
      </c>
      <c r="U2130">
        <v>5</v>
      </c>
      <c r="V2130">
        <v>0</v>
      </c>
      <c r="W2130">
        <v>0.2</v>
      </c>
      <c r="X2130">
        <v>0</v>
      </c>
      <c r="Y2130">
        <v>0.49399999999999999</v>
      </c>
      <c r="Z2130">
        <v>1</v>
      </c>
    </row>
    <row r="2131" spans="1:26" x14ac:dyDescent="0.2">
      <c r="A2131" t="s">
        <v>183</v>
      </c>
      <c r="B2131">
        <v>2020</v>
      </c>
      <c r="C2131" t="str">
        <f t="shared" si="33"/>
        <v>VGC2020</v>
      </c>
      <c r="D2131">
        <v>1.4676453606230969E-15</v>
      </c>
      <c r="E2131">
        <v>9.5002688119728479E-2</v>
      </c>
      <c r="F2131">
        <v>1.2340950475174191</v>
      </c>
      <c r="G2131">
        <v>30.690818672279988</v>
      </c>
      <c r="H2131">
        <v>1.2028929498424701</v>
      </c>
      <c r="I2131">
        <v>0.67058875032262966</v>
      </c>
      <c r="J2131">
        <v>-9.2194059362262978E-2</v>
      </c>
      <c r="K2131">
        <v>0.1573217990921244</v>
      </c>
      <c r="L2131">
        <v>0.41941139176968723</v>
      </c>
      <c r="M2131">
        <v>10</v>
      </c>
      <c r="N2131">
        <v>1</v>
      </c>
      <c r="O2131">
        <v>1</v>
      </c>
      <c r="P2131">
        <v>0.84650000000000003</v>
      </c>
      <c r="Q2131">
        <v>4.4000000000000003E-3</v>
      </c>
      <c r="R2131">
        <v>0</v>
      </c>
      <c r="S2131">
        <v>0.38579999999999998</v>
      </c>
      <c r="T2131">
        <v>0.84650000000000003</v>
      </c>
      <c r="U2131">
        <v>5</v>
      </c>
      <c r="V2131">
        <v>0</v>
      </c>
      <c r="W2131">
        <v>0.2</v>
      </c>
      <c r="X2131">
        <v>0</v>
      </c>
      <c r="Y2131">
        <v>0.48549999999999999</v>
      </c>
      <c r="Z2131">
        <v>1</v>
      </c>
    </row>
    <row r="2132" spans="1:26" x14ac:dyDescent="0.2">
      <c r="A2132" t="s">
        <v>183</v>
      </c>
      <c r="B2132">
        <v>2021</v>
      </c>
      <c r="C2132" t="str">
        <f t="shared" si="33"/>
        <v>VGC2021</v>
      </c>
      <c r="D2132">
        <v>2.643429398990582E-15</v>
      </c>
      <c r="E2132">
        <v>0.15305741655757599</v>
      </c>
      <c r="F2132">
        <v>1.7044297137720721</v>
      </c>
      <c r="G2132">
        <v>30.721929524976922</v>
      </c>
      <c r="H2132">
        <v>0.92906118423159845</v>
      </c>
      <c r="I2132">
        <v>0.62009255610538871</v>
      </c>
      <c r="J2132">
        <v>0.22360748976078271</v>
      </c>
      <c r="K2132">
        <v>0.21891276121172229</v>
      </c>
      <c r="L2132">
        <v>0.46962438902449982</v>
      </c>
      <c r="M2132">
        <v>11</v>
      </c>
      <c r="N2132">
        <v>1</v>
      </c>
      <c r="O2132">
        <v>0</v>
      </c>
      <c r="P2132">
        <v>0.88789999999999991</v>
      </c>
      <c r="Q2132">
        <v>1.5E-3</v>
      </c>
      <c r="R2132">
        <v>0</v>
      </c>
      <c r="S2132">
        <v>0.38579999999999998</v>
      </c>
      <c r="T2132">
        <v>0.88789999999999991</v>
      </c>
      <c r="U2132">
        <v>5</v>
      </c>
      <c r="V2132">
        <v>0</v>
      </c>
      <c r="W2132">
        <v>0.2</v>
      </c>
      <c r="X2132">
        <v>0</v>
      </c>
      <c r="Y2132">
        <v>0.48499999999999999</v>
      </c>
      <c r="Z2132">
        <v>1</v>
      </c>
    </row>
    <row r="2133" spans="1:26" x14ac:dyDescent="0.2">
      <c r="A2133" t="s">
        <v>183</v>
      </c>
      <c r="B2133">
        <v>2022</v>
      </c>
      <c r="C2133" t="str">
        <f t="shared" si="33"/>
        <v>VGC2022</v>
      </c>
      <c r="D2133">
        <v>3.629282339699904E-15</v>
      </c>
      <c r="E2133">
        <v>0.21056116545778711</v>
      </c>
      <c r="F2133">
        <v>1.264333015285934</v>
      </c>
      <c r="G2133">
        <v>30.764727709329421</v>
      </c>
      <c r="H2133">
        <v>0.92869281825906325</v>
      </c>
      <c r="I2133">
        <v>0.60427456873085783</v>
      </c>
      <c r="J2133">
        <v>4.3727233106553243E-2</v>
      </c>
      <c r="K2133">
        <v>0.1134051754049642</v>
      </c>
      <c r="L2133">
        <v>0.47877635560298121</v>
      </c>
      <c r="M2133">
        <v>12</v>
      </c>
      <c r="N2133">
        <v>1</v>
      </c>
      <c r="O2133">
        <v>0</v>
      </c>
      <c r="P2133">
        <v>0.88789999999999991</v>
      </c>
      <c r="Q2133">
        <v>1.5E-3</v>
      </c>
      <c r="R2133">
        <v>0</v>
      </c>
      <c r="S2133">
        <v>0.38579999999999998</v>
      </c>
      <c r="T2133">
        <v>0.88789999999999991</v>
      </c>
      <c r="U2133">
        <v>5</v>
      </c>
      <c r="V2133">
        <v>0</v>
      </c>
      <c r="W2133">
        <v>0.2</v>
      </c>
      <c r="X2133">
        <v>1</v>
      </c>
      <c r="Y2133">
        <v>0.48420000000000002</v>
      </c>
      <c r="Z2133">
        <v>1</v>
      </c>
    </row>
    <row r="2134" spans="1:26" x14ac:dyDescent="0.2">
      <c r="A2134" t="s">
        <v>183</v>
      </c>
      <c r="B2134">
        <v>2023</v>
      </c>
      <c r="C2134" t="str">
        <f t="shared" si="33"/>
        <v>VGC2023</v>
      </c>
      <c r="D2134">
        <v>23380784502110.859</v>
      </c>
      <c r="E2134">
        <v>6.1282024930850797E-2</v>
      </c>
      <c r="F2134">
        <v>1.2045325262404261</v>
      </c>
      <c r="G2134">
        <v>30.813240843999239</v>
      </c>
      <c r="H2134">
        <v>0.96629685705104817</v>
      </c>
      <c r="I2134">
        <v>0.21305945424832201</v>
      </c>
      <c r="J2134">
        <v>4.970915931298503E-2</v>
      </c>
      <c r="K2134">
        <v>0.1251085468363306</v>
      </c>
      <c r="L2134">
        <v>0.47527606430515379</v>
      </c>
      <c r="M2134">
        <v>13</v>
      </c>
      <c r="N2134">
        <v>0</v>
      </c>
      <c r="O2134">
        <v>0</v>
      </c>
      <c r="P2134">
        <v>0.88789999999999991</v>
      </c>
      <c r="Q2134">
        <v>1.5E-3</v>
      </c>
      <c r="R2134">
        <v>0</v>
      </c>
      <c r="S2134">
        <v>0.38579999999999998</v>
      </c>
      <c r="T2134">
        <v>0.88789999999999991</v>
      </c>
      <c r="U2134">
        <v>5</v>
      </c>
      <c r="V2134">
        <v>0</v>
      </c>
      <c r="W2134">
        <v>0.2</v>
      </c>
      <c r="X2134">
        <v>1</v>
      </c>
      <c r="Y2134">
        <v>0.48420000000000002</v>
      </c>
      <c r="Z2134">
        <v>1</v>
      </c>
    </row>
    <row r="2135" spans="1:26" x14ac:dyDescent="0.2">
      <c r="A2135" t="s">
        <v>184</v>
      </c>
      <c r="B2135">
        <v>2012</v>
      </c>
      <c r="C2135" t="str">
        <f t="shared" si="33"/>
        <v>VGS2012</v>
      </c>
      <c r="D2135">
        <v>7.6632438801020947E-15</v>
      </c>
      <c r="E2135">
        <v>2.582468493009599E-2</v>
      </c>
      <c r="F2135">
        <v>0.75506571988922755</v>
      </c>
      <c r="G2135">
        <v>27.871618647124969</v>
      </c>
      <c r="H2135">
        <v>1.105691583246708</v>
      </c>
      <c r="I2135">
        <v>0.62203556165025464</v>
      </c>
      <c r="J2135">
        <v>0.12200828576595479</v>
      </c>
      <c r="K2135">
        <v>-4.7266280286711307E-3</v>
      </c>
      <c r="L2135">
        <v>0.1657758304511035</v>
      </c>
      <c r="M2135">
        <v>5</v>
      </c>
      <c r="N2135">
        <v>0</v>
      </c>
      <c r="O2135">
        <v>0</v>
      </c>
      <c r="P2135">
        <v>0.123</v>
      </c>
      <c r="Q2135">
        <v>7.4700000000000003E-2</v>
      </c>
      <c r="R2135">
        <v>0</v>
      </c>
      <c r="S2135">
        <v>0</v>
      </c>
      <c r="T2135">
        <v>0</v>
      </c>
      <c r="U2135">
        <v>6</v>
      </c>
      <c r="V2135">
        <v>0</v>
      </c>
      <c r="W2135">
        <v>0.1666666666666666</v>
      </c>
      <c r="X2135">
        <v>1</v>
      </c>
      <c r="Y2135">
        <v>0.40439999999999998</v>
      </c>
      <c r="Z2135">
        <v>1</v>
      </c>
    </row>
    <row r="2136" spans="1:26" x14ac:dyDescent="0.2">
      <c r="A2136" t="s">
        <v>184</v>
      </c>
      <c r="B2136">
        <v>2013</v>
      </c>
      <c r="C2136" t="str">
        <f t="shared" si="33"/>
        <v>VGS2013</v>
      </c>
      <c r="D2136">
        <v>1.0881295128389329E-14</v>
      </c>
      <c r="E2136">
        <v>2.5888101592967179E-2</v>
      </c>
      <c r="F2136">
        <v>0.73788127567923523</v>
      </c>
      <c r="G2136">
        <v>27.704230677868932</v>
      </c>
      <c r="H2136">
        <v>1.0054774395290009</v>
      </c>
      <c r="I2136">
        <v>0.54714962086315599</v>
      </c>
      <c r="J2136">
        <v>-0.15412862441967631</v>
      </c>
      <c r="K2136">
        <v>5.2186699914427648E-2</v>
      </c>
      <c r="L2136">
        <v>0.20845653441069839</v>
      </c>
      <c r="M2136">
        <v>6</v>
      </c>
      <c r="N2136">
        <v>0</v>
      </c>
      <c r="O2136">
        <v>0</v>
      </c>
      <c r="P2136">
        <v>0.123</v>
      </c>
      <c r="Q2136">
        <v>7.5199999999999989E-2</v>
      </c>
      <c r="R2136">
        <v>0</v>
      </c>
      <c r="S2136">
        <v>0</v>
      </c>
      <c r="T2136">
        <v>0</v>
      </c>
      <c r="U2136">
        <v>6</v>
      </c>
      <c r="V2136">
        <v>0</v>
      </c>
      <c r="W2136">
        <v>0.1666666666666666</v>
      </c>
      <c r="X2136">
        <v>1</v>
      </c>
      <c r="Y2136">
        <v>0.39379999999999998</v>
      </c>
      <c r="Z2136">
        <v>1</v>
      </c>
    </row>
    <row r="2137" spans="1:26" x14ac:dyDescent="0.2">
      <c r="A2137" t="s">
        <v>184</v>
      </c>
      <c r="B2137">
        <v>2014</v>
      </c>
      <c r="C2137" t="str">
        <f t="shared" si="33"/>
        <v>VGS2014</v>
      </c>
      <c r="D2137">
        <v>1.051984680705818E-14</v>
      </c>
      <c r="E2137">
        <v>4.2963623335515719E-2</v>
      </c>
      <c r="F2137">
        <v>0.837408151027763</v>
      </c>
      <c r="G2137">
        <v>27.98553117932682</v>
      </c>
      <c r="H2137">
        <v>1.0662424489231099</v>
      </c>
      <c r="I2137">
        <v>0.65050682384161618</v>
      </c>
      <c r="J2137">
        <v>0.32485166397995791</v>
      </c>
      <c r="K2137">
        <v>-9.7676169430420415E-2</v>
      </c>
      <c r="L2137">
        <v>0.1708045995765034</v>
      </c>
      <c r="M2137">
        <v>7</v>
      </c>
      <c r="N2137">
        <v>0</v>
      </c>
      <c r="O2137">
        <v>0</v>
      </c>
      <c r="P2137">
        <v>0.123</v>
      </c>
      <c r="Q2137">
        <v>7.46E-2</v>
      </c>
      <c r="R2137">
        <v>0</v>
      </c>
      <c r="S2137">
        <v>0</v>
      </c>
      <c r="T2137">
        <v>0</v>
      </c>
      <c r="U2137">
        <v>5</v>
      </c>
      <c r="V2137">
        <v>0</v>
      </c>
      <c r="W2137">
        <v>0</v>
      </c>
      <c r="X2137">
        <v>1</v>
      </c>
      <c r="Y2137">
        <v>0.4</v>
      </c>
      <c r="Z2137">
        <v>1</v>
      </c>
    </row>
    <row r="2138" spans="1:26" x14ac:dyDescent="0.2">
      <c r="A2138" t="s">
        <v>184</v>
      </c>
      <c r="B2138">
        <v>2015</v>
      </c>
      <c r="C2138" t="str">
        <f t="shared" si="33"/>
        <v>VGS2015</v>
      </c>
      <c r="D2138">
        <v>4.0760466181095863E-14</v>
      </c>
      <c r="E2138">
        <v>9.1032359786999514E-2</v>
      </c>
      <c r="F2138">
        <v>0.68865774480429909</v>
      </c>
      <c r="G2138">
        <v>27.714706111058991</v>
      </c>
      <c r="H2138">
        <v>1.0271680303299759</v>
      </c>
      <c r="I2138">
        <v>0.51315885726093968</v>
      </c>
      <c r="J2138">
        <v>-0.23565187794241779</v>
      </c>
      <c r="K2138">
        <v>0.29124591426908131</v>
      </c>
      <c r="L2138">
        <v>0.23325412292376721</v>
      </c>
      <c r="M2138">
        <v>8</v>
      </c>
      <c r="N2138">
        <v>0</v>
      </c>
      <c r="O2138">
        <v>0</v>
      </c>
      <c r="P2138">
        <v>0.123</v>
      </c>
      <c r="Q2138">
        <v>7.46E-2</v>
      </c>
      <c r="R2138">
        <v>0</v>
      </c>
      <c r="S2138">
        <v>0</v>
      </c>
      <c r="T2138">
        <v>0</v>
      </c>
      <c r="U2138">
        <v>6</v>
      </c>
      <c r="V2138">
        <v>0</v>
      </c>
      <c r="W2138">
        <v>0.1666666666666666</v>
      </c>
      <c r="X2138">
        <v>1</v>
      </c>
      <c r="Y2138">
        <v>0.43109999999999998</v>
      </c>
      <c r="Z2138">
        <v>1</v>
      </c>
    </row>
    <row r="2139" spans="1:26" x14ac:dyDescent="0.2">
      <c r="A2139" t="s">
        <v>184</v>
      </c>
      <c r="B2139">
        <v>2016</v>
      </c>
      <c r="C2139" t="str">
        <f t="shared" si="33"/>
        <v>VGS2016</v>
      </c>
      <c r="D2139">
        <v>3.527058735081988E-14</v>
      </c>
      <c r="E2139">
        <v>0.13966840523392199</v>
      </c>
      <c r="F2139">
        <v>0.87822219312192817</v>
      </c>
      <c r="G2139">
        <v>28.049947141059441</v>
      </c>
      <c r="H2139">
        <v>1.110986645373556</v>
      </c>
      <c r="I2139">
        <v>0.61607023889945023</v>
      </c>
      <c r="J2139">
        <v>0.39535365348244589</v>
      </c>
      <c r="K2139">
        <v>-0.1144792115832093</v>
      </c>
      <c r="L2139">
        <v>0.12740846346265369</v>
      </c>
      <c r="M2139">
        <v>9</v>
      </c>
      <c r="N2139">
        <v>0</v>
      </c>
      <c r="O2139">
        <v>0</v>
      </c>
      <c r="P2139">
        <v>0.14219999999999999</v>
      </c>
      <c r="Q2139">
        <v>9.5899999999999999E-2</v>
      </c>
      <c r="R2139">
        <v>0</v>
      </c>
      <c r="S2139">
        <v>0</v>
      </c>
      <c r="T2139">
        <v>0</v>
      </c>
      <c r="U2139">
        <v>6</v>
      </c>
      <c r="V2139">
        <v>0</v>
      </c>
      <c r="W2139">
        <v>0.1666666666666666</v>
      </c>
      <c r="X2139">
        <v>1</v>
      </c>
      <c r="Y2139">
        <v>0.44109999999999999</v>
      </c>
      <c r="Z2139">
        <v>1</v>
      </c>
    </row>
    <row r="2140" spans="1:26" x14ac:dyDescent="0.2">
      <c r="A2140" t="s">
        <v>184</v>
      </c>
      <c r="B2140">
        <v>2017</v>
      </c>
      <c r="C2140" t="str">
        <f t="shared" si="33"/>
        <v>VGS2017</v>
      </c>
      <c r="D2140">
        <v>2.3866830661132921E-14</v>
      </c>
      <c r="E2140">
        <v>0.12110988944824699</v>
      </c>
      <c r="F2140">
        <v>0.85934158081211764</v>
      </c>
      <c r="G2140">
        <v>28.178557786887691</v>
      </c>
      <c r="H2140">
        <v>1.208217675898426</v>
      </c>
      <c r="I2140">
        <v>0.65927241202448006</v>
      </c>
      <c r="J2140">
        <v>0.13724724599356231</v>
      </c>
      <c r="K2140">
        <v>-0.13473180321488801</v>
      </c>
      <c r="L2140">
        <v>8.2769200629595072E-2</v>
      </c>
      <c r="M2140">
        <v>10</v>
      </c>
      <c r="N2140">
        <v>0</v>
      </c>
      <c r="O2140">
        <v>0</v>
      </c>
      <c r="P2140">
        <v>0.13880000000000001</v>
      </c>
      <c r="Q2140">
        <v>0.12280000000000001</v>
      </c>
      <c r="R2140">
        <v>0</v>
      </c>
      <c r="S2140">
        <v>0</v>
      </c>
      <c r="T2140">
        <v>0</v>
      </c>
      <c r="U2140">
        <v>8</v>
      </c>
      <c r="V2140">
        <v>0</v>
      </c>
      <c r="W2140">
        <v>0.125</v>
      </c>
      <c r="X2140">
        <v>1</v>
      </c>
      <c r="Y2140">
        <v>0.4017</v>
      </c>
      <c r="Z2140">
        <v>1</v>
      </c>
    </row>
    <row r="2141" spans="1:26" x14ac:dyDescent="0.2">
      <c r="A2141" t="s">
        <v>184</v>
      </c>
      <c r="B2141">
        <v>2018</v>
      </c>
      <c r="C2141" t="str">
        <f t="shared" si="33"/>
        <v>VGS2018</v>
      </c>
      <c r="D2141">
        <v>2.1984964483167539E-14</v>
      </c>
      <c r="E2141">
        <v>7.0731608287354586E-2</v>
      </c>
      <c r="F2141">
        <v>0.79955954271817498</v>
      </c>
      <c r="G2141">
        <v>27.981719921646981</v>
      </c>
      <c r="H2141">
        <v>1.2149135926922749</v>
      </c>
      <c r="I2141">
        <v>0.55861375874772379</v>
      </c>
      <c r="J2141">
        <v>-0.17867621234750369</v>
      </c>
      <c r="K2141">
        <v>0.20898239427301279</v>
      </c>
      <c r="L2141">
        <v>0.10743739174421919</v>
      </c>
      <c r="M2141">
        <v>11</v>
      </c>
      <c r="N2141">
        <v>0</v>
      </c>
      <c r="O2141">
        <v>0</v>
      </c>
      <c r="P2141">
        <v>0.12379999999999999</v>
      </c>
      <c r="Q2141">
        <v>0.1084</v>
      </c>
      <c r="R2141">
        <v>0</v>
      </c>
      <c r="S2141">
        <v>0</v>
      </c>
      <c r="T2141">
        <v>0</v>
      </c>
      <c r="U2141">
        <v>8</v>
      </c>
      <c r="V2141">
        <v>0</v>
      </c>
      <c r="W2141">
        <v>0.125</v>
      </c>
      <c r="X2141">
        <v>1</v>
      </c>
      <c r="Y2141">
        <v>0.41399999999999998</v>
      </c>
      <c r="Z2141">
        <v>1</v>
      </c>
    </row>
    <row r="2142" spans="1:26" x14ac:dyDescent="0.2">
      <c r="A2142" t="s">
        <v>184</v>
      </c>
      <c r="B2142">
        <v>2019</v>
      </c>
      <c r="C2142" t="str">
        <f t="shared" si="33"/>
        <v>VGS2019</v>
      </c>
      <c r="D2142">
        <v>2.4304065768658539E-14</v>
      </c>
      <c r="E2142">
        <v>0.10848151716265959</v>
      </c>
      <c r="F2142">
        <v>0.77113882943433498</v>
      </c>
      <c r="G2142">
        <v>28.195708293509409</v>
      </c>
      <c r="H2142">
        <v>1.281237378072849</v>
      </c>
      <c r="I2142">
        <v>0.6059387717956729</v>
      </c>
      <c r="J2142">
        <v>0.2386082520025645</v>
      </c>
      <c r="K2142">
        <v>-8.5184035989137263E-2</v>
      </c>
      <c r="L2142">
        <v>0.11375798090655261</v>
      </c>
      <c r="M2142">
        <v>12</v>
      </c>
      <c r="N2142">
        <v>0</v>
      </c>
      <c r="O2142">
        <v>1</v>
      </c>
      <c r="P2142">
        <v>0.49919999999999998</v>
      </c>
      <c r="Q2142">
        <v>0.34339999999999998</v>
      </c>
      <c r="R2142">
        <v>0</v>
      </c>
      <c r="S2142">
        <v>0</v>
      </c>
      <c r="T2142">
        <v>0</v>
      </c>
      <c r="U2142">
        <v>8</v>
      </c>
      <c r="V2142">
        <v>0</v>
      </c>
      <c r="W2142">
        <v>0.125</v>
      </c>
      <c r="X2142">
        <v>1</v>
      </c>
      <c r="Y2142">
        <v>0.42399999999999999</v>
      </c>
      <c r="Z2142">
        <v>1</v>
      </c>
    </row>
    <row r="2143" spans="1:26" x14ac:dyDescent="0.2">
      <c r="A2143" t="s">
        <v>184</v>
      </c>
      <c r="B2143">
        <v>2020</v>
      </c>
      <c r="C2143" t="str">
        <f t="shared" si="33"/>
        <v>VGS2020</v>
      </c>
      <c r="D2143">
        <v>3.5412949625396692E-14</v>
      </c>
      <c r="E2143">
        <v>0.13597901323780129</v>
      </c>
      <c r="F2143">
        <v>0.87206912893132771</v>
      </c>
      <c r="G2143">
        <v>28.164644353513051</v>
      </c>
      <c r="H2143">
        <v>1.2916151799943021</v>
      </c>
      <c r="I2143">
        <v>0.55594185145818475</v>
      </c>
      <c r="J2143">
        <v>-3.0586413206866499E-2</v>
      </c>
      <c r="K2143">
        <v>0.1782813459061115</v>
      </c>
      <c r="L2143">
        <v>0.11082484075386941</v>
      </c>
      <c r="M2143">
        <v>13</v>
      </c>
      <c r="N2143">
        <v>0</v>
      </c>
      <c r="O2143">
        <v>1</v>
      </c>
      <c r="P2143">
        <v>0.49919999999999998</v>
      </c>
      <c r="Q2143">
        <v>0.34250000000000003</v>
      </c>
      <c r="R2143">
        <v>0</v>
      </c>
      <c r="S2143">
        <v>0</v>
      </c>
      <c r="T2143">
        <v>0</v>
      </c>
      <c r="U2143">
        <v>8</v>
      </c>
      <c r="V2143">
        <v>0</v>
      </c>
      <c r="W2143">
        <v>0.125</v>
      </c>
      <c r="X2143">
        <v>1</v>
      </c>
      <c r="Y2143">
        <v>0.434</v>
      </c>
      <c r="Z2143">
        <v>1</v>
      </c>
    </row>
    <row r="2144" spans="1:26" x14ac:dyDescent="0.2">
      <c r="A2144" t="s">
        <v>184</v>
      </c>
      <c r="B2144">
        <v>2021</v>
      </c>
      <c r="C2144" t="str">
        <f t="shared" si="33"/>
        <v>VGS2021</v>
      </c>
      <c r="D2144">
        <v>2.9802404288725167E-14</v>
      </c>
      <c r="E2144">
        <v>0.15480411885832521</v>
      </c>
      <c r="F2144">
        <v>1.48412563766893</v>
      </c>
      <c r="G2144">
        <v>28.363534956016089</v>
      </c>
      <c r="H2144">
        <v>1.403607865288965</v>
      </c>
      <c r="I2144">
        <v>0.59950646592649592</v>
      </c>
      <c r="J2144">
        <v>0.22004848834815291</v>
      </c>
      <c r="K2144">
        <v>9.8954301913424067E-2</v>
      </c>
      <c r="L2144">
        <v>0.20252058247183879</v>
      </c>
      <c r="M2144">
        <v>14</v>
      </c>
      <c r="N2144">
        <v>0</v>
      </c>
      <c r="O2144">
        <v>0</v>
      </c>
      <c r="P2144">
        <v>0.5665</v>
      </c>
      <c r="Q2144">
        <v>0.45879999999999999</v>
      </c>
      <c r="R2144">
        <v>0</v>
      </c>
      <c r="S2144">
        <v>0</v>
      </c>
      <c r="T2144">
        <v>0</v>
      </c>
      <c r="U2144">
        <v>8</v>
      </c>
      <c r="V2144">
        <v>0</v>
      </c>
      <c r="W2144">
        <v>0.125</v>
      </c>
      <c r="X2144">
        <v>1</v>
      </c>
      <c r="Y2144">
        <v>0.44400000000000001</v>
      </c>
      <c r="Z2144">
        <v>1</v>
      </c>
    </row>
    <row r="2145" spans="1:26" x14ac:dyDescent="0.2">
      <c r="A2145" t="s">
        <v>184</v>
      </c>
      <c r="B2145">
        <v>2022</v>
      </c>
      <c r="C2145" t="str">
        <f t="shared" si="33"/>
        <v>VGS2022</v>
      </c>
      <c r="D2145">
        <v>2.1363121282590269E-14</v>
      </c>
      <c r="E2145">
        <v>0.1080565040738926</v>
      </c>
      <c r="F2145">
        <v>0.80910850066350515</v>
      </c>
      <c r="G2145">
        <v>28.403397363340709</v>
      </c>
      <c r="H2145">
        <v>1.325567070612155</v>
      </c>
      <c r="I2145">
        <v>0.57199136051391575</v>
      </c>
      <c r="J2145">
        <v>4.0667576105135383E-2</v>
      </c>
      <c r="K2145">
        <v>2.6417198448093419E-2</v>
      </c>
      <c r="L2145">
        <v>0.21195274784929929</v>
      </c>
      <c r="M2145">
        <v>15</v>
      </c>
      <c r="N2145">
        <v>0</v>
      </c>
      <c r="O2145">
        <v>0</v>
      </c>
      <c r="P2145">
        <v>0.61799999999999999</v>
      </c>
      <c r="Q2145">
        <v>0.45879999999999999</v>
      </c>
      <c r="R2145">
        <v>0</v>
      </c>
      <c r="S2145">
        <v>0</v>
      </c>
      <c r="T2145">
        <v>0</v>
      </c>
      <c r="U2145">
        <v>6</v>
      </c>
      <c r="V2145">
        <v>0</v>
      </c>
      <c r="W2145">
        <v>0.1666666666666666</v>
      </c>
      <c r="X2145">
        <v>1</v>
      </c>
      <c r="Y2145">
        <v>0.436</v>
      </c>
      <c r="Z2145">
        <v>1</v>
      </c>
    </row>
    <row r="2146" spans="1:26" x14ac:dyDescent="0.2">
      <c r="A2146" t="s">
        <v>184</v>
      </c>
      <c r="B2146">
        <v>2023</v>
      </c>
      <c r="C2146" t="str">
        <f t="shared" si="33"/>
        <v>VGS2023</v>
      </c>
      <c r="D2146">
        <v>-3366144888439.7588</v>
      </c>
      <c r="E2146">
        <v>3.6884753383272663E-2</v>
      </c>
      <c r="F2146">
        <v>0.91095859659082212</v>
      </c>
      <c r="G2146">
        <v>28.52600360914688</v>
      </c>
      <c r="H2146">
        <v>1.2130180805843089</v>
      </c>
      <c r="I2146">
        <v>0.35660782437122529</v>
      </c>
      <c r="J2146">
        <v>0.13043921811999379</v>
      </c>
      <c r="K2146">
        <v>4.7649632083779959E-2</v>
      </c>
      <c r="L2146">
        <v>0.33389296032249599</v>
      </c>
      <c r="M2146">
        <v>16</v>
      </c>
      <c r="N2146">
        <v>0</v>
      </c>
      <c r="O2146">
        <v>0</v>
      </c>
      <c r="P2146">
        <v>0.61799999999999999</v>
      </c>
      <c r="Q2146">
        <v>0.45879999999999999</v>
      </c>
      <c r="R2146">
        <v>0</v>
      </c>
      <c r="S2146">
        <v>0</v>
      </c>
      <c r="T2146">
        <v>0</v>
      </c>
      <c r="U2146">
        <v>6</v>
      </c>
      <c r="V2146">
        <v>0</v>
      </c>
      <c r="W2146">
        <v>0.1666666666666666</v>
      </c>
      <c r="X2146">
        <v>1</v>
      </c>
      <c r="Y2146">
        <v>0.436</v>
      </c>
      <c r="Z2146">
        <v>1</v>
      </c>
    </row>
    <row r="2147" spans="1:26" x14ac:dyDescent="0.2">
      <c r="A2147" t="s">
        <v>185</v>
      </c>
      <c r="B2147">
        <v>2012</v>
      </c>
      <c r="C2147" t="str">
        <f t="shared" si="33"/>
        <v>VHC2012</v>
      </c>
      <c r="D2147">
        <v>2.4637365671464971E-14</v>
      </c>
      <c r="E2147">
        <v>0.17512704645114549</v>
      </c>
      <c r="F2147">
        <v>0.91513807014877968</v>
      </c>
      <c r="G2147">
        <v>28.753857074631789</v>
      </c>
      <c r="H2147">
        <v>1.692246581717245</v>
      </c>
      <c r="I2147">
        <v>0.54286017715365265</v>
      </c>
      <c r="J2147">
        <v>0.27659633384297749</v>
      </c>
      <c r="K2147">
        <v>6.9580284477724547E-2</v>
      </c>
      <c r="L2147">
        <v>0.20582803572629299</v>
      </c>
      <c r="M2147">
        <v>5</v>
      </c>
      <c r="N2147">
        <v>0</v>
      </c>
      <c r="O2147">
        <v>0</v>
      </c>
      <c r="P2147">
        <v>0.73060000000000003</v>
      </c>
      <c r="Q2147">
        <v>0.66620000000000001</v>
      </c>
      <c r="R2147">
        <v>0.15210000000000001</v>
      </c>
      <c r="S2147">
        <v>0</v>
      </c>
      <c r="T2147">
        <v>0.2349</v>
      </c>
      <c r="U2147">
        <v>4</v>
      </c>
      <c r="V2147">
        <v>1</v>
      </c>
      <c r="W2147">
        <v>0.5</v>
      </c>
      <c r="X2147">
        <v>1</v>
      </c>
      <c r="Y2147">
        <v>0.37440000000000001</v>
      </c>
      <c r="Z2147">
        <v>1</v>
      </c>
    </row>
    <row r="2148" spans="1:26" x14ac:dyDescent="0.2">
      <c r="A2148" t="s">
        <v>185</v>
      </c>
      <c r="B2148">
        <v>2013</v>
      </c>
      <c r="C2148" t="str">
        <f t="shared" si="33"/>
        <v>VHC2013</v>
      </c>
      <c r="D2148">
        <v>2.7080481378401899E-14</v>
      </c>
      <c r="E2148">
        <v>0.1199255201817607</v>
      </c>
      <c r="F2148">
        <v>0.94452603878871388</v>
      </c>
      <c r="G2148">
        <v>28.566964187742379</v>
      </c>
      <c r="H2148">
        <v>1.367669033300059</v>
      </c>
      <c r="I2148">
        <v>0.38960153691879928</v>
      </c>
      <c r="J2148">
        <v>-0.17046741455756831</v>
      </c>
      <c r="K2148">
        <v>6.1590645826888078E-2</v>
      </c>
      <c r="L2148">
        <v>0.28277446725862299</v>
      </c>
      <c r="M2148">
        <v>6</v>
      </c>
      <c r="N2148">
        <v>0</v>
      </c>
      <c r="O2148">
        <v>0</v>
      </c>
      <c r="P2148">
        <v>0.72919999999999985</v>
      </c>
      <c r="Q2148">
        <v>0.40179999999999999</v>
      </c>
      <c r="R2148">
        <v>0.15179999999999999</v>
      </c>
      <c r="S2148">
        <v>0</v>
      </c>
      <c r="T2148">
        <v>0.2344</v>
      </c>
      <c r="U2148">
        <v>5</v>
      </c>
      <c r="V2148">
        <v>1</v>
      </c>
      <c r="W2148">
        <v>0.4</v>
      </c>
      <c r="X2148">
        <v>1</v>
      </c>
      <c r="Y2148">
        <v>0.38329999999999997</v>
      </c>
      <c r="Z2148">
        <v>1</v>
      </c>
    </row>
    <row r="2149" spans="1:26" x14ac:dyDescent="0.2">
      <c r="A2149" t="s">
        <v>185</v>
      </c>
      <c r="B2149">
        <v>2014</v>
      </c>
      <c r="C2149" t="str">
        <f t="shared" si="33"/>
        <v>VHC2014</v>
      </c>
      <c r="D2149">
        <v>2.2941788494240581E-14</v>
      </c>
      <c r="E2149">
        <v>0.24755867196001119</v>
      </c>
      <c r="F2149">
        <v>1.359609148608103</v>
      </c>
      <c r="G2149">
        <v>29.133311180269398</v>
      </c>
      <c r="H2149">
        <v>1.841196122265145</v>
      </c>
      <c r="I2149">
        <v>0.579970377347511</v>
      </c>
      <c r="J2149">
        <v>0.76181934261497264</v>
      </c>
      <c r="K2149">
        <v>1.745945423051207E-2</v>
      </c>
      <c r="L2149">
        <v>0.23369577571052891</v>
      </c>
      <c r="M2149">
        <v>7</v>
      </c>
      <c r="N2149">
        <v>0</v>
      </c>
      <c r="O2149">
        <v>0</v>
      </c>
      <c r="P2149">
        <v>0.70189999999999997</v>
      </c>
      <c r="Q2149">
        <v>0.51200000000000001</v>
      </c>
      <c r="R2149">
        <v>0.15129999999999999</v>
      </c>
      <c r="S2149">
        <v>0</v>
      </c>
      <c r="T2149">
        <v>0.20710000000000001</v>
      </c>
      <c r="U2149">
        <v>5</v>
      </c>
      <c r="V2149">
        <v>1</v>
      </c>
      <c r="W2149">
        <v>0.4</v>
      </c>
      <c r="X2149">
        <v>1</v>
      </c>
      <c r="Y2149">
        <v>0.39560000000000001</v>
      </c>
      <c r="Z2149">
        <v>1</v>
      </c>
    </row>
    <row r="2150" spans="1:26" x14ac:dyDescent="0.2">
      <c r="A2150" t="s">
        <v>185</v>
      </c>
      <c r="B2150">
        <v>2015</v>
      </c>
      <c r="C2150" t="str">
        <f t="shared" si="33"/>
        <v>VHC2015</v>
      </c>
      <c r="D2150">
        <v>1.6900940460893751E-14</v>
      </c>
      <c r="E2150">
        <v>0.15355773951295809</v>
      </c>
      <c r="F2150">
        <v>1.1397454669793301</v>
      </c>
      <c r="G2150">
        <v>29.102796361785352</v>
      </c>
      <c r="H2150">
        <v>1.2308389187778479</v>
      </c>
      <c r="I2150">
        <v>0.52046199812327987</v>
      </c>
      <c r="J2150">
        <v>-3.005394116948967E-2</v>
      </c>
      <c r="K2150">
        <v>4.7463730509857409E-2</v>
      </c>
      <c r="L2150">
        <v>0.27270811711129961</v>
      </c>
      <c r="M2150">
        <v>8</v>
      </c>
      <c r="N2150">
        <v>1</v>
      </c>
      <c r="O2150">
        <v>0</v>
      </c>
      <c r="P2150">
        <v>0.64450000000000007</v>
      </c>
      <c r="Q2150">
        <v>0.51319999999999999</v>
      </c>
      <c r="R2150">
        <v>0.15129999999999999</v>
      </c>
      <c r="S2150">
        <v>0</v>
      </c>
      <c r="T2150">
        <v>0.15129999999999999</v>
      </c>
      <c r="U2150">
        <v>5</v>
      </c>
      <c r="V2150">
        <v>1</v>
      </c>
      <c r="W2150">
        <v>0.6</v>
      </c>
      <c r="X2150">
        <v>1</v>
      </c>
      <c r="Y2150">
        <v>0.38919999999999999</v>
      </c>
      <c r="Z2150">
        <v>1</v>
      </c>
    </row>
    <row r="2151" spans="1:26" x14ac:dyDescent="0.2">
      <c r="A2151" t="s">
        <v>185</v>
      </c>
      <c r="B2151">
        <v>2016</v>
      </c>
      <c r="C2151" t="str">
        <f t="shared" si="33"/>
        <v>VHC2016</v>
      </c>
      <c r="D2151">
        <v>2.8542681988316358E-14</v>
      </c>
      <c r="E2151">
        <v>0.23627721883312541</v>
      </c>
      <c r="F2151">
        <v>1.6623047428215589</v>
      </c>
      <c r="G2151">
        <v>29.124121360438242</v>
      </c>
      <c r="H2151">
        <v>1.5654306167406</v>
      </c>
      <c r="I2151">
        <v>0.46232712706492313</v>
      </c>
      <c r="J2151">
        <v>2.1554001367302119E-2</v>
      </c>
      <c r="K2151">
        <v>0.22153886693052399</v>
      </c>
      <c r="L2151">
        <v>0.31206776252111629</v>
      </c>
      <c r="M2151">
        <v>9</v>
      </c>
      <c r="N2151">
        <v>1</v>
      </c>
      <c r="O2151">
        <v>0</v>
      </c>
      <c r="P2151">
        <v>0.49320000000000003</v>
      </c>
      <c r="Q2151">
        <v>0.5111</v>
      </c>
      <c r="R2151">
        <v>0</v>
      </c>
      <c r="S2151">
        <v>0</v>
      </c>
      <c r="T2151">
        <v>0</v>
      </c>
      <c r="U2151">
        <v>5</v>
      </c>
      <c r="V2151">
        <v>0</v>
      </c>
      <c r="W2151">
        <v>0.8</v>
      </c>
      <c r="X2151">
        <v>1</v>
      </c>
      <c r="Y2151">
        <v>0.4</v>
      </c>
      <c r="Z2151">
        <v>1</v>
      </c>
    </row>
    <row r="2152" spans="1:26" x14ac:dyDescent="0.2">
      <c r="A2152" t="s">
        <v>185</v>
      </c>
      <c r="B2152">
        <v>2017</v>
      </c>
      <c r="C2152" t="str">
        <f t="shared" si="33"/>
        <v>VHC2017</v>
      </c>
      <c r="D2152">
        <v>2.3776206057108669E-14</v>
      </c>
      <c r="E2152">
        <v>0.2054547502840566</v>
      </c>
      <c r="F2152">
        <v>1.39207520484169</v>
      </c>
      <c r="G2152">
        <v>29.248940856216461</v>
      </c>
      <c r="H2152">
        <v>1.811690630761803</v>
      </c>
      <c r="I2152">
        <v>0.41644743232453929</v>
      </c>
      <c r="J2152">
        <v>0.13294393344602651</v>
      </c>
      <c r="K2152">
        <v>9.1826568492604899E-2</v>
      </c>
      <c r="L2152">
        <v>0.32375769536958632</v>
      </c>
      <c r="M2152">
        <v>10</v>
      </c>
      <c r="N2152">
        <v>1</v>
      </c>
      <c r="O2152">
        <v>0</v>
      </c>
      <c r="P2152">
        <v>0.42880000000000001</v>
      </c>
      <c r="Q2152">
        <v>0.44700000000000001</v>
      </c>
      <c r="R2152">
        <v>0</v>
      </c>
      <c r="S2152">
        <v>0</v>
      </c>
      <c r="T2152">
        <v>0</v>
      </c>
      <c r="U2152">
        <v>5</v>
      </c>
      <c r="V2152">
        <v>0</v>
      </c>
      <c r="W2152">
        <v>0.8</v>
      </c>
      <c r="X2152">
        <v>1</v>
      </c>
      <c r="Y2152">
        <v>0.3931</v>
      </c>
      <c r="Z2152">
        <v>1</v>
      </c>
    </row>
    <row r="2153" spans="1:26" x14ac:dyDescent="0.2">
      <c r="A2153" t="s">
        <v>185</v>
      </c>
      <c r="B2153">
        <v>2018</v>
      </c>
      <c r="C2153" t="str">
        <f t="shared" si="33"/>
        <v>VHC2018</v>
      </c>
      <c r="D2153">
        <v>3.6351215143829771E-14</v>
      </c>
      <c r="E2153">
        <v>0.35916145045191789</v>
      </c>
      <c r="F2153">
        <v>1.7562409279740021</v>
      </c>
      <c r="G2153">
        <v>29.471334603236059</v>
      </c>
      <c r="H2153">
        <v>1.7983210290408129</v>
      </c>
      <c r="I2153">
        <v>0.36251905359038578</v>
      </c>
      <c r="J2153">
        <v>0.24906309592297871</v>
      </c>
      <c r="K2153">
        <v>0.1194547055507366</v>
      </c>
      <c r="L2153">
        <v>0.217343352895118</v>
      </c>
      <c r="M2153">
        <v>11</v>
      </c>
      <c r="N2153">
        <v>1</v>
      </c>
      <c r="O2153">
        <v>0</v>
      </c>
      <c r="P2153">
        <v>0.42830000000000001</v>
      </c>
      <c r="Q2153">
        <v>0.44600000000000001</v>
      </c>
      <c r="R2153">
        <v>0</v>
      </c>
      <c r="S2153">
        <v>0</v>
      </c>
      <c r="T2153">
        <v>0</v>
      </c>
      <c r="U2153">
        <v>5</v>
      </c>
      <c r="V2153">
        <v>0</v>
      </c>
      <c r="W2153">
        <v>0.8</v>
      </c>
      <c r="X2153">
        <v>1</v>
      </c>
      <c r="Y2153">
        <v>0.40379999999999999</v>
      </c>
      <c r="Z2153">
        <v>1</v>
      </c>
    </row>
    <row r="2154" spans="1:26" x14ac:dyDescent="0.2">
      <c r="A2154" t="s">
        <v>185</v>
      </c>
      <c r="B2154">
        <v>2019</v>
      </c>
      <c r="C2154" t="str">
        <f t="shared" si="33"/>
        <v>VHC2019</v>
      </c>
      <c r="D2154">
        <v>2.696738425121371E-14</v>
      </c>
      <c r="E2154">
        <v>0.24175819695723441</v>
      </c>
      <c r="F2154">
        <v>0.80790670135948939</v>
      </c>
      <c r="G2154">
        <v>29.519969952448861</v>
      </c>
      <c r="H2154">
        <v>1.839540856977977</v>
      </c>
      <c r="I2154">
        <v>0.26240549668579849</v>
      </c>
      <c r="J2154">
        <v>4.9837456877918518E-2</v>
      </c>
      <c r="K2154">
        <v>0.23592206567806151</v>
      </c>
      <c r="L2154">
        <v>0.23451502726629961</v>
      </c>
      <c r="M2154">
        <v>12</v>
      </c>
      <c r="N2154">
        <v>1</v>
      </c>
      <c r="O2154">
        <v>1</v>
      </c>
      <c r="P2154">
        <v>0.49759999999999999</v>
      </c>
      <c r="Q2154">
        <v>0.4531</v>
      </c>
      <c r="R2154">
        <v>6.6000000000000003E-2</v>
      </c>
      <c r="S2154">
        <v>0</v>
      </c>
      <c r="T2154">
        <v>6.6000000000000003E-2</v>
      </c>
      <c r="U2154">
        <v>5</v>
      </c>
      <c r="V2154">
        <v>0</v>
      </c>
      <c r="W2154">
        <v>0.8</v>
      </c>
      <c r="X2154">
        <v>1</v>
      </c>
      <c r="Y2154">
        <v>0.4138</v>
      </c>
      <c r="Z2154">
        <v>1</v>
      </c>
    </row>
    <row r="2155" spans="1:26" x14ac:dyDescent="0.2">
      <c r="A2155" t="s">
        <v>185</v>
      </c>
      <c r="B2155">
        <v>2020</v>
      </c>
      <c r="C2155" t="str">
        <f t="shared" si="33"/>
        <v>VHC2020</v>
      </c>
      <c r="D2155">
        <v>1.38681870212579E-14</v>
      </c>
      <c r="E2155">
        <v>0.13897529957396379</v>
      </c>
      <c r="F2155">
        <v>1.3272534715963931</v>
      </c>
      <c r="G2155">
        <v>29.605360763114671</v>
      </c>
      <c r="H2155">
        <v>2.6878003612759271</v>
      </c>
      <c r="I2155">
        <v>0.28133435389729161</v>
      </c>
      <c r="J2155">
        <v>8.9142632092436447E-2</v>
      </c>
      <c r="K2155">
        <v>6.955279048889032E-2</v>
      </c>
      <c r="L2155">
        <v>0.26207045534233758</v>
      </c>
      <c r="M2155">
        <v>13</v>
      </c>
      <c r="N2155">
        <v>1</v>
      </c>
      <c r="O2155">
        <v>1</v>
      </c>
      <c r="P2155">
        <v>0.5573999999999999</v>
      </c>
      <c r="Q2155">
        <v>0.45240000000000002</v>
      </c>
      <c r="R2155">
        <v>0.1258</v>
      </c>
      <c r="S2155">
        <v>0</v>
      </c>
      <c r="T2155">
        <v>0.1258</v>
      </c>
      <c r="U2155">
        <v>6</v>
      </c>
      <c r="V2155">
        <v>0</v>
      </c>
      <c r="W2155">
        <v>0.66666666666666652</v>
      </c>
      <c r="X2155">
        <v>1</v>
      </c>
      <c r="Y2155">
        <v>0.42070000000000002</v>
      </c>
      <c r="Z2155">
        <v>1</v>
      </c>
    </row>
    <row r="2156" spans="1:26" x14ac:dyDescent="0.2">
      <c r="A2156" t="s">
        <v>185</v>
      </c>
      <c r="B2156">
        <v>2021</v>
      </c>
      <c r="C2156" t="str">
        <f t="shared" si="33"/>
        <v>VHC2021</v>
      </c>
      <c r="D2156">
        <v>1.4493911034439369E-14</v>
      </c>
      <c r="E2156">
        <v>0.1880631369655397</v>
      </c>
      <c r="F2156">
        <v>1.6342982079276871</v>
      </c>
      <c r="G2156">
        <v>29.798659760942979</v>
      </c>
      <c r="H2156">
        <v>2.4397073213318232</v>
      </c>
      <c r="I2156">
        <v>0.32659642526753402</v>
      </c>
      <c r="J2156">
        <v>0.2132454970614639</v>
      </c>
      <c r="K2156">
        <v>5.4088149585664241E-2</v>
      </c>
      <c r="L2156">
        <v>0.26722676446662041</v>
      </c>
      <c r="M2156">
        <v>14</v>
      </c>
      <c r="N2156">
        <v>1</v>
      </c>
      <c r="O2156">
        <v>0</v>
      </c>
      <c r="P2156">
        <v>0.43159999999999998</v>
      </c>
      <c r="Q2156">
        <v>0.45190000000000002</v>
      </c>
      <c r="R2156">
        <v>0</v>
      </c>
      <c r="S2156">
        <v>0</v>
      </c>
      <c r="T2156">
        <v>0</v>
      </c>
      <c r="U2156">
        <v>6</v>
      </c>
      <c r="V2156">
        <v>0</v>
      </c>
      <c r="W2156">
        <v>0.66666666666666652</v>
      </c>
      <c r="X2156">
        <v>1</v>
      </c>
      <c r="Y2156">
        <v>0.42620000000000002</v>
      </c>
      <c r="Z2156">
        <v>1</v>
      </c>
    </row>
    <row r="2157" spans="1:26" x14ac:dyDescent="0.2">
      <c r="A2157" t="s">
        <v>185</v>
      </c>
      <c r="B2157">
        <v>2022</v>
      </c>
      <c r="C2157" t="str">
        <f t="shared" si="33"/>
        <v>VHC2022</v>
      </c>
      <c r="D2157">
        <v>1.500246607750701E-14</v>
      </c>
      <c r="E2157">
        <v>0.26160882881149788</v>
      </c>
      <c r="F2157">
        <v>1.4407489979747681</v>
      </c>
      <c r="G2157">
        <v>30.080584632609671</v>
      </c>
      <c r="H2157">
        <v>2.068079260545471</v>
      </c>
      <c r="I2157">
        <v>0.33573376852967712</v>
      </c>
      <c r="J2157">
        <v>0.32567912018265432</v>
      </c>
      <c r="K2157">
        <v>0.15281686607544029</v>
      </c>
      <c r="L2157">
        <v>0.26658391811514842</v>
      </c>
      <c r="M2157">
        <v>15</v>
      </c>
      <c r="N2157">
        <v>1</v>
      </c>
      <c r="O2157">
        <v>0</v>
      </c>
      <c r="P2157">
        <v>0.43159999999999998</v>
      </c>
      <c r="Q2157">
        <v>0.44850000000000001</v>
      </c>
      <c r="R2157">
        <v>0</v>
      </c>
      <c r="S2157">
        <v>0</v>
      </c>
      <c r="T2157">
        <v>0</v>
      </c>
      <c r="U2157">
        <v>6</v>
      </c>
      <c r="V2157">
        <v>0</v>
      </c>
      <c r="W2157">
        <v>0.66666666666666652</v>
      </c>
      <c r="X2157">
        <v>1</v>
      </c>
      <c r="Y2157">
        <v>0.43880000000000002</v>
      </c>
      <c r="Z2157">
        <v>1</v>
      </c>
    </row>
    <row r="2158" spans="1:26" x14ac:dyDescent="0.2">
      <c r="A2158" t="s">
        <v>185</v>
      </c>
      <c r="B2158">
        <v>2023</v>
      </c>
      <c r="C2158" t="str">
        <f t="shared" si="33"/>
        <v>VHC2023</v>
      </c>
      <c r="D2158">
        <v>8069077094370.7744</v>
      </c>
      <c r="E2158">
        <v>0.1005604323669093</v>
      </c>
      <c r="F2158">
        <v>1.816828603956451</v>
      </c>
      <c r="G2158">
        <v>30.111128724646999</v>
      </c>
      <c r="H2158">
        <v>2.066004680696814</v>
      </c>
      <c r="I2158">
        <v>0.1891764745282187</v>
      </c>
      <c r="J2158">
        <v>3.1015348613828261E-2</v>
      </c>
      <c r="K2158">
        <v>5.7703136345110859E-2</v>
      </c>
      <c r="L2158">
        <v>0.25796353638586528</v>
      </c>
      <c r="M2158">
        <v>16</v>
      </c>
      <c r="N2158">
        <v>0</v>
      </c>
      <c r="O2158">
        <v>0</v>
      </c>
      <c r="P2158">
        <v>0.43159999999999998</v>
      </c>
      <c r="Q2158">
        <v>0.44850000000000001</v>
      </c>
      <c r="R2158">
        <v>0</v>
      </c>
      <c r="S2158">
        <v>0</v>
      </c>
      <c r="T2158">
        <v>0</v>
      </c>
      <c r="U2158">
        <v>6</v>
      </c>
      <c r="V2158">
        <v>0</v>
      </c>
      <c r="W2158">
        <v>0.66666666666666652</v>
      </c>
      <c r="X2158">
        <v>1</v>
      </c>
      <c r="Y2158">
        <v>0.43880000000000002</v>
      </c>
      <c r="Z2158">
        <v>1</v>
      </c>
    </row>
    <row r="2159" spans="1:26" x14ac:dyDescent="0.2">
      <c r="A2159" t="s">
        <v>186</v>
      </c>
      <c r="B2159">
        <v>2012</v>
      </c>
      <c r="C2159" t="str">
        <f t="shared" si="33"/>
        <v>VHL2012</v>
      </c>
      <c r="D2159">
        <v>4.2734573872061139E-16</v>
      </c>
      <c r="E2159">
        <v>1.38121795495344E-3</v>
      </c>
      <c r="F2159">
        <v>0.84075379595051969</v>
      </c>
      <c r="G2159">
        <v>27.482750733717332</v>
      </c>
      <c r="H2159">
        <v>0.55387928159852096</v>
      </c>
      <c r="I2159">
        <v>0.7332378839973609</v>
      </c>
      <c r="J2159">
        <v>-0.1084865878530652</v>
      </c>
      <c r="K2159">
        <v>0.14311797936540349</v>
      </c>
      <c r="L2159">
        <v>0.58955801222762227</v>
      </c>
      <c r="M2159">
        <v>6</v>
      </c>
      <c r="N2159">
        <v>0</v>
      </c>
      <c r="O2159">
        <v>0</v>
      </c>
      <c r="P2159">
        <v>0.50479999999999992</v>
      </c>
      <c r="Q2159">
        <v>0</v>
      </c>
      <c r="R2159">
        <v>0</v>
      </c>
      <c r="S2159">
        <v>0.50479999999999992</v>
      </c>
      <c r="T2159">
        <v>0.50479999999999992</v>
      </c>
      <c r="U2159">
        <v>5</v>
      </c>
      <c r="V2159">
        <v>0</v>
      </c>
      <c r="W2159">
        <v>0.2</v>
      </c>
      <c r="X2159">
        <v>0</v>
      </c>
      <c r="Y2159">
        <v>0.44</v>
      </c>
      <c r="Z2159">
        <v>1</v>
      </c>
    </row>
    <row r="2160" spans="1:26" x14ac:dyDescent="0.2">
      <c r="A2160" t="s">
        <v>186</v>
      </c>
      <c r="B2160">
        <v>2013</v>
      </c>
      <c r="C2160" t="str">
        <f t="shared" si="33"/>
        <v>VHL2013</v>
      </c>
      <c r="D2160">
        <v>7.8645730818890338E-14</v>
      </c>
      <c r="E2160">
        <v>0.1865881512295339</v>
      </c>
      <c r="F2160">
        <v>0.92316259780520971</v>
      </c>
      <c r="G2160">
        <v>27.411098377179471</v>
      </c>
      <c r="H2160">
        <v>0.56111960492085577</v>
      </c>
      <c r="I2160">
        <v>0.62599625789023461</v>
      </c>
      <c r="J2160">
        <v>-6.914555496991559E-2</v>
      </c>
      <c r="K2160">
        <v>0.26081077429356159</v>
      </c>
      <c r="L2160">
        <v>0.66162239137832457</v>
      </c>
      <c r="M2160">
        <v>7</v>
      </c>
      <c r="N2160">
        <v>0</v>
      </c>
      <c r="O2160">
        <v>0</v>
      </c>
      <c r="P2160">
        <v>0.50479999999999992</v>
      </c>
      <c r="Q2160">
        <v>0</v>
      </c>
      <c r="R2160">
        <v>0</v>
      </c>
      <c r="S2160">
        <v>0.50479999999999992</v>
      </c>
      <c r="T2160">
        <v>0.50479999999999992</v>
      </c>
      <c r="U2160">
        <v>6</v>
      </c>
      <c r="V2160">
        <v>0</v>
      </c>
      <c r="W2160">
        <v>0</v>
      </c>
      <c r="X2160">
        <v>0</v>
      </c>
      <c r="Y2160">
        <v>0.45669999999999999</v>
      </c>
      <c r="Z2160">
        <v>1</v>
      </c>
    </row>
    <row r="2161" spans="1:26" x14ac:dyDescent="0.2">
      <c r="A2161" t="s">
        <v>186</v>
      </c>
      <c r="B2161">
        <v>2014</v>
      </c>
      <c r="C2161" t="str">
        <f t="shared" si="33"/>
        <v>VHL2014</v>
      </c>
      <c r="D2161">
        <v>1.056715521531687E-13</v>
      </c>
      <c r="E2161">
        <v>0.2050194019933449</v>
      </c>
      <c r="F2161">
        <v>0.85066552169411735</v>
      </c>
      <c r="G2161">
        <v>27.513017396241981</v>
      </c>
      <c r="H2161">
        <v>0.67214440168788847</v>
      </c>
      <c r="I2161">
        <v>0.54178486418668748</v>
      </c>
      <c r="J2161">
        <v>0.10729379840719749</v>
      </c>
      <c r="K2161">
        <v>0.2320390137398094</v>
      </c>
      <c r="L2161">
        <v>0.54077584462050166</v>
      </c>
      <c r="M2161">
        <v>8</v>
      </c>
      <c r="N2161">
        <v>0</v>
      </c>
      <c r="O2161">
        <v>0</v>
      </c>
      <c r="P2161">
        <v>0.64280000000000004</v>
      </c>
      <c r="Q2161">
        <v>0</v>
      </c>
      <c r="R2161">
        <v>0</v>
      </c>
      <c r="S2161">
        <v>0.50479999999999992</v>
      </c>
      <c r="T2161">
        <v>0.64280000000000004</v>
      </c>
      <c r="U2161">
        <v>7</v>
      </c>
      <c r="V2161">
        <v>0</v>
      </c>
      <c r="W2161">
        <v>0.14285714285714279</v>
      </c>
      <c r="X2161">
        <v>0</v>
      </c>
      <c r="Y2161">
        <v>0.47849999999999998</v>
      </c>
      <c r="Z2161">
        <v>1</v>
      </c>
    </row>
    <row r="2162" spans="1:26" x14ac:dyDescent="0.2">
      <c r="A2162" t="s">
        <v>186</v>
      </c>
      <c r="B2162">
        <v>2015</v>
      </c>
      <c r="C2162" t="str">
        <f t="shared" si="33"/>
        <v>VHL2015</v>
      </c>
      <c r="D2162">
        <v>9.1651040005823783E-14</v>
      </c>
      <c r="E2162">
        <v>0.21626502861621999</v>
      </c>
      <c r="F2162">
        <v>1.1426136280697781</v>
      </c>
      <c r="G2162">
        <v>27.677432653261111</v>
      </c>
      <c r="H2162">
        <v>1.0597803485347119</v>
      </c>
      <c r="I2162">
        <v>0.55607727778043625</v>
      </c>
      <c r="J2162">
        <v>0.17870367845585131</v>
      </c>
      <c r="K2162">
        <v>4.7225605473699188E-2</v>
      </c>
      <c r="L2162">
        <v>0.54629427867545144</v>
      </c>
      <c r="M2162">
        <v>9</v>
      </c>
      <c r="N2162">
        <v>0</v>
      </c>
      <c r="O2162">
        <v>0</v>
      </c>
      <c r="P2162">
        <v>0.64209999999999989</v>
      </c>
      <c r="Q2162">
        <v>3.1600000000000003E-2</v>
      </c>
      <c r="R2162">
        <v>0</v>
      </c>
      <c r="S2162">
        <v>0</v>
      </c>
      <c r="T2162">
        <v>0.64209999999999989</v>
      </c>
      <c r="U2162">
        <v>7</v>
      </c>
      <c r="V2162">
        <v>0</v>
      </c>
      <c r="W2162">
        <v>0.14285714285714279</v>
      </c>
      <c r="X2162">
        <v>0</v>
      </c>
      <c r="Y2162">
        <v>0.48309999999999997</v>
      </c>
      <c r="Z2162">
        <v>1</v>
      </c>
    </row>
    <row r="2163" spans="1:26" x14ac:dyDescent="0.2">
      <c r="A2163" t="s">
        <v>186</v>
      </c>
      <c r="B2163">
        <v>2016</v>
      </c>
      <c r="C2163" t="str">
        <f t="shared" si="33"/>
        <v>VHL2016</v>
      </c>
      <c r="D2163">
        <v>7.1716730618649528E-14</v>
      </c>
      <c r="E2163">
        <v>0.2043788510222446</v>
      </c>
      <c r="F2163">
        <v>1.310445138073739</v>
      </c>
      <c r="G2163">
        <v>27.84195269056951</v>
      </c>
      <c r="H2163">
        <v>1.1446980723961899</v>
      </c>
      <c r="I2163">
        <v>0.56669774560869501</v>
      </c>
      <c r="J2163">
        <v>0.1788271898389151</v>
      </c>
      <c r="K2163">
        <v>0.1195308899522544</v>
      </c>
      <c r="L2163">
        <v>0.52806725627645301</v>
      </c>
      <c r="M2163">
        <v>10</v>
      </c>
      <c r="N2163">
        <v>0</v>
      </c>
      <c r="O2163">
        <v>0</v>
      </c>
      <c r="P2163">
        <v>0.62890000000000001</v>
      </c>
      <c r="Q2163">
        <v>2.6200000000000001E-2</v>
      </c>
      <c r="R2163">
        <v>6.6400000000000001E-2</v>
      </c>
      <c r="S2163">
        <v>0</v>
      </c>
      <c r="T2163">
        <v>0.62890000000000001</v>
      </c>
      <c r="U2163">
        <v>7</v>
      </c>
      <c r="V2163">
        <v>0</v>
      </c>
      <c r="W2163">
        <v>0.14285714285714279</v>
      </c>
      <c r="X2163">
        <v>0</v>
      </c>
      <c r="Y2163">
        <v>0.47849999999999998</v>
      </c>
      <c r="Z2163">
        <v>1</v>
      </c>
    </row>
    <row r="2164" spans="1:26" x14ac:dyDescent="0.2">
      <c r="A2164" t="s">
        <v>186</v>
      </c>
      <c r="B2164">
        <v>2017</v>
      </c>
      <c r="C2164" t="str">
        <f t="shared" si="33"/>
        <v>VHL2017</v>
      </c>
      <c r="D2164">
        <v>1.055352047508766E-13</v>
      </c>
      <c r="E2164">
        <v>0.26588710606088778</v>
      </c>
      <c r="F2164">
        <v>1.6618732126921909</v>
      </c>
      <c r="G2164">
        <v>27.830747620597009</v>
      </c>
      <c r="H2164">
        <v>1.145046706383227</v>
      </c>
      <c r="I2164">
        <v>0.51533662885628617</v>
      </c>
      <c r="J2164">
        <v>-1.061499124706489E-2</v>
      </c>
      <c r="K2164">
        <v>0.11703697336248151</v>
      </c>
      <c r="L2164">
        <v>0.50468632779872946</v>
      </c>
      <c r="M2164">
        <v>11</v>
      </c>
      <c r="N2164">
        <v>0</v>
      </c>
      <c r="O2164">
        <v>0</v>
      </c>
      <c r="P2164">
        <v>0.65839999999999999</v>
      </c>
      <c r="Q2164">
        <v>2.4500000000000001E-2</v>
      </c>
      <c r="R2164">
        <v>0.15359999999999999</v>
      </c>
      <c r="S2164">
        <v>0</v>
      </c>
      <c r="T2164">
        <v>0.65839999999999999</v>
      </c>
      <c r="U2164">
        <v>7</v>
      </c>
      <c r="V2164">
        <v>0</v>
      </c>
      <c r="W2164">
        <v>0.14285714285714279</v>
      </c>
      <c r="X2164">
        <v>0</v>
      </c>
      <c r="Y2164">
        <v>0.4718</v>
      </c>
      <c r="Z2164">
        <v>1</v>
      </c>
    </row>
    <row r="2165" spans="1:26" x14ac:dyDescent="0.2">
      <c r="A2165" t="s">
        <v>186</v>
      </c>
      <c r="B2165">
        <v>2018</v>
      </c>
      <c r="C2165" t="str">
        <f t="shared" si="33"/>
        <v>VHL2018</v>
      </c>
      <c r="D2165">
        <v>9.3804953844450141E-14</v>
      </c>
      <c r="E2165">
        <v>0.22130622856522969</v>
      </c>
      <c r="F2165">
        <v>1.0549256392450721</v>
      </c>
      <c r="G2165">
        <v>27.849873945932739</v>
      </c>
      <c r="H2165">
        <v>1.2095828216677409</v>
      </c>
      <c r="I2165">
        <v>0.47243167425711668</v>
      </c>
      <c r="J2165">
        <v>1.8766913377325171E-2</v>
      </c>
      <c r="K2165">
        <v>0.17428475734765539</v>
      </c>
      <c r="L2165">
        <v>0.49679832389629908</v>
      </c>
      <c r="M2165">
        <v>12</v>
      </c>
      <c r="N2165">
        <v>0</v>
      </c>
      <c r="O2165">
        <v>0</v>
      </c>
      <c r="P2165">
        <v>0.65899999999999992</v>
      </c>
      <c r="Q2165">
        <v>2.46E-2</v>
      </c>
      <c r="R2165">
        <v>0.1542</v>
      </c>
      <c r="S2165">
        <v>0</v>
      </c>
      <c r="T2165">
        <v>0.65899999999999992</v>
      </c>
      <c r="U2165">
        <v>7</v>
      </c>
      <c r="V2165">
        <v>0</v>
      </c>
      <c r="W2165">
        <v>0.14285714285714279</v>
      </c>
      <c r="X2165">
        <v>0</v>
      </c>
      <c r="Y2165">
        <v>0.48270000000000002</v>
      </c>
      <c r="Z2165">
        <v>1</v>
      </c>
    </row>
    <row r="2166" spans="1:26" x14ac:dyDescent="0.2">
      <c r="A2166" t="s">
        <v>186</v>
      </c>
      <c r="B2166">
        <v>2019</v>
      </c>
      <c r="C2166" t="str">
        <f t="shared" si="33"/>
        <v>VHL2019</v>
      </c>
      <c r="D2166">
        <v>7.7114873836671403E-14</v>
      </c>
      <c r="E2166">
        <v>0.18416338415688049</v>
      </c>
      <c r="F2166">
        <v>1.0670239394961221</v>
      </c>
      <c r="G2166">
        <v>27.880044767361671</v>
      </c>
      <c r="H2166">
        <v>1.202122730426743</v>
      </c>
      <c r="I2166">
        <v>0.46286374954628962</v>
      </c>
      <c r="J2166">
        <v>2.7349824774179909E-2</v>
      </c>
      <c r="K2166">
        <v>0.1235523392951302</v>
      </c>
      <c r="L2166">
        <v>0.46208457302242423</v>
      </c>
      <c r="M2166">
        <v>13</v>
      </c>
      <c r="N2166">
        <v>0</v>
      </c>
      <c r="O2166">
        <v>1</v>
      </c>
      <c r="P2166">
        <v>0.65899999999999992</v>
      </c>
      <c r="Q2166">
        <v>3.56E-2</v>
      </c>
      <c r="R2166">
        <v>0.1542</v>
      </c>
      <c r="S2166">
        <v>0</v>
      </c>
      <c r="T2166">
        <v>0.65899999999999992</v>
      </c>
      <c r="U2166">
        <v>7</v>
      </c>
      <c r="V2166">
        <v>0</v>
      </c>
      <c r="W2166">
        <v>0.14285714285714279</v>
      </c>
      <c r="X2166">
        <v>0</v>
      </c>
      <c r="Y2166">
        <v>0.49090000000000011</v>
      </c>
      <c r="Z2166">
        <v>1</v>
      </c>
    </row>
    <row r="2167" spans="1:26" x14ac:dyDescent="0.2">
      <c r="A2167" t="s">
        <v>186</v>
      </c>
      <c r="B2167">
        <v>2020</v>
      </c>
      <c r="C2167" t="str">
        <f t="shared" si="33"/>
        <v>VHL2020</v>
      </c>
      <c r="D2167">
        <v>5.3983291457184282E-14</v>
      </c>
      <c r="E2167">
        <v>0.12458964597094831</v>
      </c>
      <c r="F2167">
        <v>1.000991451687524</v>
      </c>
      <c r="G2167">
        <v>27.851758639197289</v>
      </c>
      <c r="H2167">
        <v>1.280223877873607</v>
      </c>
      <c r="I2167">
        <v>0.45969063226649948</v>
      </c>
      <c r="J2167">
        <v>-2.4785475935219181E-2</v>
      </c>
      <c r="K2167">
        <v>0.12712014888204939</v>
      </c>
      <c r="L2167">
        <v>0.41700508538843939</v>
      </c>
      <c r="M2167">
        <v>14</v>
      </c>
      <c r="N2167">
        <v>1</v>
      </c>
      <c r="O2167">
        <v>1</v>
      </c>
      <c r="P2167">
        <v>0.50479999999999992</v>
      </c>
      <c r="Q2167">
        <v>3.56E-2</v>
      </c>
      <c r="R2167">
        <v>0</v>
      </c>
      <c r="S2167">
        <v>0</v>
      </c>
      <c r="T2167">
        <v>0.50479999999999992</v>
      </c>
      <c r="U2167">
        <v>7</v>
      </c>
      <c r="V2167">
        <v>0</v>
      </c>
      <c r="W2167">
        <v>0.14285714285714279</v>
      </c>
      <c r="X2167">
        <v>0</v>
      </c>
      <c r="Y2167">
        <v>0.49080000000000001</v>
      </c>
      <c r="Z2167">
        <v>1</v>
      </c>
    </row>
    <row r="2168" spans="1:26" x14ac:dyDescent="0.2">
      <c r="A2168" t="s">
        <v>186</v>
      </c>
      <c r="B2168">
        <v>2021</v>
      </c>
      <c r="C2168" t="str">
        <f t="shared" si="33"/>
        <v>VHL2021</v>
      </c>
      <c r="D2168">
        <v>3.6249782160103838E-14</v>
      </c>
      <c r="E2168">
        <v>6.7334244185220271E-2</v>
      </c>
      <c r="F2168">
        <v>1.019354511098959</v>
      </c>
      <c r="G2168">
        <v>27.728064945532349</v>
      </c>
      <c r="H2168">
        <v>1.211546791324996</v>
      </c>
      <c r="I2168">
        <v>0.40678105639921369</v>
      </c>
      <c r="J2168">
        <v>-0.1163495328305664</v>
      </c>
      <c r="K2168">
        <v>7.1739003452351791E-2</v>
      </c>
      <c r="L2168">
        <v>0.39852493830546298</v>
      </c>
      <c r="M2168">
        <v>15</v>
      </c>
      <c r="N2168">
        <v>1</v>
      </c>
      <c r="O2168">
        <v>0</v>
      </c>
      <c r="P2168">
        <v>0.50479999999999992</v>
      </c>
      <c r="Q2168">
        <v>3.56E-2</v>
      </c>
      <c r="R2168">
        <v>0</v>
      </c>
      <c r="S2168">
        <v>0</v>
      </c>
      <c r="T2168">
        <v>0.50479999999999992</v>
      </c>
      <c r="U2168">
        <v>7</v>
      </c>
      <c r="V2168">
        <v>0</v>
      </c>
      <c r="W2168">
        <v>0.14285714285714279</v>
      </c>
      <c r="X2168">
        <v>0</v>
      </c>
      <c r="Y2168">
        <v>0.4955</v>
      </c>
      <c r="Z2168">
        <v>1</v>
      </c>
    </row>
    <row r="2169" spans="1:26" x14ac:dyDescent="0.2">
      <c r="A2169" t="s">
        <v>186</v>
      </c>
      <c r="B2169">
        <v>2022</v>
      </c>
      <c r="C2169" t="str">
        <f t="shared" si="33"/>
        <v>VHL2022</v>
      </c>
      <c r="D2169">
        <v>1.6118667908938721E-16</v>
      </c>
      <c r="E2169">
        <v>2.7922043209862842E-4</v>
      </c>
      <c r="F2169">
        <v>0.95545786797190335</v>
      </c>
      <c r="G2169">
        <v>27.657131358207931</v>
      </c>
      <c r="H2169">
        <v>1.323558044025327</v>
      </c>
      <c r="I2169">
        <v>0.40745479650485061</v>
      </c>
      <c r="J2169">
        <v>-6.8476244941729658E-2</v>
      </c>
      <c r="K2169">
        <v>1.4863680963405391E-2</v>
      </c>
      <c r="L2169">
        <v>0.36179823365318009</v>
      </c>
      <c r="M2169">
        <v>16</v>
      </c>
      <c r="N2169">
        <v>1</v>
      </c>
      <c r="O2169">
        <v>0</v>
      </c>
      <c r="P2169">
        <v>0.50479999999999992</v>
      </c>
      <c r="Q2169">
        <v>4.1200000000000001E-2</v>
      </c>
      <c r="R2169">
        <v>0</v>
      </c>
      <c r="S2169">
        <v>0</v>
      </c>
      <c r="T2169">
        <v>0.50479999999999992</v>
      </c>
      <c r="U2169">
        <v>7</v>
      </c>
      <c r="V2169">
        <v>0</v>
      </c>
      <c r="W2169">
        <v>0</v>
      </c>
      <c r="X2169">
        <v>0</v>
      </c>
      <c r="Y2169">
        <v>0.48849999999999999</v>
      </c>
      <c r="Z2169">
        <v>1</v>
      </c>
    </row>
    <row r="2170" spans="1:26" x14ac:dyDescent="0.2">
      <c r="A2170" t="s">
        <v>186</v>
      </c>
      <c r="B2170">
        <v>2023</v>
      </c>
      <c r="C2170" t="str">
        <f t="shared" si="33"/>
        <v>VHL2023</v>
      </c>
      <c r="D2170">
        <v>-3386821239156.394</v>
      </c>
      <c r="E2170">
        <v>-9.2138903612176151E-2</v>
      </c>
      <c r="F2170">
        <v>0.50866826404345356</v>
      </c>
      <c r="G2170">
        <v>27.453837189928539</v>
      </c>
      <c r="H2170">
        <v>1.501926509668511</v>
      </c>
      <c r="I2170">
        <v>9.9774415353154969E-2</v>
      </c>
      <c r="J2170">
        <v>-0.18396184642532909</v>
      </c>
      <c r="K2170">
        <v>6.1831283164613428E-2</v>
      </c>
      <c r="L2170">
        <v>0.36944833694825707</v>
      </c>
      <c r="M2170">
        <v>17</v>
      </c>
      <c r="N2170">
        <v>0</v>
      </c>
      <c r="O2170">
        <v>0</v>
      </c>
      <c r="P2170">
        <v>0.50479999999999992</v>
      </c>
      <c r="Q2170">
        <v>4.1200000000000001E-2</v>
      </c>
      <c r="R2170">
        <v>0</v>
      </c>
      <c r="S2170">
        <v>0</v>
      </c>
      <c r="T2170">
        <v>0.50479999999999992</v>
      </c>
      <c r="U2170">
        <v>7</v>
      </c>
      <c r="V2170">
        <v>0</v>
      </c>
      <c r="W2170">
        <v>0</v>
      </c>
      <c r="X2170">
        <v>0</v>
      </c>
      <c r="Y2170">
        <v>0.48849999999999999</v>
      </c>
      <c r="Z2170">
        <v>1</v>
      </c>
    </row>
    <row r="2171" spans="1:26" x14ac:dyDescent="0.2">
      <c r="A2171" t="s">
        <v>187</v>
      </c>
      <c r="B2171">
        <v>2012</v>
      </c>
      <c r="C2171" t="str">
        <f t="shared" si="33"/>
        <v>VIT2012</v>
      </c>
      <c r="D2171">
        <v>-3.1027049805183071E-14</v>
      </c>
      <c r="E2171">
        <v>-8.7243616587058079E-2</v>
      </c>
      <c r="F2171">
        <v>0.88165949711407343</v>
      </c>
      <c r="G2171">
        <v>27.059242932645219</v>
      </c>
      <c r="H2171">
        <v>0.61120231366230093</v>
      </c>
      <c r="I2171">
        <v>0.79923559664123112</v>
      </c>
      <c r="J2171">
        <v>-1.1878346284934451E-2</v>
      </c>
      <c r="K2171">
        <v>4.6460841588156353E-2</v>
      </c>
      <c r="L2171">
        <v>0.53962637250230827</v>
      </c>
      <c r="M2171">
        <v>9</v>
      </c>
      <c r="N2171">
        <v>0</v>
      </c>
      <c r="O2171">
        <v>0</v>
      </c>
      <c r="P2171">
        <v>0.51</v>
      </c>
      <c r="Q2171">
        <v>4.2799999999999998E-2</v>
      </c>
      <c r="R2171">
        <v>0</v>
      </c>
      <c r="S2171">
        <v>0.51</v>
      </c>
      <c r="T2171">
        <v>0.51</v>
      </c>
      <c r="U2171">
        <v>5</v>
      </c>
      <c r="V2171">
        <v>0</v>
      </c>
      <c r="W2171">
        <v>0.2</v>
      </c>
      <c r="X2171">
        <v>0</v>
      </c>
      <c r="Y2171">
        <v>0.43109999999999998</v>
      </c>
      <c r="Z2171">
        <v>1</v>
      </c>
    </row>
    <row r="2172" spans="1:26" x14ac:dyDescent="0.2">
      <c r="A2172" t="s">
        <v>187</v>
      </c>
      <c r="B2172">
        <v>2013</v>
      </c>
      <c r="C2172" t="str">
        <f t="shared" si="33"/>
        <v>VIT2013</v>
      </c>
      <c r="D2172">
        <v>3.2656449670778448E-14</v>
      </c>
      <c r="E2172">
        <v>9.2683621841982117E-2</v>
      </c>
      <c r="F2172">
        <v>0.91334933390396233</v>
      </c>
      <c r="G2172">
        <v>27.112225320871861</v>
      </c>
      <c r="H2172">
        <v>0.73398228716488934</v>
      </c>
      <c r="I2172">
        <v>0.79027228754808232</v>
      </c>
      <c r="J2172">
        <v>5.4411074906942643E-2</v>
      </c>
      <c r="K2172">
        <v>9.909568193575323E-2</v>
      </c>
      <c r="L2172">
        <v>0.53199269073687416</v>
      </c>
      <c r="M2172">
        <v>10</v>
      </c>
      <c r="N2172">
        <v>0</v>
      </c>
      <c r="O2172">
        <v>0</v>
      </c>
      <c r="P2172">
        <v>0.51</v>
      </c>
      <c r="Q2172">
        <v>1.4800000000000001E-2</v>
      </c>
      <c r="R2172">
        <v>0</v>
      </c>
      <c r="S2172">
        <v>0.51</v>
      </c>
      <c r="T2172">
        <v>0.51</v>
      </c>
      <c r="U2172">
        <v>5</v>
      </c>
      <c r="V2172">
        <v>0</v>
      </c>
      <c r="W2172">
        <v>0</v>
      </c>
      <c r="X2172">
        <v>0</v>
      </c>
      <c r="Y2172">
        <v>0.46710000000000002</v>
      </c>
      <c r="Z2172">
        <v>1</v>
      </c>
    </row>
    <row r="2173" spans="1:26" x14ac:dyDescent="0.2">
      <c r="A2173" t="s">
        <v>187</v>
      </c>
      <c r="B2173">
        <v>2014</v>
      </c>
      <c r="C2173" t="str">
        <f t="shared" si="33"/>
        <v>VIT2014</v>
      </c>
      <c r="D2173">
        <v>1.050408332940642E-13</v>
      </c>
      <c r="E2173">
        <v>0.18165560310560341</v>
      </c>
      <c r="F2173">
        <v>1.018880043562157</v>
      </c>
      <c r="G2173">
        <v>26.965129030093049</v>
      </c>
      <c r="H2173">
        <v>0.65363679918702533</v>
      </c>
      <c r="I2173">
        <v>0.70289079868583348</v>
      </c>
      <c r="J2173">
        <v>-0.13678914583104021</v>
      </c>
      <c r="K2173">
        <v>0.1271587786458403</v>
      </c>
      <c r="L2173">
        <v>0.56771902437741062</v>
      </c>
      <c r="M2173">
        <v>11</v>
      </c>
      <c r="N2173">
        <v>0</v>
      </c>
      <c r="O2173">
        <v>0</v>
      </c>
      <c r="P2173">
        <v>0.51</v>
      </c>
      <c r="Q2173">
        <v>1.4800000000000001E-2</v>
      </c>
      <c r="R2173">
        <v>0</v>
      </c>
      <c r="S2173">
        <v>0.51</v>
      </c>
      <c r="T2173">
        <v>0.51</v>
      </c>
      <c r="U2173">
        <v>5</v>
      </c>
      <c r="V2173">
        <v>0</v>
      </c>
      <c r="W2173">
        <v>0</v>
      </c>
      <c r="X2173">
        <v>0</v>
      </c>
      <c r="Y2173">
        <v>0.47710000000000002</v>
      </c>
      <c r="Z2173">
        <v>1</v>
      </c>
    </row>
    <row r="2174" spans="1:26" x14ac:dyDescent="0.2">
      <c r="A2174" t="s">
        <v>187</v>
      </c>
      <c r="B2174">
        <v>2015</v>
      </c>
      <c r="C2174" t="str">
        <f t="shared" si="33"/>
        <v>VIT2015</v>
      </c>
      <c r="D2174">
        <v>8.0417339729746073E-14</v>
      </c>
      <c r="E2174">
        <v>0.19249101114302369</v>
      </c>
      <c r="F2174">
        <v>1.149314297736812</v>
      </c>
      <c r="G2174">
        <v>27.246959000228319</v>
      </c>
      <c r="H2174">
        <v>0.68297510072537992</v>
      </c>
      <c r="I2174">
        <v>0.71546008934710714</v>
      </c>
      <c r="J2174">
        <v>0.32555331717352148</v>
      </c>
      <c r="K2174">
        <v>5.1825317092047067E-2</v>
      </c>
      <c r="L2174">
        <v>0.63435832944310366</v>
      </c>
      <c r="M2174">
        <v>12</v>
      </c>
      <c r="N2174">
        <v>0</v>
      </c>
      <c r="O2174">
        <v>0</v>
      </c>
      <c r="P2174">
        <v>0.51</v>
      </c>
      <c r="Q2174">
        <v>3.61E-2</v>
      </c>
      <c r="R2174">
        <v>0</v>
      </c>
      <c r="S2174">
        <v>0.51</v>
      </c>
      <c r="T2174">
        <v>0.51</v>
      </c>
      <c r="U2174">
        <v>5</v>
      </c>
      <c r="V2174">
        <v>0</v>
      </c>
      <c r="W2174">
        <v>0</v>
      </c>
      <c r="X2174">
        <v>0</v>
      </c>
      <c r="Y2174">
        <v>0.50130000000000008</v>
      </c>
      <c r="Z2174">
        <v>1</v>
      </c>
    </row>
    <row r="2175" spans="1:26" x14ac:dyDescent="0.2">
      <c r="A2175" t="s">
        <v>187</v>
      </c>
      <c r="B2175">
        <v>2016</v>
      </c>
      <c r="C2175" t="str">
        <f t="shared" si="33"/>
        <v>VIT2016</v>
      </c>
      <c r="D2175">
        <v>9.641627214115493E-14</v>
      </c>
      <c r="E2175">
        <v>0.25349876934289323</v>
      </c>
      <c r="F2175">
        <v>1.2207616783458639</v>
      </c>
      <c r="G2175">
        <v>27.370460571747241</v>
      </c>
      <c r="H2175">
        <v>0.64405299514812098</v>
      </c>
      <c r="I2175">
        <v>0.70690090736464117</v>
      </c>
      <c r="J2175">
        <v>0.13145178263856391</v>
      </c>
      <c r="K2175">
        <v>0.14940275459745889</v>
      </c>
      <c r="L2175">
        <v>0.52889372556580894</v>
      </c>
      <c r="M2175">
        <v>13</v>
      </c>
      <c r="N2175">
        <v>0</v>
      </c>
      <c r="O2175">
        <v>0</v>
      </c>
      <c r="P2175">
        <v>0.51</v>
      </c>
      <c r="Q2175">
        <v>3.6299999999999999E-2</v>
      </c>
      <c r="R2175">
        <v>0</v>
      </c>
      <c r="S2175">
        <v>0.51</v>
      </c>
      <c r="T2175">
        <v>0.51</v>
      </c>
      <c r="U2175">
        <v>5</v>
      </c>
      <c r="V2175">
        <v>0</v>
      </c>
      <c r="W2175">
        <v>0</v>
      </c>
      <c r="X2175">
        <v>0</v>
      </c>
      <c r="Y2175">
        <v>0.51129999999999998</v>
      </c>
      <c r="Z2175">
        <v>1</v>
      </c>
    </row>
    <row r="2176" spans="1:26" x14ac:dyDescent="0.2">
      <c r="A2176" t="s">
        <v>187</v>
      </c>
      <c r="B2176">
        <v>2017</v>
      </c>
      <c r="C2176" t="str">
        <f t="shared" si="33"/>
        <v>VIT2017</v>
      </c>
      <c r="D2176">
        <v>3.1344430621318593E-14</v>
      </c>
      <c r="E2176">
        <v>0.15472134598377901</v>
      </c>
      <c r="F2176">
        <v>1.097810680584383</v>
      </c>
      <c r="G2176">
        <v>27.723434551761919</v>
      </c>
      <c r="H2176">
        <v>0.83236627889484938</v>
      </c>
      <c r="I2176">
        <v>0.77779962089853416</v>
      </c>
      <c r="J2176">
        <v>0.42467163729539908</v>
      </c>
      <c r="K2176">
        <v>-9.708376831737027E-2</v>
      </c>
      <c r="L2176">
        <v>0.54839019789784738</v>
      </c>
      <c r="M2176">
        <v>14</v>
      </c>
      <c r="N2176">
        <v>0</v>
      </c>
      <c r="O2176">
        <v>0</v>
      </c>
      <c r="P2176">
        <v>0.51</v>
      </c>
      <c r="Q2176">
        <v>4.8899999999999999E-2</v>
      </c>
      <c r="R2176">
        <v>0</v>
      </c>
      <c r="S2176">
        <v>0.51</v>
      </c>
      <c r="T2176">
        <v>0.51</v>
      </c>
      <c r="U2176">
        <v>5</v>
      </c>
      <c r="V2176">
        <v>0</v>
      </c>
      <c r="W2176">
        <v>0</v>
      </c>
      <c r="X2176">
        <v>0</v>
      </c>
      <c r="Y2176">
        <v>0.48130000000000001</v>
      </c>
      <c r="Z2176">
        <v>1</v>
      </c>
    </row>
    <row r="2177" spans="1:26" x14ac:dyDescent="0.2">
      <c r="A2177" t="s">
        <v>187</v>
      </c>
      <c r="B2177">
        <v>2018</v>
      </c>
      <c r="C2177" t="str">
        <f t="shared" si="33"/>
        <v>VIT2018</v>
      </c>
      <c r="D2177">
        <v>3.8611438665902379E-14</v>
      </c>
      <c r="E2177">
        <v>0.15405816605101691</v>
      </c>
      <c r="F2177">
        <v>0.96348247859360914</v>
      </c>
      <c r="G2177">
        <v>27.64831789168392</v>
      </c>
      <c r="H2177">
        <v>0.75362037580582841</v>
      </c>
      <c r="I2177">
        <v>0.74499825377623963</v>
      </c>
      <c r="J2177">
        <v>-7.3261677265050396E-2</v>
      </c>
      <c r="K2177">
        <v>0.16614230348007941</v>
      </c>
      <c r="L2177">
        <v>0.53463204165846456</v>
      </c>
      <c r="M2177">
        <v>15</v>
      </c>
      <c r="N2177">
        <v>0</v>
      </c>
      <c r="O2177">
        <v>0</v>
      </c>
      <c r="P2177">
        <v>0.51</v>
      </c>
      <c r="Q2177">
        <v>4.9699999999999987E-2</v>
      </c>
      <c r="R2177">
        <v>0</v>
      </c>
      <c r="S2177">
        <v>0.51</v>
      </c>
      <c r="T2177">
        <v>0.51</v>
      </c>
      <c r="U2177">
        <v>5</v>
      </c>
      <c r="V2177">
        <v>0</v>
      </c>
      <c r="W2177">
        <v>0</v>
      </c>
      <c r="X2177">
        <v>0</v>
      </c>
      <c r="Y2177">
        <v>0.49130000000000001</v>
      </c>
      <c r="Z2177">
        <v>1</v>
      </c>
    </row>
    <row r="2178" spans="1:26" x14ac:dyDescent="0.2">
      <c r="A2178" t="s">
        <v>187</v>
      </c>
      <c r="B2178">
        <v>2019</v>
      </c>
      <c r="C2178" t="str">
        <f t="shared" si="33"/>
        <v>VIT2019</v>
      </c>
      <c r="D2178">
        <v>7.3480753866192955E-14</v>
      </c>
      <c r="E2178">
        <v>0.24406302584145859</v>
      </c>
      <c r="F2178">
        <v>0.99089307564284979</v>
      </c>
      <c r="G2178">
        <v>27.621966778779381</v>
      </c>
      <c r="H2178">
        <v>0.74089328117939868</v>
      </c>
      <c r="I2178">
        <v>0.70164084855040343</v>
      </c>
      <c r="J2178">
        <v>-2.60069519634426E-2</v>
      </c>
      <c r="K2178">
        <v>0.20807688310474781</v>
      </c>
      <c r="L2178">
        <v>0.51969749972780954</v>
      </c>
      <c r="M2178">
        <v>16</v>
      </c>
      <c r="N2178">
        <v>0</v>
      </c>
      <c r="O2178">
        <v>1</v>
      </c>
      <c r="P2178">
        <v>0.51</v>
      </c>
      <c r="Q2178">
        <v>4.9699999999999987E-2</v>
      </c>
      <c r="R2178">
        <v>0</v>
      </c>
      <c r="S2178">
        <v>0.51</v>
      </c>
      <c r="T2178">
        <v>0.51</v>
      </c>
      <c r="U2178">
        <v>5</v>
      </c>
      <c r="V2178">
        <v>0</v>
      </c>
      <c r="W2178">
        <v>0</v>
      </c>
      <c r="X2178">
        <v>0</v>
      </c>
      <c r="Y2178">
        <v>0.50130000000000008</v>
      </c>
      <c r="Z2178">
        <v>1</v>
      </c>
    </row>
    <row r="2179" spans="1:26" x14ac:dyDescent="0.2">
      <c r="A2179" t="s">
        <v>187</v>
      </c>
      <c r="B2179">
        <v>2020</v>
      </c>
      <c r="C2179" t="str">
        <f t="shared" ref="C2179:C2227" si="34">A2179&amp;B2179</f>
        <v>VIT2020</v>
      </c>
      <c r="D2179">
        <v>6.4344897071904661E-14</v>
      </c>
      <c r="E2179">
        <v>0.19254888779756679</v>
      </c>
      <c r="F2179">
        <v>0.99747832965828831</v>
      </c>
      <c r="G2179">
        <v>27.591160591286499</v>
      </c>
      <c r="H2179">
        <v>0.88800840713838991</v>
      </c>
      <c r="I2179">
        <v>0.67888404077577968</v>
      </c>
      <c r="J2179">
        <v>-3.0336512223041571E-2</v>
      </c>
      <c r="K2179">
        <v>8.4932778359886704E-2</v>
      </c>
      <c r="L2179">
        <v>0.46427971335623008</v>
      </c>
      <c r="M2179">
        <v>17</v>
      </c>
      <c r="N2179">
        <v>1</v>
      </c>
      <c r="O2179">
        <v>1</v>
      </c>
      <c r="P2179">
        <v>0.51</v>
      </c>
      <c r="Q2179">
        <v>4.9699999999999987E-2</v>
      </c>
      <c r="R2179">
        <v>0</v>
      </c>
      <c r="S2179">
        <v>0.51</v>
      </c>
      <c r="T2179">
        <v>0.51</v>
      </c>
      <c r="U2179">
        <v>5</v>
      </c>
      <c r="V2179">
        <v>0</v>
      </c>
      <c r="W2179">
        <v>0</v>
      </c>
      <c r="X2179">
        <v>0</v>
      </c>
      <c r="Y2179">
        <v>0.50629999999999997</v>
      </c>
      <c r="Z2179">
        <v>1</v>
      </c>
    </row>
    <row r="2180" spans="1:26" x14ac:dyDescent="0.2">
      <c r="A2180" t="s">
        <v>187</v>
      </c>
      <c r="B2180">
        <v>2021</v>
      </c>
      <c r="C2180" t="str">
        <f t="shared" si="34"/>
        <v>VIT2021</v>
      </c>
      <c r="D2180">
        <v>1.6716028128590489E-14</v>
      </c>
      <c r="E2180">
        <v>7.5077429853460872E-2</v>
      </c>
      <c r="F2180">
        <v>1.376124147086969</v>
      </c>
      <c r="G2180">
        <v>28.138966423524881</v>
      </c>
      <c r="H2180">
        <v>0.92213206301645467</v>
      </c>
      <c r="I2180">
        <v>0.62998311679865238</v>
      </c>
      <c r="J2180">
        <v>0.72945413918552138</v>
      </c>
      <c r="K2180">
        <v>7.7940603793919261E-2</v>
      </c>
      <c r="L2180">
        <v>0.61476875101740425</v>
      </c>
      <c r="M2180">
        <v>18</v>
      </c>
      <c r="N2180">
        <v>1</v>
      </c>
      <c r="O2180">
        <v>0</v>
      </c>
      <c r="P2180">
        <v>0.51</v>
      </c>
      <c r="Q2180">
        <v>5.2200000000000003E-2</v>
      </c>
      <c r="R2180">
        <v>0</v>
      </c>
      <c r="S2180">
        <v>0.51</v>
      </c>
      <c r="T2180">
        <v>0.51</v>
      </c>
      <c r="U2180">
        <v>5</v>
      </c>
      <c r="V2180">
        <v>0</v>
      </c>
      <c r="W2180">
        <v>0.2</v>
      </c>
      <c r="X2180">
        <v>0</v>
      </c>
      <c r="Y2180">
        <v>0.52710000000000001</v>
      </c>
      <c r="Z2180">
        <v>1</v>
      </c>
    </row>
    <row r="2181" spans="1:26" x14ac:dyDescent="0.2">
      <c r="A2181" t="s">
        <v>187</v>
      </c>
      <c r="B2181">
        <v>2022</v>
      </c>
      <c r="C2181" t="str">
        <f t="shared" si="34"/>
        <v>VIT2022</v>
      </c>
      <c r="D2181">
        <v>1.045124563205403E-14</v>
      </c>
      <c r="E2181">
        <v>8.1802096725293788E-2</v>
      </c>
      <c r="F2181">
        <v>1.148435449255121</v>
      </c>
      <c r="G2181">
        <v>28.422708936349771</v>
      </c>
      <c r="H2181">
        <v>0.95465368425626618</v>
      </c>
      <c r="I2181">
        <v>0.71801288050892653</v>
      </c>
      <c r="J2181">
        <v>0.3280909203436766</v>
      </c>
      <c r="K2181">
        <v>-2.940906222736013E-2</v>
      </c>
      <c r="L2181">
        <v>0.60444688872111219</v>
      </c>
      <c r="M2181">
        <v>19</v>
      </c>
      <c r="N2181">
        <v>1</v>
      </c>
      <c r="O2181">
        <v>0</v>
      </c>
      <c r="P2181">
        <v>0.56559999999999999</v>
      </c>
      <c r="Q2181">
        <v>5.2200000000000003E-2</v>
      </c>
      <c r="R2181">
        <v>0</v>
      </c>
      <c r="S2181">
        <v>0.51</v>
      </c>
      <c r="T2181">
        <v>0.51</v>
      </c>
      <c r="U2181">
        <v>5</v>
      </c>
      <c r="V2181">
        <v>0</v>
      </c>
      <c r="W2181">
        <v>0</v>
      </c>
      <c r="X2181">
        <v>0</v>
      </c>
      <c r="Y2181">
        <v>0.53710000000000002</v>
      </c>
      <c r="Z2181">
        <v>1</v>
      </c>
    </row>
    <row r="2182" spans="1:26" x14ac:dyDescent="0.2">
      <c r="A2182" t="s">
        <v>187</v>
      </c>
      <c r="B2182">
        <v>2023</v>
      </c>
      <c r="C2182" t="str">
        <f t="shared" si="34"/>
        <v>VIT2023</v>
      </c>
      <c r="D2182">
        <v>-1958511157583.6599</v>
      </c>
      <c r="E2182">
        <v>1.043805406825451E-4</v>
      </c>
      <c r="F2182">
        <v>1.0562795475807421</v>
      </c>
      <c r="G2182">
        <v>28.446171798875209</v>
      </c>
      <c r="H2182">
        <v>0.78271220325386559</v>
      </c>
      <c r="I2182">
        <v>0.63804840827300024</v>
      </c>
      <c r="J2182">
        <v>2.3740280912005089E-2</v>
      </c>
      <c r="K2182">
        <v>-5.0270711365159697E-2</v>
      </c>
      <c r="L2182">
        <v>0.54645353892227733</v>
      </c>
      <c r="M2182">
        <v>20</v>
      </c>
      <c r="N2182">
        <v>0</v>
      </c>
      <c r="O2182">
        <v>0</v>
      </c>
      <c r="P2182">
        <v>0.56559999999999999</v>
      </c>
      <c r="Q2182">
        <v>5.2200000000000003E-2</v>
      </c>
      <c r="R2182">
        <v>0</v>
      </c>
      <c r="S2182">
        <v>0.51</v>
      </c>
      <c r="T2182">
        <v>0.51</v>
      </c>
      <c r="U2182">
        <v>5</v>
      </c>
      <c r="V2182">
        <v>0</v>
      </c>
      <c r="W2182">
        <v>0</v>
      </c>
      <c r="X2182">
        <v>0</v>
      </c>
      <c r="Y2182">
        <v>0.53710000000000002</v>
      </c>
      <c r="Z2182">
        <v>1</v>
      </c>
    </row>
    <row r="2183" spans="1:26" x14ac:dyDescent="0.2">
      <c r="A2183" t="s">
        <v>188</v>
      </c>
      <c r="B2183">
        <v>2012</v>
      </c>
      <c r="C2183" t="str">
        <f t="shared" si="34"/>
        <v>VNM2012</v>
      </c>
      <c r="D2183">
        <v>1.4998361913263709E-14</v>
      </c>
      <c r="E2183">
        <v>0.37561598361419901</v>
      </c>
      <c r="F2183">
        <v>2.695977985190503</v>
      </c>
      <c r="G2183">
        <v>30.611531543807011</v>
      </c>
      <c r="H2183">
        <v>3.21315596793568</v>
      </c>
      <c r="I2183">
        <v>0.2134632912955613</v>
      </c>
      <c r="J2183">
        <v>0.26408801958157618</v>
      </c>
      <c r="K2183">
        <v>0.28768905674297152</v>
      </c>
      <c r="L2183">
        <v>0.39540749926418378</v>
      </c>
      <c r="M2183">
        <v>20</v>
      </c>
      <c r="N2183">
        <v>1</v>
      </c>
      <c r="O2183">
        <v>0</v>
      </c>
      <c r="P2183">
        <v>0.6006999999999999</v>
      </c>
      <c r="Q2183">
        <v>5.8999999999999999E-3</v>
      </c>
      <c r="R2183">
        <v>0.1502</v>
      </c>
      <c r="S2183">
        <v>0.45050000000000001</v>
      </c>
      <c r="T2183">
        <v>0.6006999999999999</v>
      </c>
      <c r="U2183">
        <v>5</v>
      </c>
      <c r="V2183">
        <v>1</v>
      </c>
      <c r="W2183">
        <v>0.4</v>
      </c>
      <c r="X2183">
        <v>1</v>
      </c>
      <c r="Y2183">
        <v>0.45079999999999998</v>
      </c>
      <c r="Z2183">
        <v>1</v>
      </c>
    </row>
    <row r="2184" spans="1:26" x14ac:dyDescent="0.2">
      <c r="A2184" t="s">
        <v>188</v>
      </c>
      <c r="B2184">
        <v>2013</v>
      </c>
      <c r="C2184" t="str">
        <f t="shared" si="34"/>
        <v>VNM2013</v>
      </c>
      <c r="D2184">
        <v>1.248671891342444E-14</v>
      </c>
      <c r="E2184">
        <v>0.3724095235054703</v>
      </c>
      <c r="F2184">
        <v>5.1507314250405338</v>
      </c>
      <c r="G2184">
        <v>30.76108382776286</v>
      </c>
      <c r="H2184">
        <v>2.680491237854647</v>
      </c>
      <c r="I2184">
        <v>0.23199845887770751</v>
      </c>
      <c r="J2184">
        <v>0.1613141873244304</v>
      </c>
      <c r="K2184">
        <v>0.28674726559745678</v>
      </c>
      <c r="L2184">
        <v>0.36663516126917972</v>
      </c>
      <c r="M2184">
        <v>21</v>
      </c>
      <c r="N2184">
        <v>1</v>
      </c>
      <c r="O2184">
        <v>0</v>
      </c>
      <c r="P2184">
        <v>0.59770000000000001</v>
      </c>
      <c r="Q2184">
        <v>5.6000000000000008E-3</v>
      </c>
      <c r="R2184">
        <v>0.1472</v>
      </c>
      <c r="S2184">
        <v>0.45050000000000001</v>
      </c>
      <c r="T2184">
        <v>0.59770000000000001</v>
      </c>
      <c r="U2184">
        <v>7</v>
      </c>
      <c r="V2184">
        <v>1</v>
      </c>
      <c r="W2184">
        <v>0.42857142857142849</v>
      </c>
      <c r="X2184">
        <v>1</v>
      </c>
      <c r="Y2184">
        <v>0.47470000000000001</v>
      </c>
      <c r="Z2184">
        <v>1</v>
      </c>
    </row>
    <row r="2185" spans="1:26" x14ac:dyDescent="0.2">
      <c r="A2185" t="s">
        <v>188</v>
      </c>
      <c r="B2185">
        <v>2014</v>
      </c>
      <c r="C2185" t="str">
        <f t="shared" si="34"/>
        <v>VNM2014</v>
      </c>
      <c r="D2185">
        <v>9.1374835461904657E-15</v>
      </c>
      <c r="E2185">
        <v>0.308339218737605</v>
      </c>
      <c r="F2185">
        <v>3.9379388662724302</v>
      </c>
      <c r="G2185">
        <v>30.880237498007919</v>
      </c>
      <c r="H2185">
        <v>2.6266920440189199</v>
      </c>
      <c r="I2185">
        <v>0.23165966605719079</v>
      </c>
      <c r="J2185">
        <v>0.12654302112976451</v>
      </c>
      <c r="K2185">
        <v>0.22877105165120981</v>
      </c>
      <c r="L2185">
        <v>0.32742954480631331</v>
      </c>
      <c r="M2185">
        <v>22</v>
      </c>
      <c r="N2185">
        <v>1</v>
      </c>
      <c r="O2185">
        <v>0</v>
      </c>
      <c r="P2185">
        <v>0.56090000000000007</v>
      </c>
      <c r="Q2185">
        <v>4.8999999999999998E-3</v>
      </c>
      <c r="R2185">
        <v>0.1103</v>
      </c>
      <c r="S2185">
        <v>0.4506</v>
      </c>
      <c r="T2185">
        <v>0.56090000000000007</v>
      </c>
      <c r="U2185">
        <v>6</v>
      </c>
      <c r="V2185">
        <v>1</v>
      </c>
      <c r="W2185">
        <v>0.5</v>
      </c>
      <c r="X2185">
        <v>1</v>
      </c>
      <c r="Y2185">
        <v>0.48820000000000002</v>
      </c>
      <c r="Z2185">
        <v>1</v>
      </c>
    </row>
    <row r="2186" spans="1:26" x14ac:dyDescent="0.2">
      <c r="A2186" t="s">
        <v>188</v>
      </c>
      <c r="B2186">
        <v>2015</v>
      </c>
      <c r="C2186" t="str">
        <f t="shared" si="34"/>
        <v>VNM2015</v>
      </c>
      <c r="D2186">
        <v>1.029011479366323E-14</v>
      </c>
      <c r="E2186">
        <v>0.37132403157347582</v>
      </c>
      <c r="F2186">
        <v>5.8290660728406012</v>
      </c>
      <c r="G2186">
        <v>30.94441320350872</v>
      </c>
      <c r="H2186">
        <v>2.834622244536368</v>
      </c>
      <c r="I2186">
        <v>0.23852602916731069</v>
      </c>
      <c r="J2186">
        <v>6.6279733517716766E-2</v>
      </c>
      <c r="K2186">
        <v>0.2955085034460605</v>
      </c>
      <c r="L2186">
        <v>0.31439585451336</v>
      </c>
      <c r="M2186">
        <v>23</v>
      </c>
      <c r="N2186">
        <v>1</v>
      </c>
      <c r="O2186">
        <v>0</v>
      </c>
      <c r="P2186">
        <v>0.56090000000000007</v>
      </c>
      <c r="Q2186">
        <v>5.1000000000000004E-3</v>
      </c>
      <c r="R2186">
        <v>0.1103</v>
      </c>
      <c r="S2186">
        <v>0.4506</v>
      </c>
      <c r="T2186">
        <v>0.56090000000000007</v>
      </c>
      <c r="U2186">
        <v>6</v>
      </c>
      <c r="V2186">
        <v>0</v>
      </c>
      <c r="W2186">
        <v>0.5</v>
      </c>
      <c r="X2186">
        <v>1</v>
      </c>
      <c r="Y2186">
        <v>0.5</v>
      </c>
      <c r="Z2186">
        <v>1</v>
      </c>
    </row>
    <row r="2187" spans="1:26" x14ac:dyDescent="0.2">
      <c r="A2187" t="s">
        <v>188</v>
      </c>
      <c r="B2187">
        <v>2016</v>
      </c>
      <c r="C2187" t="str">
        <f t="shared" si="34"/>
        <v>VNM2016</v>
      </c>
      <c r="D2187">
        <v>1.084899858380452E-14</v>
      </c>
      <c r="E2187">
        <v>0.41791711910463553</v>
      </c>
      <c r="F2187">
        <v>6.4424952544622434</v>
      </c>
      <c r="G2187">
        <v>31.01128955130114</v>
      </c>
      <c r="H2187">
        <v>2.78664099394256</v>
      </c>
      <c r="I2187">
        <v>0.2373392084251108</v>
      </c>
      <c r="J2187">
        <v>6.9163265602520285E-2</v>
      </c>
      <c r="K2187">
        <v>0.30606983076970201</v>
      </c>
      <c r="L2187">
        <v>0.3032621552279684</v>
      </c>
      <c r="M2187">
        <v>24</v>
      </c>
      <c r="N2187">
        <v>1</v>
      </c>
      <c r="O2187">
        <v>0</v>
      </c>
      <c r="P2187">
        <v>0.55679999999999996</v>
      </c>
      <c r="Q2187">
        <v>5.1999999999999998E-3</v>
      </c>
      <c r="R2187">
        <v>0.16350000000000001</v>
      </c>
      <c r="S2187">
        <v>0.39329999999999998</v>
      </c>
      <c r="T2187">
        <v>0.55679999999999996</v>
      </c>
      <c r="U2187">
        <v>6</v>
      </c>
      <c r="V2187">
        <v>0</v>
      </c>
      <c r="W2187">
        <v>0.5</v>
      </c>
      <c r="X2187">
        <v>1</v>
      </c>
      <c r="Y2187">
        <v>0.51290000000000002</v>
      </c>
      <c r="Z2187">
        <v>1</v>
      </c>
    </row>
    <row r="2188" spans="1:26" x14ac:dyDescent="0.2">
      <c r="A2188" t="s">
        <v>188</v>
      </c>
      <c r="B2188">
        <v>2017</v>
      </c>
      <c r="C2188" t="str">
        <f t="shared" si="34"/>
        <v>VNM2017</v>
      </c>
      <c r="D2188">
        <v>8.5521533475987572E-15</v>
      </c>
      <c r="E2188">
        <v>0.43053448089077062</v>
      </c>
      <c r="F2188">
        <v>9.0439932581262497</v>
      </c>
      <c r="G2188">
        <v>31.176818538844959</v>
      </c>
      <c r="H2188">
        <v>2.89180542297593</v>
      </c>
      <c r="I2188">
        <v>0.31136705651319851</v>
      </c>
      <c r="J2188">
        <v>0.1800171680230673</v>
      </c>
      <c r="K2188">
        <v>0.29874114715084638</v>
      </c>
      <c r="L2188">
        <v>0.35246700019802352</v>
      </c>
      <c r="M2188">
        <v>25</v>
      </c>
      <c r="N2188">
        <v>1</v>
      </c>
      <c r="O2188">
        <v>0</v>
      </c>
      <c r="P2188">
        <v>0.62529999999999997</v>
      </c>
      <c r="Q2188">
        <v>4.5000000000000014E-3</v>
      </c>
      <c r="R2188">
        <v>0.26529999999999998</v>
      </c>
      <c r="S2188">
        <v>0.36</v>
      </c>
      <c r="T2188">
        <v>0.62529999999999997</v>
      </c>
      <c r="U2188">
        <v>8</v>
      </c>
      <c r="V2188">
        <v>0</v>
      </c>
      <c r="W2188">
        <v>0.375</v>
      </c>
      <c r="X2188">
        <v>1</v>
      </c>
      <c r="Y2188">
        <v>0.53710000000000002</v>
      </c>
      <c r="Z2188">
        <v>1</v>
      </c>
    </row>
    <row r="2189" spans="1:26" x14ac:dyDescent="0.2">
      <c r="A2189" t="s">
        <v>188</v>
      </c>
      <c r="B2189">
        <v>2018</v>
      </c>
      <c r="C2189" t="str">
        <f t="shared" si="34"/>
        <v>VNM2018</v>
      </c>
      <c r="D2189">
        <v>7.3094392713241859E-15</v>
      </c>
      <c r="E2189">
        <v>0.38846965294553998</v>
      </c>
      <c r="F2189">
        <v>5.8894045231985954</v>
      </c>
      <c r="G2189">
        <v>31.251785223797409</v>
      </c>
      <c r="H2189">
        <v>1.991791442407415</v>
      </c>
      <c r="I2189">
        <v>0.29691984961380702</v>
      </c>
      <c r="J2189">
        <v>7.7848241721044875E-2</v>
      </c>
      <c r="K2189">
        <v>0.2387959670422912</v>
      </c>
      <c r="L2189">
        <v>0.37242350918798822</v>
      </c>
      <c r="M2189">
        <v>26</v>
      </c>
      <c r="N2189">
        <v>1</v>
      </c>
      <c r="O2189">
        <v>0</v>
      </c>
      <c r="P2189">
        <v>0.63929999999999998</v>
      </c>
      <c r="Q2189">
        <v>4.5000000000000014E-3</v>
      </c>
      <c r="R2189">
        <v>0.27929999999999999</v>
      </c>
      <c r="S2189">
        <v>0.36</v>
      </c>
      <c r="T2189">
        <v>0.63929999999999998</v>
      </c>
      <c r="U2189">
        <v>10</v>
      </c>
      <c r="V2189">
        <v>0</v>
      </c>
      <c r="W2189">
        <v>0.3</v>
      </c>
      <c r="X2189">
        <v>1</v>
      </c>
      <c r="Y2189">
        <v>0.55649999999999999</v>
      </c>
      <c r="Z2189">
        <v>1</v>
      </c>
    </row>
    <row r="2190" spans="1:26" x14ac:dyDescent="0.2">
      <c r="A2190" t="s">
        <v>188</v>
      </c>
      <c r="B2190">
        <v>2019</v>
      </c>
      <c r="C2190" t="str">
        <f t="shared" si="34"/>
        <v>VNM2019</v>
      </c>
      <c r="D2190">
        <v>5.2822403755633512E-15</v>
      </c>
      <c r="E2190">
        <v>0.35499112998572019</v>
      </c>
      <c r="F2190">
        <v>4.8733721827662162</v>
      </c>
      <c r="G2190">
        <v>31.430991785016861</v>
      </c>
      <c r="H2190">
        <v>1.9323820665823279</v>
      </c>
      <c r="I2190">
        <v>0.33486936422389918</v>
      </c>
      <c r="J2190">
        <v>0.19626782118867481</v>
      </c>
      <c r="K2190">
        <v>0.27015109084935202</v>
      </c>
      <c r="L2190">
        <v>0.32858605758585963</v>
      </c>
      <c r="M2190">
        <v>27</v>
      </c>
      <c r="N2190">
        <v>1</v>
      </c>
      <c r="O2190">
        <v>1</v>
      </c>
      <c r="P2190">
        <v>0.63929999999999998</v>
      </c>
      <c r="Q2190">
        <v>4.5000000000000014E-3</v>
      </c>
      <c r="R2190">
        <v>0.27929999999999999</v>
      </c>
      <c r="S2190">
        <v>0.36</v>
      </c>
      <c r="T2190">
        <v>0.63929999999999998</v>
      </c>
      <c r="U2190">
        <v>9</v>
      </c>
      <c r="V2190">
        <v>0</v>
      </c>
      <c r="W2190">
        <v>0.33333333333333331</v>
      </c>
      <c r="X2190">
        <v>1</v>
      </c>
      <c r="Y2190">
        <v>0.57250000000000001</v>
      </c>
      <c r="Z2190">
        <v>1</v>
      </c>
    </row>
    <row r="2191" spans="1:26" x14ac:dyDescent="0.2">
      <c r="A2191" t="s">
        <v>188</v>
      </c>
      <c r="B2191">
        <v>2020</v>
      </c>
      <c r="C2191" t="str">
        <f t="shared" si="34"/>
        <v>VNM2020</v>
      </c>
      <c r="D2191">
        <v>4.7899166143293516E-15</v>
      </c>
      <c r="E2191">
        <v>0.33392847558792371</v>
      </c>
      <c r="F2191">
        <v>4.9995120778616062</v>
      </c>
      <c r="G2191">
        <v>31.5111917928702</v>
      </c>
      <c r="H2191">
        <v>1.711681713680002</v>
      </c>
      <c r="I2191">
        <v>0.30527774415357328</v>
      </c>
      <c r="J2191">
        <v>8.3503755264801457E-2</v>
      </c>
      <c r="K2191">
        <v>0.23374221373424331</v>
      </c>
      <c r="L2191">
        <v>0.28451857527657137</v>
      </c>
      <c r="M2191">
        <v>28</v>
      </c>
      <c r="N2191">
        <v>1</v>
      </c>
      <c r="O2191">
        <v>1</v>
      </c>
      <c r="P2191">
        <v>0.6431</v>
      </c>
      <c r="Q2191">
        <v>4.6999999999999993E-3</v>
      </c>
      <c r="R2191">
        <v>0.28310000000000002</v>
      </c>
      <c r="S2191">
        <v>0.36</v>
      </c>
      <c r="T2191">
        <v>0.6431</v>
      </c>
      <c r="U2191">
        <v>8</v>
      </c>
      <c r="V2191">
        <v>0</v>
      </c>
      <c r="W2191">
        <v>0.5</v>
      </c>
      <c r="X2191">
        <v>1</v>
      </c>
      <c r="Y2191">
        <v>0.56630000000000003</v>
      </c>
      <c r="Z2191">
        <v>1</v>
      </c>
    </row>
    <row r="2192" spans="1:26" x14ac:dyDescent="0.2">
      <c r="A2192" t="s">
        <v>188</v>
      </c>
      <c r="B2192">
        <v>2021</v>
      </c>
      <c r="C2192" t="str">
        <f t="shared" si="34"/>
        <v>VNM2021</v>
      </c>
      <c r="D2192">
        <v>3.7381312793134153E-15</v>
      </c>
      <c r="E2192">
        <v>0.29658304290231641</v>
      </c>
      <c r="F2192">
        <v>3.7135854915345039</v>
      </c>
      <c r="G2192">
        <v>31.607565206808871</v>
      </c>
      <c r="H2192">
        <v>2.0872767258955629</v>
      </c>
      <c r="I2192">
        <v>0.32779863763474909</v>
      </c>
      <c r="J2192">
        <v>0.1011701795249558</v>
      </c>
      <c r="K2192">
        <v>0.19560440250060429</v>
      </c>
      <c r="L2192">
        <v>0.23906888614534161</v>
      </c>
      <c r="M2192">
        <v>29</v>
      </c>
      <c r="N2192">
        <v>1</v>
      </c>
      <c r="O2192">
        <v>0</v>
      </c>
      <c r="P2192">
        <v>0.6431</v>
      </c>
      <c r="Q2192">
        <v>4.1999999999999997E-3</v>
      </c>
      <c r="R2192">
        <v>0.28310000000000002</v>
      </c>
      <c r="S2192">
        <v>0.36</v>
      </c>
      <c r="T2192">
        <v>0.6431</v>
      </c>
      <c r="U2192">
        <v>10</v>
      </c>
      <c r="V2192">
        <v>0</v>
      </c>
      <c r="W2192">
        <v>0.4</v>
      </c>
      <c r="X2192">
        <v>1</v>
      </c>
      <c r="Y2192">
        <v>0.56999999999999995</v>
      </c>
      <c r="Z2192">
        <v>1</v>
      </c>
    </row>
    <row r="2193" spans="1:26" x14ac:dyDescent="0.2">
      <c r="A2193" t="s">
        <v>188</v>
      </c>
      <c r="B2193">
        <v>2022</v>
      </c>
      <c r="C2193" t="str">
        <f t="shared" si="34"/>
        <v>VNM2022</v>
      </c>
      <c r="D2193">
        <v>3.6491489080796877E-15</v>
      </c>
      <c r="E2193">
        <v>0.26137980960978102</v>
      </c>
      <c r="F2193">
        <v>3.6035922942352019</v>
      </c>
      <c r="G2193">
        <v>31.51222741154719</v>
      </c>
      <c r="H2193">
        <v>2.115598104924727</v>
      </c>
      <c r="I2193">
        <v>0.3231288157929092</v>
      </c>
      <c r="J2193">
        <v>-9.0934195523683994E-2</v>
      </c>
      <c r="K2193">
        <v>0.20684286430517879</v>
      </c>
      <c r="L2193">
        <v>0.26123763302483638</v>
      </c>
      <c r="M2193">
        <v>30</v>
      </c>
      <c r="N2193">
        <v>1</v>
      </c>
      <c r="O2193">
        <v>0</v>
      </c>
      <c r="P2193">
        <v>0.6431</v>
      </c>
      <c r="Q2193">
        <v>3.5000000000000001E-3</v>
      </c>
      <c r="R2193">
        <v>0.28310000000000002</v>
      </c>
      <c r="S2193">
        <v>0.36</v>
      </c>
      <c r="T2193">
        <v>0.6431</v>
      </c>
      <c r="U2193">
        <v>10</v>
      </c>
      <c r="V2193">
        <v>0</v>
      </c>
      <c r="W2193">
        <v>0.3</v>
      </c>
      <c r="X2193">
        <v>1</v>
      </c>
      <c r="Y2193">
        <v>0.57330000000000003</v>
      </c>
      <c r="Z2193">
        <v>1</v>
      </c>
    </row>
    <row r="2194" spans="1:26" x14ac:dyDescent="0.2">
      <c r="A2194" t="s">
        <v>188</v>
      </c>
      <c r="B2194">
        <v>2023</v>
      </c>
      <c r="C2194" t="str">
        <f t="shared" si="34"/>
        <v>VNM2023</v>
      </c>
      <c r="D2194">
        <v>134553616163668.41</v>
      </c>
      <c r="E2194">
        <v>0.2039786969929398</v>
      </c>
      <c r="F2194">
        <v>2.8081159426554869</v>
      </c>
      <c r="G2194">
        <v>31.59513115163729</v>
      </c>
      <c r="H2194">
        <v>2.061635088482221</v>
      </c>
      <c r="I2194">
        <v>0.16054095397837539</v>
      </c>
      <c r="J2194">
        <v>8.6437223165414245E-2</v>
      </c>
      <c r="K2194">
        <v>0.17570804445135171</v>
      </c>
      <c r="L2194">
        <v>0.2396931065965886</v>
      </c>
      <c r="M2194">
        <v>31</v>
      </c>
      <c r="N2194">
        <v>0</v>
      </c>
      <c r="O2194">
        <v>0</v>
      </c>
      <c r="P2194">
        <v>0.6431</v>
      </c>
      <c r="Q2194">
        <v>3.5000000000000001E-3</v>
      </c>
      <c r="R2194">
        <v>0.28310000000000002</v>
      </c>
      <c r="S2194">
        <v>0.36</v>
      </c>
      <c r="T2194">
        <v>0.6431</v>
      </c>
      <c r="U2194">
        <v>10</v>
      </c>
      <c r="V2194">
        <v>0</v>
      </c>
      <c r="W2194">
        <v>0.3</v>
      </c>
      <c r="X2194">
        <v>1</v>
      </c>
      <c r="Y2194">
        <v>0.57330000000000003</v>
      </c>
      <c r="Z2194">
        <v>1</v>
      </c>
    </row>
    <row r="2195" spans="1:26" x14ac:dyDescent="0.2">
      <c r="A2195" t="s">
        <v>189</v>
      </c>
      <c r="B2195">
        <v>2014</v>
      </c>
      <c r="C2195" t="str">
        <f t="shared" si="34"/>
        <v>VPS2014</v>
      </c>
      <c r="D2195">
        <v>1.8336231546098649E-13</v>
      </c>
      <c r="E2195">
        <v>0.14578792707168331</v>
      </c>
      <c r="F2195">
        <v>1.185654194438998</v>
      </c>
      <c r="G2195">
        <v>26.944272155903452</v>
      </c>
      <c r="H2195" t="e">
        <v>#N/A</v>
      </c>
      <c r="I2195">
        <v>0.35245234814117271</v>
      </c>
      <c r="J2195">
        <v>0</v>
      </c>
      <c r="K2195">
        <v>0.13201053100518681</v>
      </c>
      <c r="L2195">
        <v>8.0489139788599909E-2</v>
      </c>
      <c r="M2195">
        <v>8</v>
      </c>
      <c r="N2195">
        <v>0</v>
      </c>
      <c r="O2195">
        <v>0</v>
      </c>
      <c r="P2195">
        <v>0.79569999999999996</v>
      </c>
      <c r="Q2195">
        <v>0.20399999999999999</v>
      </c>
      <c r="R2195">
        <v>0</v>
      </c>
      <c r="S2195">
        <v>0.51</v>
      </c>
      <c r="T2195">
        <v>0.51</v>
      </c>
      <c r="U2195">
        <v>5</v>
      </c>
      <c r="V2195">
        <v>1</v>
      </c>
      <c r="W2195">
        <v>0</v>
      </c>
      <c r="X2195">
        <v>1</v>
      </c>
      <c r="Y2195">
        <v>0.45900000000000002</v>
      </c>
      <c r="Z2195">
        <v>1</v>
      </c>
    </row>
    <row r="2196" spans="1:26" x14ac:dyDescent="0.2">
      <c r="A2196" t="s">
        <v>189</v>
      </c>
      <c r="B2196">
        <v>2015</v>
      </c>
      <c r="C2196" t="str">
        <f t="shared" si="34"/>
        <v>VPS2015</v>
      </c>
      <c r="D2196">
        <v>1.4862799410907391E-13</v>
      </c>
      <c r="E2196">
        <v>0.13832194208092319</v>
      </c>
      <c r="F2196">
        <v>0.96532046373331815</v>
      </c>
      <c r="G2196">
        <v>27.046521726228949</v>
      </c>
      <c r="H2196">
        <v>2.3865234129836939</v>
      </c>
      <c r="I2196">
        <v>0.40108570501802282</v>
      </c>
      <c r="J2196">
        <v>0.1076598762711827</v>
      </c>
      <c r="K2196">
        <v>-1.121141014536405E-2</v>
      </c>
      <c r="L2196">
        <v>8.1843324147911359E-2</v>
      </c>
      <c r="M2196">
        <v>9</v>
      </c>
      <c r="N2196">
        <v>0</v>
      </c>
      <c r="O2196">
        <v>0</v>
      </c>
      <c r="P2196">
        <v>0.79299999999999993</v>
      </c>
      <c r="Q2196">
        <v>0.20399999999999999</v>
      </c>
      <c r="R2196">
        <v>0</v>
      </c>
      <c r="S2196">
        <v>0.51</v>
      </c>
      <c r="T2196">
        <v>0.51</v>
      </c>
      <c r="U2196">
        <v>5</v>
      </c>
      <c r="V2196">
        <v>1</v>
      </c>
      <c r="W2196">
        <v>0</v>
      </c>
      <c r="X2196">
        <v>1</v>
      </c>
      <c r="Y2196">
        <v>0.45900000000000002</v>
      </c>
      <c r="Z2196">
        <v>1</v>
      </c>
    </row>
    <row r="2197" spans="1:26" x14ac:dyDescent="0.2">
      <c r="A2197" t="s">
        <v>189</v>
      </c>
      <c r="B2197">
        <v>2016</v>
      </c>
      <c r="C2197" t="str">
        <f t="shared" si="34"/>
        <v>VPS2016</v>
      </c>
      <c r="D2197">
        <v>2.4004911394455488E-13</v>
      </c>
      <c r="E2197">
        <v>0.21813003699574199</v>
      </c>
      <c r="F2197">
        <v>1.1646158622132889</v>
      </c>
      <c r="G2197">
        <v>27.0550191912298</v>
      </c>
      <c r="H2197">
        <v>2.09216914190245</v>
      </c>
      <c r="I2197">
        <v>0.38137113981830728</v>
      </c>
      <c r="J2197">
        <v>9.7036617586800933E-3</v>
      </c>
      <c r="K2197">
        <v>0.13302979698339179</v>
      </c>
      <c r="L2197">
        <v>9.9085579167689966E-2</v>
      </c>
      <c r="M2197">
        <v>10</v>
      </c>
      <c r="N2197">
        <v>0</v>
      </c>
      <c r="O2197">
        <v>0</v>
      </c>
      <c r="P2197">
        <v>0.79659999999999997</v>
      </c>
      <c r="Q2197">
        <v>0.2044</v>
      </c>
      <c r="R2197">
        <v>0</v>
      </c>
      <c r="S2197">
        <v>0.51</v>
      </c>
      <c r="T2197">
        <v>0.51</v>
      </c>
      <c r="U2197">
        <v>5</v>
      </c>
      <c r="V2197">
        <v>0</v>
      </c>
      <c r="W2197">
        <v>0</v>
      </c>
      <c r="X2197">
        <v>1</v>
      </c>
      <c r="Y2197">
        <v>0.46400000000000002</v>
      </c>
      <c r="Z2197">
        <v>1</v>
      </c>
    </row>
    <row r="2198" spans="1:26" x14ac:dyDescent="0.2">
      <c r="A2198" t="s">
        <v>189</v>
      </c>
      <c r="B2198">
        <v>2017</v>
      </c>
      <c r="C2198" t="str">
        <f t="shared" si="34"/>
        <v>VPS2017</v>
      </c>
      <c r="D2198">
        <v>1.089910587525049E-13</v>
      </c>
      <c r="E2198">
        <v>0.11836060428537799</v>
      </c>
      <c r="F2198">
        <v>1.1976304994333311</v>
      </c>
      <c r="G2198">
        <v>27.138652567608101</v>
      </c>
      <c r="H2198">
        <v>2.081782863048919</v>
      </c>
      <c r="I2198">
        <v>0.43720432145052812</v>
      </c>
      <c r="J2198">
        <v>8.5970391987398198E-2</v>
      </c>
      <c r="K2198">
        <v>0.17876706513570731</v>
      </c>
      <c r="L2198">
        <v>0.14918401545345031</v>
      </c>
      <c r="M2198">
        <v>11</v>
      </c>
      <c r="N2198">
        <v>0</v>
      </c>
      <c r="O2198">
        <v>0</v>
      </c>
      <c r="P2198">
        <v>0.79659999999999997</v>
      </c>
      <c r="Q2198">
        <v>0.2044</v>
      </c>
      <c r="R2198">
        <v>0</v>
      </c>
      <c r="S2198">
        <v>0.51</v>
      </c>
      <c r="T2198">
        <v>0.51</v>
      </c>
      <c r="U2198">
        <v>5</v>
      </c>
      <c r="V2198">
        <v>0</v>
      </c>
      <c r="W2198">
        <v>0</v>
      </c>
      <c r="X2198">
        <v>1</v>
      </c>
      <c r="Y2198">
        <v>0.47729999999999989</v>
      </c>
      <c r="Z2198">
        <v>1</v>
      </c>
    </row>
    <row r="2199" spans="1:26" x14ac:dyDescent="0.2">
      <c r="A2199" t="s">
        <v>189</v>
      </c>
      <c r="B2199">
        <v>2018</v>
      </c>
      <c r="C2199" t="str">
        <f t="shared" si="34"/>
        <v>VPS2018</v>
      </c>
      <c r="D2199">
        <v>9.4079619864960449E-14</v>
      </c>
      <c r="E2199">
        <v>8.8291223103073177E-2</v>
      </c>
      <c r="F2199">
        <v>0.94947969265313059</v>
      </c>
      <c r="G2199">
        <v>27.06049889823063</v>
      </c>
      <c r="H2199">
        <v>1.786210628669779</v>
      </c>
      <c r="I2199">
        <v>0.39771316567495241</v>
      </c>
      <c r="J2199">
        <v>-7.7246381334002079E-2</v>
      </c>
      <c r="K2199">
        <v>-1.1112601555412389E-2</v>
      </c>
      <c r="L2199">
        <v>0.20803936139361481</v>
      </c>
      <c r="M2199">
        <v>12</v>
      </c>
      <c r="N2199">
        <v>0</v>
      </c>
      <c r="O2199">
        <v>0</v>
      </c>
      <c r="P2199">
        <v>0.79659999999999997</v>
      </c>
      <c r="Q2199">
        <v>0.20399999999999999</v>
      </c>
      <c r="R2199">
        <v>0</v>
      </c>
      <c r="S2199">
        <v>0.51</v>
      </c>
      <c r="T2199">
        <v>0.51</v>
      </c>
      <c r="U2199">
        <v>5</v>
      </c>
      <c r="V2199">
        <v>0</v>
      </c>
      <c r="W2199">
        <v>0</v>
      </c>
      <c r="X2199">
        <v>0</v>
      </c>
      <c r="Y2199">
        <v>0.48399999999999999</v>
      </c>
      <c r="Z2199">
        <v>1</v>
      </c>
    </row>
    <row r="2200" spans="1:26" x14ac:dyDescent="0.2">
      <c r="A2200" t="s">
        <v>189</v>
      </c>
      <c r="B2200">
        <v>2019</v>
      </c>
      <c r="C2200" t="str">
        <f t="shared" si="34"/>
        <v>VPS2019</v>
      </c>
      <c r="D2200">
        <v>5.7872417854816101E-15</v>
      </c>
      <c r="E2200">
        <v>5.0319585317182012E-3</v>
      </c>
      <c r="F2200">
        <v>0.86089422238207369</v>
      </c>
      <c r="G2200">
        <v>26.998559502132562</v>
      </c>
      <c r="H2200">
        <v>1.8780343246324951</v>
      </c>
      <c r="I2200">
        <v>0.38897358584870989</v>
      </c>
      <c r="J2200">
        <v>-5.795294178024557E-2</v>
      </c>
      <c r="K2200">
        <v>6.4697748905285499E-2</v>
      </c>
      <c r="L2200">
        <v>0.20380374300319451</v>
      </c>
      <c r="M2200">
        <v>13</v>
      </c>
      <c r="N2200">
        <v>0</v>
      </c>
      <c r="O2200">
        <v>1</v>
      </c>
      <c r="P2200">
        <v>0.79659999999999997</v>
      </c>
      <c r="Q2200">
        <v>0.20399999999999999</v>
      </c>
      <c r="R2200">
        <v>0</v>
      </c>
      <c r="S2200">
        <v>0.51</v>
      </c>
      <c r="T2200">
        <v>0.51</v>
      </c>
      <c r="U2200">
        <v>5</v>
      </c>
      <c r="V2200">
        <v>0</v>
      </c>
      <c r="W2200">
        <v>0</v>
      </c>
      <c r="X2200">
        <v>0</v>
      </c>
      <c r="Y2200">
        <v>0.503</v>
      </c>
      <c r="Z2200">
        <v>1</v>
      </c>
    </row>
    <row r="2201" spans="1:26" x14ac:dyDescent="0.2">
      <c r="A2201" t="s">
        <v>189</v>
      </c>
      <c r="B2201">
        <v>2020</v>
      </c>
      <c r="C2201" t="str">
        <f t="shared" si="34"/>
        <v>VPS2020</v>
      </c>
      <c r="D2201">
        <v>5.6059591134778723E-14</v>
      </c>
      <c r="E2201">
        <v>4.2597037035117268E-2</v>
      </c>
      <c r="F2201">
        <v>1.007931327102729</v>
      </c>
      <c r="G2201">
        <v>26.951985457613802</v>
      </c>
      <c r="H2201">
        <v>1.941582033202347</v>
      </c>
      <c r="I2201">
        <v>0.33262628902249203</v>
      </c>
      <c r="J2201">
        <v>-4.550611708686314E-2</v>
      </c>
      <c r="K2201">
        <v>8.7211031241856488E-2</v>
      </c>
      <c r="L2201">
        <v>6.0626542467349297E-2</v>
      </c>
      <c r="M2201">
        <v>14</v>
      </c>
      <c r="N2201">
        <v>0</v>
      </c>
      <c r="O2201">
        <v>1</v>
      </c>
      <c r="P2201">
        <v>0.79659999999999997</v>
      </c>
      <c r="Q2201">
        <v>0.20399999999999999</v>
      </c>
      <c r="R2201">
        <v>0</v>
      </c>
      <c r="S2201">
        <v>0.51</v>
      </c>
      <c r="T2201">
        <v>0.51</v>
      </c>
      <c r="U2201">
        <v>5</v>
      </c>
      <c r="V2201">
        <v>0</v>
      </c>
      <c r="W2201">
        <v>0</v>
      </c>
      <c r="X2201">
        <v>0</v>
      </c>
      <c r="Y2201">
        <v>0.51670000000000005</v>
      </c>
      <c r="Z2201">
        <v>1</v>
      </c>
    </row>
    <row r="2202" spans="1:26" x14ac:dyDescent="0.2">
      <c r="A2202" t="s">
        <v>189</v>
      </c>
      <c r="B2202">
        <v>2021</v>
      </c>
      <c r="C2202" t="str">
        <f t="shared" si="34"/>
        <v>VPS2021</v>
      </c>
      <c r="D2202">
        <v>6.5502980322229124E-14</v>
      </c>
      <c r="E2202">
        <v>4.401328172997758E-2</v>
      </c>
      <c r="F2202">
        <v>1.098137612324368</v>
      </c>
      <c r="G2202">
        <v>26.882020570779432</v>
      </c>
      <c r="H2202">
        <v>2.2697201499462971</v>
      </c>
      <c r="I2202">
        <v>0.29629521362646982</v>
      </c>
      <c r="J2202">
        <v>-6.7573440220629166E-2</v>
      </c>
      <c r="K2202">
        <v>0.12230926602601459</v>
      </c>
      <c r="L2202">
        <v>5.4691760866075467E-2</v>
      </c>
      <c r="M2202">
        <v>15</v>
      </c>
      <c r="N2202">
        <v>0</v>
      </c>
      <c r="O2202">
        <v>0</v>
      </c>
      <c r="P2202">
        <v>0.49659999999999999</v>
      </c>
      <c r="Q2202">
        <v>0.20399999999999999</v>
      </c>
      <c r="R2202">
        <v>0</v>
      </c>
      <c r="S2202">
        <v>0.21</v>
      </c>
      <c r="T2202">
        <v>0.21</v>
      </c>
      <c r="U2202">
        <v>5</v>
      </c>
      <c r="V2202">
        <v>0</v>
      </c>
      <c r="W2202">
        <v>0</v>
      </c>
      <c r="X2202">
        <v>0</v>
      </c>
      <c r="Y2202">
        <v>0.51800000000000002</v>
      </c>
      <c r="Z2202">
        <v>1</v>
      </c>
    </row>
    <row r="2203" spans="1:26" x14ac:dyDescent="0.2">
      <c r="A2203" t="s">
        <v>189</v>
      </c>
      <c r="B2203">
        <v>2022</v>
      </c>
      <c r="C2203" t="str">
        <f t="shared" si="34"/>
        <v>VPS2022</v>
      </c>
      <c r="D2203">
        <v>6.8303134837778234E-14</v>
      </c>
      <c r="E2203">
        <v>5.3818727314271751E-2</v>
      </c>
      <c r="F2203">
        <v>0.7482282109939995</v>
      </c>
      <c r="G2203">
        <v>26.964262011976</v>
      </c>
      <c r="H2203">
        <v>2.640675753439631</v>
      </c>
      <c r="I2203">
        <v>0.34846550599862541</v>
      </c>
      <c r="J2203">
        <v>8.5717915219344368E-2</v>
      </c>
      <c r="K2203">
        <v>-0.11816490988262909</v>
      </c>
      <c r="L2203">
        <v>4.2263680516415263E-2</v>
      </c>
      <c r="M2203">
        <v>16</v>
      </c>
      <c r="N2203">
        <v>0</v>
      </c>
      <c r="O2203">
        <v>0</v>
      </c>
      <c r="P2203">
        <v>0.79659999999999997</v>
      </c>
      <c r="Q2203">
        <v>0.20399999999999999</v>
      </c>
      <c r="R2203">
        <v>0</v>
      </c>
      <c r="S2203">
        <v>0.51</v>
      </c>
      <c r="T2203">
        <v>0.51</v>
      </c>
      <c r="U2203">
        <v>5</v>
      </c>
      <c r="V2203">
        <v>0</v>
      </c>
      <c r="W2203">
        <v>0</v>
      </c>
      <c r="X2203">
        <v>0</v>
      </c>
      <c r="Y2203">
        <v>0.50639999999999996</v>
      </c>
      <c r="Z2203">
        <v>1</v>
      </c>
    </row>
    <row r="2204" spans="1:26" x14ac:dyDescent="0.2">
      <c r="A2204" t="s">
        <v>189</v>
      </c>
      <c r="B2204">
        <v>2023</v>
      </c>
      <c r="C2204" t="str">
        <f t="shared" si="34"/>
        <v>VPS2023</v>
      </c>
      <c r="D2204">
        <v>390242068324.45612</v>
      </c>
      <c r="E2204">
        <v>2.8994309218901979E-2</v>
      </c>
      <c r="F2204">
        <v>0.55011611909037494</v>
      </c>
      <c r="G2204">
        <v>27.000205942186071</v>
      </c>
      <c r="H2204">
        <v>2.3425964142786699</v>
      </c>
      <c r="I2204">
        <v>7.4375302685937131E-2</v>
      </c>
      <c r="J2204">
        <v>3.659772304488107E-2</v>
      </c>
      <c r="K2204">
        <v>3.180468125899618E-2</v>
      </c>
      <c r="L2204">
        <v>3.5411587193314782E-2</v>
      </c>
      <c r="M2204">
        <v>17</v>
      </c>
      <c r="N2204">
        <v>0</v>
      </c>
      <c r="O2204">
        <v>0</v>
      </c>
      <c r="P2204">
        <v>0.79659999999999997</v>
      </c>
      <c r="Q2204">
        <v>0.20399999999999999</v>
      </c>
      <c r="R2204">
        <v>0</v>
      </c>
      <c r="S2204">
        <v>0.51</v>
      </c>
      <c r="T2204">
        <v>0.51</v>
      </c>
      <c r="U2204">
        <v>5</v>
      </c>
      <c r="V2204">
        <v>0</v>
      </c>
      <c r="W2204">
        <v>0</v>
      </c>
      <c r="X2204">
        <v>0</v>
      </c>
      <c r="Y2204">
        <v>0.50639999999999996</v>
      </c>
      <c r="Z2204">
        <v>1</v>
      </c>
    </row>
    <row r="2205" spans="1:26" x14ac:dyDescent="0.2">
      <c r="A2205" t="s">
        <v>190</v>
      </c>
      <c r="B2205">
        <v>2012</v>
      </c>
      <c r="C2205" t="str">
        <f t="shared" si="34"/>
        <v>VTB2012</v>
      </c>
      <c r="D2205">
        <v>1.6720971638789109E-13</v>
      </c>
      <c r="E2205">
        <v>5.8879474142482201E-2</v>
      </c>
      <c r="F2205">
        <v>0.52173631150038202</v>
      </c>
      <c r="G2205">
        <v>26.305196889902991</v>
      </c>
      <c r="H2205">
        <v>3.2960737582122142</v>
      </c>
      <c r="I2205">
        <v>0.21413133546288479</v>
      </c>
      <c r="J2205">
        <v>-4.6717598206873712E-2</v>
      </c>
      <c r="K2205">
        <v>0.1102177866604129</v>
      </c>
      <c r="L2205">
        <v>0.15447356698764211</v>
      </c>
      <c r="M2205">
        <v>21</v>
      </c>
      <c r="N2205">
        <v>0</v>
      </c>
      <c r="O2205">
        <v>0</v>
      </c>
      <c r="P2205">
        <v>0.5554</v>
      </c>
      <c r="Q2205">
        <v>6.5299999999999997E-2</v>
      </c>
      <c r="R2205">
        <v>0</v>
      </c>
      <c r="S2205">
        <v>0.5554</v>
      </c>
      <c r="T2205">
        <v>0.5554</v>
      </c>
      <c r="U2205">
        <v>5</v>
      </c>
      <c r="V2205">
        <v>0</v>
      </c>
      <c r="W2205">
        <v>0</v>
      </c>
      <c r="X2205">
        <v>0</v>
      </c>
      <c r="Y2205">
        <v>0.49669999999999997</v>
      </c>
      <c r="Z2205">
        <v>1</v>
      </c>
    </row>
    <row r="2206" spans="1:26" x14ac:dyDescent="0.2">
      <c r="A2206" t="s">
        <v>190</v>
      </c>
      <c r="B2206">
        <v>2013</v>
      </c>
      <c r="C2206" t="str">
        <f t="shared" si="34"/>
        <v>VTB2013</v>
      </c>
      <c r="D2206">
        <v>1.95732247618978E-13</v>
      </c>
      <c r="E2206">
        <v>6.9943120160626482E-2</v>
      </c>
      <c r="F2206">
        <v>0.69875887485596722</v>
      </c>
      <c r="G2206">
        <v>26.316143463931461</v>
      </c>
      <c r="H2206">
        <v>3.5728086263167191</v>
      </c>
      <c r="I2206">
        <v>0.2279599654587024</v>
      </c>
      <c r="J2206">
        <v>1.298468742573111E-2</v>
      </c>
      <c r="K2206">
        <v>-3.8970303995589532E-2</v>
      </c>
      <c r="L2206">
        <v>0.1608537543544965</v>
      </c>
      <c r="M2206">
        <v>22</v>
      </c>
      <c r="N2206">
        <v>0</v>
      </c>
      <c r="O2206">
        <v>0</v>
      </c>
      <c r="P2206">
        <v>0.5554</v>
      </c>
      <c r="Q2206">
        <v>6.5299999999999997E-2</v>
      </c>
      <c r="R2206">
        <v>0</v>
      </c>
      <c r="S2206">
        <v>0.5554</v>
      </c>
      <c r="T2206">
        <v>0.5554</v>
      </c>
      <c r="U2206">
        <v>5</v>
      </c>
      <c r="V2206">
        <v>0</v>
      </c>
      <c r="W2206">
        <v>0</v>
      </c>
      <c r="X2206">
        <v>0</v>
      </c>
      <c r="Y2206">
        <v>0.4844</v>
      </c>
      <c r="Z2206">
        <v>1</v>
      </c>
    </row>
    <row r="2207" spans="1:26" x14ac:dyDescent="0.2">
      <c r="A2207" t="s">
        <v>190</v>
      </c>
      <c r="B2207">
        <v>2014</v>
      </c>
      <c r="C2207" t="str">
        <f t="shared" si="34"/>
        <v>VTB2014</v>
      </c>
      <c r="D2207">
        <v>2.2467624116079469E-13</v>
      </c>
      <c r="E2207">
        <v>8.02414935932559E-2</v>
      </c>
      <c r="F2207">
        <v>0.72664609325059826</v>
      </c>
      <c r="G2207">
        <v>26.333415910806611</v>
      </c>
      <c r="H2207">
        <v>3.4678846585709469</v>
      </c>
      <c r="I2207">
        <v>0.22435904593150219</v>
      </c>
      <c r="J2207">
        <v>1.4140546877908109E-2</v>
      </c>
      <c r="K2207">
        <v>3.1522358432341219E-2</v>
      </c>
      <c r="L2207">
        <v>0.14274015121882949</v>
      </c>
      <c r="M2207">
        <v>23</v>
      </c>
      <c r="N2207">
        <v>0</v>
      </c>
      <c r="O2207">
        <v>0</v>
      </c>
      <c r="P2207">
        <v>0.5554</v>
      </c>
      <c r="Q2207">
        <v>5.2300000000000013E-2</v>
      </c>
      <c r="R2207">
        <v>0</v>
      </c>
      <c r="S2207">
        <v>0.5554</v>
      </c>
      <c r="T2207">
        <v>0.5554</v>
      </c>
      <c r="U2207">
        <v>5</v>
      </c>
      <c r="V2207">
        <v>0</v>
      </c>
      <c r="W2207">
        <v>0</v>
      </c>
      <c r="X2207">
        <v>0</v>
      </c>
      <c r="Y2207">
        <v>0.50560000000000005</v>
      </c>
      <c r="Z2207">
        <v>1</v>
      </c>
    </row>
    <row r="2208" spans="1:26" x14ac:dyDescent="0.2">
      <c r="A2208" t="s">
        <v>190</v>
      </c>
      <c r="B2208">
        <v>2015</v>
      </c>
      <c r="C2208" t="str">
        <f t="shared" si="34"/>
        <v>VTB2015</v>
      </c>
      <c r="D2208">
        <v>1.082611255944365E-13</v>
      </c>
      <c r="E2208">
        <v>6.3208227408194401E-2</v>
      </c>
      <c r="F2208">
        <v>0.79738340753402415</v>
      </c>
      <c r="G2208">
        <v>26.58565154090012</v>
      </c>
      <c r="H2208">
        <v>3.4613329882528272</v>
      </c>
      <c r="I2208">
        <v>0.39785554847773208</v>
      </c>
      <c r="J2208">
        <v>0.28854289339877082</v>
      </c>
      <c r="K2208">
        <v>4.2579259647497807E-2</v>
      </c>
      <c r="L2208">
        <v>0.10401903455469561</v>
      </c>
      <c r="M2208">
        <v>24</v>
      </c>
      <c r="N2208">
        <v>0</v>
      </c>
      <c r="O2208">
        <v>0</v>
      </c>
      <c r="P2208">
        <v>0.5554</v>
      </c>
      <c r="Q2208">
        <v>4.6399999999999997E-2</v>
      </c>
      <c r="R2208">
        <v>0</v>
      </c>
      <c r="S2208">
        <v>0.5554</v>
      </c>
      <c r="T2208">
        <v>0.5554</v>
      </c>
      <c r="U2208">
        <v>4</v>
      </c>
      <c r="V2208">
        <v>0</v>
      </c>
      <c r="W2208">
        <v>0</v>
      </c>
      <c r="X2208">
        <v>0</v>
      </c>
      <c r="Y2208">
        <v>0.51560000000000006</v>
      </c>
      <c r="Z2208">
        <v>1</v>
      </c>
    </row>
    <row r="2209" spans="1:26" x14ac:dyDescent="0.2">
      <c r="A2209" t="s">
        <v>190</v>
      </c>
      <c r="B2209">
        <v>2016</v>
      </c>
      <c r="C2209" t="str">
        <f t="shared" si="34"/>
        <v>VTB2016</v>
      </c>
      <c r="D2209">
        <v>2.636303459852436E-14</v>
      </c>
      <c r="E2209">
        <v>7.6837725313720864E-2</v>
      </c>
      <c r="F2209">
        <v>0.90360710352828999</v>
      </c>
      <c r="G2209">
        <v>27.396205108081649</v>
      </c>
      <c r="H2209">
        <v>2.0540038703413881</v>
      </c>
      <c r="I2209">
        <v>0.72870511633080715</v>
      </c>
      <c r="J2209">
        <v>1.2491526992492259</v>
      </c>
      <c r="K2209">
        <v>4.3130636517616207E-2</v>
      </c>
      <c r="L2209">
        <v>4.1873278931166713E-2</v>
      </c>
      <c r="M2209">
        <v>25</v>
      </c>
      <c r="N2209">
        <v>0</v>
      </c>
      <c r="O2209">
        <v>0</v>
      </c>
      <c r="P2209">
        <v>0.5554</v>
      </c>
      <c r="Q2209">
        <v>5.8500000000000003E-2</v>
      </c>
      <c r="R2209">
        <v>0</v>
      </c>
      <c r="S2209">
        <v>0.5554</v>
      </c>
      <c r="T2209">
        <v>0.5554</v>
      </c>
      <c r="U2209">
        <v>5</v>
      </c>
      <c r="V2209">
        <v>0</v>
      </c>
      <c r="W2209">
        <v>0</v>
      </c>
      <c r="X2209">
        <v>0</v>
      </c>
      <c r="Y2209">
        <v>0.51700000000000002</v>
      </c>
      <c r="Z2209">
        <v>1</v>
      </c>
    </row>
    <row r="2210" spans="1:26" x14ac:dyDescent="0.2">
      <c r="A2210" t="s">
        <v>190</v>
      </c>
      <c r="B2210">
        <v>2017</v>
      </c>
      <c r="C2210" t="str">
        <f t="shared" si="34"/>
        <v>VTB2017</v>
      </c>
      <c r="D2210">
        <v>3.946513648648378E-14</v>
      </c>
      <c r="E2210">
        <v>9.7831777677752335E-2</v>
      </c>
      <c r="F2210">
        <v>0.99121155822133611</v>
      </c>
      <c r="G2210">
        <v>27.284641892330612</v>
      </c>
      <c r="H2210">
        <v>1.253360252190987</v>
      </c>
      <c r="I2210">
        <v>0.71469914143310875</v>
      </c>
      <c r="J2210">
        <v>-0.1055651527545781</v>
      </c>
      <c r="K2210">
        <v>0.107995910639478</v>
      </c>
      <c r="L2210">
        <v>4.2601341724152052E-2</v>
      </c>
      <c r="M2210">
        <v>26</v>
      </c>
      <c r="N2210">
        <v>0</v>
      </c>
      <c r="O2210">
        <v>0</v>
      </c>
      <c r="P2210">
        <v>0.5554</v>
      </c>
      <c r="Q2210">
        <v>5.2200000000000003E-2</v>
      </c>
      <c r="R2210">
        <v>0</v>
      </c>
      <c r="S2210">
        <v>0.5554</v>
      </c>
      <c r="T2210">
        <v>0.5554</v>
      </c>
      <c r="U2210">
        <v>5</v>
      </c>
      <c r="V2210">
        <v>0</v>
      </c>
      <c r="W2210">
        <v>0</v>
      </c>
      <c r="X2210">
        <v>0</v>
      </c>
      <c r="Y2210">
        <v>0.52329999999999999</v>
      </c>
      <c r="Z2210">
        <v>1</v>
      </c>
    </row>
    <row r="2211" spans="1:26" x14ac:dyDescent="0.2">
      <c r="A2211" t="s">
        <v>190</v>
      </c>
      <c r="B2211">
        <v>2018</v>
      </c>
      <c r="C2211" t="str">
        <f t="shared" si="34"/>
        <v>VTB2018</v>
      </c>
      <c r="D2211">
        <v>8.5124524956506786E-14</v>
      </c>
      <c r="E2211">
        <v>8.8707083688251143E-2</v>
      </c>
      <c r="F2211">
        <v>0.97044411309851852</v>
      </c>
      <c r="G2211">
        <v>26.869800700110879</v>
      </c>
      <c r="H2211">
        <v>1.2613112482910249</v>
      </c>
      <c r="I2211">
        <v>0.5517682939336408</v>
      </c>
      <c r="J2211">
        <v>-0.33955484379351097</v>
      </c>
      <c r="K2211">
        <v>-0.13336702858299379</v>
      </c>
      <c r="L2211">
        <v>7.1788069829160014E-2</v>
      </c>
      <c r="M2211">
        <v>27</v>
      </c>
      <c r="N2211">
        <v>0</v>
      </c>
      <c r="O2211">
        <v>0</v>
      </c>
      <c r="P2211">
        <v>0.6159</v>
      </c>
      <c r="Q2211">
        <v>5.9800000000000013E-2</v>
      </c>
      <c r="R2211">
        <v>0</v>
      </c>
      <c r="S2211">
        <v>0.6159</v>
      </c>
      <c r="T2211">
        <v>0.6159</v>
      </c>
      <c r="U2211">
        <v>5</v>
      </c>
      <c r="V2211">
        <v>0</v>
      </c>
      <c r="W2211">
        <v>0</v>
      </c>
      <c r="X2211">
        <v>0</v>
      </c>
      <c r="Y2211">
        <v>0.5333</v>
      </c>
      <c r="Z2211">
        <v>1</v>
      </c>
    </row>
    <row r="2212" spans="1:26" x14ac:dyDescent="0.2">
      <c r="A2212" t="s">
        <v>190</v>
      </c>
      <c r="B2212">
        <v>2019</v>
      </c>
      <c r="C2212" t="str">
        <f t="shared" si="34"/>
        <v>VTB2019</v>
      </c>
      <c r="D2212">
        <v>1.445096032309075E-13</v>
      </c>
      <c r="E2212">
        <v>7.7683423822935221E-2</v>
      </c>
      <c r="F2212">
        <v>0.93533361111355917</v>
      </c>
      <c r="G2212">
        <v>26.528666507094329</v>
      </c>
      <c r="H2212">
        <v>1.570874542031313</v>
      </c>
      <c r="I2212">
        <v>0.38223709508831177</v>
      </c>
      <c r="J2212">
        <v>-0.28903650453142199</v>
      </c>
      <c r="K2212">
        <v>2.8381068845086219E-2</v>
      </c>
      <c r="L2212">
        <v>0.15580390102173489</v>
      </c>
      <c r="M2212">
        <v>28</v>
      </c>
      <c r="N2212">
        <v>0</v>
      </c>
      <c r="O2212">
        <v>1</v>
      </c>
      <c r="P2212">
        <v>0.6159</v>
      </c>
      <c r="Q2212">
        <v>3.6299999999999999E-2</v>
      </c>
      <c r="R2212">
        <v>0</v>
      </c>
      <c r="S2212">
        <v>0.6159</v>
      </c>
      <c r="T2212">
        <v>0.6159</v>
      </c>
      <c r="U2212">
        <v>5</v>
      </c>
      <c r="V2212">
        <v>0</v>
      </c>
      <c r="W2212">
        <v>0</v>
      </c>
      <c r="X2212">
        <v>0</v>
      </c>
      <c r="Y2212">
        <v>0.46110000000000001</v>
      </c>
      <c r="Z2212">
        <v>1</v>
      </c>
    </row>
    <row r="2213" spans="1:26" x14ac:dyDescent="0.2">
      <c r="A2213" t="s">
        <v>190</v>
      </c>
      <c r="B2213">
        <v>2020</v>
      </c>
      <c r="C2213" t="str">
        <f t="shared" si="34"/>
        <v>VTB2020</v>
      </c>
      <c r="D2213">
        <v>2.8298490813303272E-13</v>
      </c>
      <c r="E2213">
        <v>0.12562955758386579</v>
      </c>
      <c r="F2213">
        <v>0.71590979290864198</v>
      </c>
      <c r="G2213">
        <v>26.446029168462118</v>
      </c>
      <c r="H2213">
        <v>2.2740827225807569</v>
      </c>
      <c r="I2213">
        <v>0.31129064766277431</v>
      </c>
      <c r="J2213">
        <v>-8.0136954099304547E-2</v>
      </c>
      <c r="K2213">
        <v>0.15119065462015141</v>
      </c>
      <c r="L2213">
        <v>0.2272797440774271</v>
      </c>
      <c r="M2213">
        <v>29</v>
      </c>
      <c r="N2213">
        <v>0</v>
      </c>
      <c r="O2213">
        <v>1</v>
      </c>
      <c r="P2213">
        <v>0.6159</v>
      </c>
      <c r="Q2213">
        <v>3.6299999999999999E-2</v>
      </c>
      <c r="R2213">
        <v>0</v>
      </c>
      <c r="S2213">
        <v>0.6159</v>
      </c>
      <c r="T2213">
        <v>0.6159</v>
      </c>
      <c r="U2213">
        <v>5</v>
      </c>
      <c r="V2213">
        <v>0</v>
      </c>
      <c r="W2213">
        <v>0</v>
      </c>
      <c r="X2213">
        <v>0</v>
      </c>
      <c r="Y2213">
        <v>0.47110000000000002</v>
      </c>
      <c r="Z2213">
        <v>1</v>
      </c>
    </row>
    <row r="2214" spans="1:26" x14ac:dyDescent="0.2">
      <c r="A2214" t="s">
        <v>190</v>
      </c>
      <c r="B2214">
        <v>2021</v>
      </c>
      <c r="C2214" t="str">
        <f t="shared" si="34"/>
        <v>VTB2021</v>
      </c>
      <c r="D2214">
        <v>1.0560696766911551E-13</v>
      </c>
      <c r="E2214">
        <v>3.8612176696137368E-2</v>
      </c>
      <c r="F2214">
        <v>0.77233663205659742</v>
      </c>
      <c r="G2214">
        <v>26.316378623229479</v>
      </c>
      <c r="H2214">
        <v>2.3152354585893642</v>
      </c>
      <c r="I2214">
        <v>0.26544163702438561</v>
      </c>
      <c r="J2214">
        <v>-0.1208127701118089</v>
      </c>
      <c r="K2214">
        <v>0.29502628854481872</v>
      </c>
      <c r="L2214">
        <v>0.26033332783316121</v>
      </c>
      <c r="M2214">
        <v>30</v>
      </c>
      <c r="N2214">
        <v>0</v>
      </c>
      <c r="O2214">
        <v>0</v>
      </c>
      <c r="P2214">
        <v>0.5554</v>
      </c>
      <c r="Q2214">
        <v>3.6299999999999999E-2</v>
      </c>
      <c r="R2214">
        <v>0</v>
      </c>
      <c r="S2214">
        <v>0.5554</v>
      </c>
      <c r="T2214">
        <v>0.5554</v>
      </c>
      <c r="U2214">
        <v>5</v>
      </c>
      <c r="V2214">
        <v>0</v>
      </c>
      <c r="W2214">
        <v>0</v>
      </c>
      <c r="X2214">
        <v>0</v>
      </c>
      <c r="Y2214">
        <v>0.49559999999999998</v>
      </c>
      <c r="Z2214">
        <v>1</v>
      </c>
    </row>
    <row r="2215" spans="1:26" x14ac:dyDescent="0.2">
      <c r="A2215" t="s">
        <v>190</v>
      </c>
      <c r="B2215">
        <v>2022</v>
      </c>
      <c r="C2215" t="str">
        <f t="shared" si="34"/>
        <v>VTB2022</v>
      </c>
      <c r="D2215">
        <v>4.0769171330624768E-13</v>
      </c>
      <c r="E2215">
        <v>0.1195614800817785</v>
      </c>
      <c r="F2215">
        <v>0.89201151349141894</v>
      </c>
      <c r="G2215">
        <v>26.180378997592889</v>
      </c>
      <c r="H2215">
        <v>2.6058766079691038</v>
      </c>
      <c r="I2215">
        <v>0.20065413211720901</v>
      </c>
      <c r="J2215">
        <v>-0.1271570407508695</v>
      </c>
      <c r="K2215">
        <v>-3.236175628091492E-3</v>
      </c>
      <c r="L2215">
        <v>0.27579020844139962</v>
      </c>
      <c r="M2215">
        <v>31</v>
      </c>
      <c r="N2215">
        <v>0</v>
      </c>
      <c r="O2215">
        <v>0</v>
      </c>
      <c r="P2215">
        <v>0.5554</v>
      </c>
      <c r="Q2215">
        <v>3.8600000000000002E-2</v>
      </c>
      <c r="R2215">
        <v>0</v>
      </c>
      <c r="S2215">
        <v>0.5554</v>
      </c>
      <c r="T2215">
        <v>0.5554</v>
      </c>
      <c r="U2215">
        <v>5</v>
      </c>
      <c r="V2215">
        <v>0</v>
      </c>
      <c r="W2215">
        <v>0</v>
      </c>
      <c r="X2215">
        <v>0</v>
      </c>
      <c r="Y2215">
        <v>0.49249999999999999</v>
      </c>
      <c r="Z2215">
        <v>1</v>
      </c>
    </row>
    <row r="2216" spans="1:26" x14ac:dyDescent="0.2">
      <c r="A2216" t="s">
        <v>190</v>
      </c>
      <c r="B2216">
        <v>2023</v>
      </c>
      <c r="C2216" t="str">
        <f t="shared" si="34"/>
        <v>VTB2023</v>
      </c>
      <c r="D2216">
        <v>-330110634679.45782</v>
      </c>
      <c r="E2216">
        <v>4.678679233573909E-2</v>
      </c>
      <c r="F2216">
        <v>0.67746112263268077</v>
      </c>
      <c r="G2216">
        <v>26.1642199030189</v>
      </c>
      <c r="H2216">
        <v>4.629563505429271</v>
      </c>
      <c r="I2216">
        <v>7.6302073607589496E-3</v>
      </c>
      <c r="J2216">
        <v>-1.6029236807445502E-2</v>
      </c>
      <c r="K2216">
        <v>0.12927493070378099</v>
      </c>
      <c r="L2216">
        <v>0.25806711253350367</v>
      </c>
      <c r="M2216">
        <v>32</v>
      </c>
      <c r="N2216">
        <v>0</v>
      </c>
      <c r="O2216">
        <v>0</v>
      </c>
      <c r="P2216">
        <v>0.5554</v>
      </c>
      <c r="Q2216">
        <v>3.8600000000000002E-2</v>
      </c>
      <c r="R2216">
        <v>0</v>
      </c>
      <c r="S2216">
        <v>0.5554</v>
      </c>
      <c r="T2216">
        <v>0.5554</v>
      </c>
      <c r="U2216">
        <v>5</v>
      </c>
      <c r="V2216">
        <v>0</v>
      </c>
      <c r="W2216">
        <v>0</v>
      </c>
      <c r="X2216">
        <v>0</v>
      </c>
      <c r="Y2216">
        <v>0.49249999999999999</v>
      </c>
      <c r="Z2216">
        <v>1</v>
      </c>
    </row>
    <row r="2217" spans="1:26" x14ac:dyDescent="0.2">
      <c r="A2217" t="s">
        <v>191</v>
      </c>
      <c r="B2217">
        <v>2013</v>
      </c>
      <c r="C2217" t="str">
        <f t="shared" si="34"/>
        <v>VTH2013</v>
      </c>
      <c r="D2217">
        <v>1.687025138479318E-12</v>
      </c>
      <c r="E2217">
        <v>0.16595953513939901</v>
      </c>
      <c r="F2217">
        <v>0.93025539505524824</v>
      </c>
      <c r="G2217">
        <v>25.231742238805019</v>
      </c>
      <c r="H2217" t="e">
        <v>#N/A</v>
      </c>
      <c r="I2217">
        <v>7.7161366293838643E-2</v>
      </c>
      <c r="J2217">
        <v>0</v>
      </c>
      <c r="K2217">
        <v>5.945171396079145E-2</v>
      </c>
      <c r="L2217">
        <v>0.26963335126723481</v>
      </c>
      <c r="M2217">
        <v>8</v>
      </c>
      <c r="N2217">
        <v>0</v>
      </c>
      <c r="O2217">
        <v>0</v>
      </c>
      <c r="P2217">
        <v>0.34320000000000001</v>
      </c>
      <c r="Q2217">
        <v>0</v>
      </c>
      <c r="R2217">
        <v>0</v>
      </c>
      <c r="S2217">
        <v>0</v>
      </c>
      <c r="T2217">
        <v>0.34320000000000001</v>
      </c>
      <c r="U2217">
        <v>5</v>
      </c>
      <c r="V2217">
        <v>0</v>
      </c>
      <c r="W2217">
        <v>0</v>
      </c>
      <c r="X2217">
        <v>0</v>
      </c>
      <c r="Y2217">
        <v>0.47199999999999998</v>
      </c>
      <c r="Z2217">
        <v>1</v>
      </c>
    </row>
    <row r="2218" spans="1:26" x14ac:dyDescent="0.2">
      <c r="A2218" t="s">
        <v>191</v>
      </c>
      <c r="B2218">
        <v>2014</v>
      </c>
      <c r="C2218" t="str">
        <f t="shared" si="34"/>
        <v>VTH2014</v>
      </c>
      <c r="D2218">
        <v>1.6049124731495409E-12</v>
      </c>
      <c r="E2218">
        <v>0.16846487681502589</v>
      </c>
      <c r="F2218">
        <v>0.92601603944312016</v>
      </c>
      <c r="G2218">
        <v>25.28046686131173</v>
      </c>
      <c r="H2218">
        <v>11.524353930869321</v>
      </c>
      <c r="I2218">
        <v>9.1951090066310387E-2</v>
      </c>
      <c r="J2218">
        <v>4.9931183509345223E-2</v>
      </c>
      <c r="K2218">
        <v>0.13772372373137001</v>
      </c>
      <c r="L2218">
        <v>0.2382781009122539</v>
      </c>
      <c r="M2218">
        <v>9</v>
      </c>
      <c r="N2218">
        <v>0</v>
      </c>
      <c r="O2218">
        <v>0</v>
      </c>
      <c r="P2218">
        <v>0.44319999999999998</v>
      </c>
      <c r="Q2218">
        <v>6.0599999999999987E-2</v>
      </c>
      <c r="R2218">
        <v>0</v>
      </c>
      <c r="S2218">
        <v>0</v>
      </c>
      <c r="T2218">
        <v>0.44319999999999998</v>
      </c>
      <c r="U2218">
        <v>5</v>
      </c>
      <c r="V2218">
        <v>0</v>
      </c>
      <c r="W2218">
        <v>0</v>
      </c>
      <c r="X2218">
        <v>0</v>
      </c>
      <c r="Y2218">
        <v>0.48199999999999998</v>
      </c>
      <c r="Z2218">
        <v>1</v>
      </c>
    </row>
    <row r="2219" spans="1:26" x14ac:dyDescent="0.2">
      <c r="A2219" t="s">
        <v>191</v>
      </c>
      <c r="B2219">
        <v>2015</v>
      </c>
      <c r="C2219" t="str">
        <f t="shared" si="34"/>
        <v>VTH2015</v>
      </c>
      <c r="D2219">
        <v>1.154052471380678E-12</v>
      </c>
      <c r="E2219">
        <v>0.16594635246236011</v>
      </c>
      <c r="F2219">
        <v>0.93965191419722049</v>
      </c>
      <c r="G2219">
        <v>25.456584171194589</v>
      </c>
      <c r="H2219">
        <v>8.2626974808919051</v>
      </c>
      <c r="I2219">
        <v>0.20948179095373939</v>
      </c>
      <c r="J2219">
        <v>0.19257795162489999</v>
      </c>
      <c r="K2219">
        <v>0.25448887210981319</v>
      </c>
      <c r="L2219">
        <v>0.23785168124861461</v>
      </c>
      <c r="M2219">
        <v>10</v>
      </c>
      <c r="N2219">
        <v>0</v>
      </c>
      <c r="O2219">
        <v>0</v>
      </c>
      <c r="P2219">
        <v>0.34320000000000001</v>
      </c>
      <c r="Q2219">
        <v>6.0599999999999987E-2</v>
      </c>
      <c r="R2219">
        <v>0</v>
      </c>
      <c r="S2219">
        <v>0</v>
      </c>
      <c r="T2219">
        <v>0.34320000000000001</v>
      </c>
      <c r="U2219">
        <v>5</v>
      </c>
      <c r="V2219">
        <v>0</v>
      </c>
      <c r="W2219">
        <v>0</v>
      </c>
      <c r="X2219">
        <v>0</v>
      </c>
      <c r="Y2219">
        <v>0.49199999999999999</v>
      </c>
      <c r="Z2219">
        <v>1</v>
      </c>
    </row>
    <row r="2220" spans="1:26" x14ac:dyDescent="0.2">
      <c r="A2220" t="s">
        <v>191</v>
      </c>
      <c r="B2220">
        <v>2016</v>
      </c>
      <c r="C2220" t="str">
        <f t="shared" si="34"/>
        <v>VTH2016</v>
      </c>
      <c r="D2220">
        <v>5.8268516980747231E-13</v>
      </c>
      <c r="E2220">
        <v>7.3586389819953676E-2</v>
      </c>
      <c r="F2220">
        <v>0.70912781414398363</v>
      </c>
      <c r="G2220">
        <v>25.35765944282517</v>
      </c>
      <c r="H2220">
        <v>3.5950275013511259</v>
      </c>
      <c r="I2220">
        <v>0.1846801084713364</v>
      </c>
      <c r="J2220">
        <v>-9.4189112679980772E-2</v>
      </c>
      <c r="K2220">
        <v>-1.7226268796458159E-2</v>
      </c>
      <c r="L2220">
        <v>0.22706103662183361</v>
      </c>
      <c r="M2220">
        <v>11</v>
      </c>
      <c r="N2220">
        <v>0</v>
      </c>
      <c r="O2220">
        <v>0</v>
      </c>
      <c r="P2220">
        <v>0.2472</v>
      </c>
      <c r="Q2220">
        <v>6.3600000000000004E-2</v>
      </c>
      <c r="R2220">
        <v>0</v>
      </c>
      <c r="S2220">
        <v>0</v>
      </c>
      <c r="T2220">
        <v>0.2472</v>
      </c>
      <c r="U2220">
        <v>5</v>
      </c>
      <c r="V2220">
        <v>0</v>
      </c>
      <c r="W2220">
        <v>0</v>
      </c>
      <c r="X2220">
        <v>0</v>
      </c>
      <c r="Y2220">
        <v>0.495</v>
      </c>
      <c r="Z2220">
        <v>1</v>
      </c>
    </row>
    <row r="2221" spans="1:26" x14ac:dyDescent="0.2">
      <c r="A2221" t="s">
        <v>191</v>
      </c>
      <c r="B2221">
        <v>2017</v>
      </c>
      <c r="C2221" t="str">
        <f t="shared" si="34"/>
        <v>VTH2017</v>
      </c>
      <c r="D2221">
        <v>3.915981717035933E-13</v>
      </c>
      <c r="E2221">
        <v>5.5954226836522111E-2</v>
      </c>
      <c r="F2221">
        <v>0.88354536686115714</v>
      </c>
      <c r="G2221">
        <v>25.42773848822419</v>
      </c>
      <c r="H2221">
        <v>4.118270148074008</v>
      </c>
      <c r="I2221">
        <v>0.22708049141426351</v>
      </c>
      <c r="J2221">
        <v>7.2592961442059512E-2</v>
      </c>
      <c r="K2221">
        <v>1.911174884388961E-3</v>
      </c>
      <c r="L2221">
        <v>0.27574432028052093</v>
      </c>
      <c r="M2221">
        <v>12</v>
      </c>
      <c r="N2221">
        <v>0</v>
      </c>
      <c r="O2221">
        <v>0</v>
      </c>
      <c r="P2221">
        <v>0.2472</v>
      </c>
      <c r="Q2221">
        <v>6.3600000000000004E-2</v>
      </c>
      <c r="R2221">
        <v>0</v>
      </c>
      <c r="S2221">
        <v>0</v>
      </c>
      <c r="T2221">
        <v>0.2472</v>
      </c>
      <c r="U2221">
        <v>5</v>
      </c>
      <c r="V2221">
        <v>0</v>
      </c>
      <c r="W2221">
        <v>0</v>
      </c>
      <c r="X2221">
        <v>0</v>
      </c>
      <c r="Y2221">
        <v>0.505</v>
      </c>
      <c r="Z2221">
        <v>1</v>
      </c>
    </row>
    <row r="2222" spans="1:26" x14ac:dyDescent="0.2">
      <c r="A2222" t="s">
        <v>191</v>
      </c>
      <c r="B2222">
        <v>2018</v>
      </c>
      <c r="C2222" t="str">
        <f t="shared" si="34"/>
        <v>VTH2018</v>
      </c>
      <c r="D2222">
        <v>-6.6268999028027578E-13</v>
      </c>
      <c r="E2222">
        <v>-9.8092857228578065E-2</v>
      </c>
      <c r="F2222">
        <v>0.76460309768565105</v>
      </c>
      <c r="G2222">
        <v>25.379110640833719</v>
      </c>
      <c r="H2222">
        <v>3.1287192624307312</v>
      </c>
      <c r="I2222">
        <v>0.28930913542929909</v>
      </c>
      <c r="J2222">
        <v>-4.7464447663775999E-2</v>
      </c>
      <c r="K2222">
        <v>3.9637428932579891E-2</v>
      </c>
      <c r="L2222">
        <v>0.2637125975027641</v>
      </c>
      <c r="M2222">
        <v>13</v>
      </c>
      <c r="N2222">
        <v>0</v>
      </c>
      <c r="O2222">
        <v>0</v>
      </c>
      <c r="P2222">
        <v>0.39489999999999997</v>
      </c>
      <c r="Q2222">
        <v>0.2056</v>
      </c>
      <c r="R2222">
        <v>0</v>
      </c>
      <c r="S2222">
        <v>0</v>
      </c>
      <c r="T2222">
        <v>0.2472</v>
      </c>
      <c r="U2222">
        <v>6</v>
      </c>
      <c r="V2222">
        <v>0</v>
      </c>
      <c r="W2222">
        <v>0</v>
      </c>
      <c r="X2222">
        <v>0</v>
      </c>
      <c r="Y2222">
        <v>0.53</v>
      </c>
      <c r="Z2222">
        <v>1</v>
      </c>
    </row>
    <row r="2223" spans="1:26" x14ac:dyDescent="0.2">
      <c r="A2223" t="s">
        <v>191</v>
      </c>
      <c r="B2223">
        <v>2019</v>
      </c>
      <c r="C2223" t="str">
        <f t="shared" si="34"/>
        <v>VTH2019</v>
      </c>
      <c r="D2223">
        <v>2.751266750496005E-13</v>
      </c>
      <c r="E2223">
        <v>5.247157381852325E-2</v>
      </c>
      <c r="F2223">
        <v>0.78476272683738435</v>
      </c>
      <c r="G2223">
        <v>25.532776154182201</v>
      </c>
      <c r="H2223">
        <v>2.5049120651614678</v>
      </c>
      <c r="I2223">
        <v>0.35679057342527309</v>
      </c>
      <c r="J2223">
        <v>0.1661007763946882</v>
      </c>
      <c r="K2223">
        <v>-8.390211922695949E-3</v>
      </c>
      <c r="L2223">
        <v>0.23618071883447711</v>
      </c>
      <c r="M2223">
        <v>14</v>
      </c>
      <c r="N2223">
        <v>0</v>
      </c>
      <c r="O2223">
        <v>1</v>
      </c>
      <c r="P2223">
        <v>0.4365</v>
      </c>
      <c r="Q2223">
        <v>0.2712</v>
      </c>
      <c r="R2223">
        <v>0</v>
      </c>
      <c r="S2223">
        <v>0</v>
      </c>
      <c r="T2223">
        <v>0.1169</v>
      </c>
      <c r="U2223">
        <v>5</v>
      </c>
      <c r="V2223">
        <v>0</v>
      </c>
      <c r="W2223">
        <v>0.4</v>
      </c>
      <c r="X2223">
        <v>0</v>
      </c>
      <c r="Y2223">
        <v>0.41</v>
      </c>
      <c r="Z2223">
        <v>1</v>
      </c>
    </row>
    <row r="2224" spans="1:26" x14ac:dyDescent="0.2">
      <c r="A2224" t="s">
        <v>191</v>
      </c>
      <c r="B2224">
        <v>2020</v>
      </c>
      <c r="C2224" t="str">
        <f t="shared" si="34"/>
        <v>VTH2020</v>
      </c>
      <c r="D2224">
        <v>3.6844488995246667E-15</v>
      </c>
      <c r="E2224">
        <v>1.1289661970952469E-3</v>
      </c>
      <c r="F2224">
        <v>0.79436224766228447</v>
      </c>
      <c r="G2224">
        <v>25.770411675324262</v>
      </c>
      <c r="H2224">
        <v>2.1520402067429392</v>
      </c>
      <c r="I2224">
        <v>0.49226256368236831</v>
      </c>
      <c r="J2224">
        <v>0.2682468594077565</v>
      </c>
      <c r="K2224">
        <v>-0.1220705746892199</v>
      </c>
      <c r="L2224">
        <v>0.21315861593082491</v>
      </c>
      <c r="M2224">
        <v>15</v>
      </c>
      <c r="N2224">
        <v>0</v>
      </c>
      <c r="O2224">
        <v>1</v>
      </c>
      <c r="P2224">
        <v>0.70689999999999997</v>
      </c>
      <c r="Q2224">
        <v>0.29260000000000003</v>
      </c>
      <c r="R2224">
        <v>0</v>
      </c>
      <c r="S2224">
        <v>0</v>
      </c>
      <c r="T2224">
        <v>0.1169</v>
      </c>
      <c r="U2224">
        <v>4</v>
      </c>
      <c r="V2224">
        <v>0</v>
      </c>
      <c r="W2224">
        <v>0</v>
      </c>
      <c r="X2224">
        <v>1</v>
      </c>
      <c r="Y2224">
        <v>0.45569999999999999</v>
      </c>
      <c r="Z2224">
        <v>1</v>
      </c>
    </row>
    <row r="2225" spans="1:26" x14ac:dyDescent="0.2">
      <c r="A2225" t="s">
        <v>191</v>
      </c>
      <c r="B2225">
        <v>2021</v>
      </c>
      <c r="C2225" t="str">
        <f t="shared" si="34"/>
        <v>VTH2021</v>
      </c>
      <c r="D2225">
        <v>1.1639590062981859E-13</v>
      </c>
      <c r="E2225">
        <v>5.1030696703867277E-2</v>
      </c>
      <c r="F2225">
        <v>0.89143127856890259</v>
      </c>
      <c r="G2225">
        <v>25.97572541347262</v>
      </c>
      <c r="H2225">
        <v>1.6272376854819259</v>
      </c>
      <c r="I2225">
        <v>0.56426705447041647</v>
      </c>
      <c r="J2225">
        <v>0.48964819542114818</v>
      </c>
      <c r="K2225">
        <v>-4.1726916916881032E-2</v>
      </c>
      <c r="L2225">
        <v>0.14931201148706019</v>
      </c>
      <c r="M2225">
        <v>16</v>
      </c>
      <c r="N2225">
        <v>0</v>
      </c>
      <c r="O2225">
        <v>0</v>
      </c>
      <c r="P2225">
        <v>0.72849999999999993</v>
      </c>
      <c r="Q2225">
        <v>0.40310000000000001</v>
      </c>
      <c r="R2225">
        <v>0</v>
      </c>
      <c r="S2225">
        <v>0</v>
      </c>
      <c r="T2225">
        <v>0.1169</v>
      </c>
      <c r="U2225">
        <v>3</v>
      </c>
      <c r="V2225">
        <v>0</v>
      </c>
      <c r="W2225">
        <v>0</v>
      </c>
      <c r="X2225">
        <v>1</v>
      </c>
      <c r="Y2225">
        <v>0.38800000000000001</v>
      </c>
      <c r="Z2225">
        <v>1</v>
      </c>
    </row>
    <row r="2226" spans="1:26" x14ac:dyDescent="0.2">
      <c r="A2226" t="s">
        <v>191</v>
      </c>
      <c r="B2226">
        <v>2022</v>
      </c>
      <c r="C2226" t="str">
        <f t="shared" si="34"/>
        <v>VTH2022</v>
      </c>
      <c r="D2226">
        <v>4.3701963229719053E-14</v>
      </c>
      <c r="E2226">
        <v>3.0655607574566781E-2</v>
      </c>
      <c r="F2226">
        <v>0.91405770629711436</v>
      </c>
      <c r="G2226">
        <v>26.226289345231741</v>
      </c>
      <c r="H2226">
        <v>1.311677673594196</v>
      </c>
      <c r="I2226">
        <v>0.65011625793683336</v>
      </c>
      <c r="J2226">
        <v>5.9013366427485232E-2</v>
      </c>
      <c r="K2226">
        <v>-7.4951104486777984E-2</v>
      </c>
      <c r="L2226">
        <v>0.18470864077258201</v>
      </c>
      <c r="M2226">
        <v>17</v>
      </c>
      <c r="N2226">
        <v>0</v>
      </c>
      <c r="O2226">
        <v>0</v>
      </c>
      <c r="P2226">
        <v>0.78370000000000006</v>
      </c>
      <c r="Q2226">
        <v>0.4582</v>
      </c>
      <c r="R2226">
        <v>0</v>
      </c>
      <c r="S2226">
        <v>0</v>
      </c>
      <c r="T2226">
        <v>0.1169</v>
      </c>
      <c r="U2226">
        <v>3</v>
      </c>
      <c r="V2226">
        <v>0</v>
      </c>
      <c r="W2226">
        <v>0</v>
      </c>
      <c r="X2226">
        <v>1</v>
      </c>
      <c r="Y2226">
        <v>0.375</v>
      </c>
      <c r="Z2226">
        <v>1</v>
      </c>
    </row>
    <row r="2227" spans="1:26" x14ac:dyDescent="0.2">
      <c r="A2227" t="s">
        <v>191</v>
      </c>
      <c r="B2227">
        <v>2023</v>
      </c>
      <c r="C2227" t="str">
        <f t="shared" si="34"/>
        <v>VTH2023</v>
      </c>
      <c r="D2227">
        <v>15426830692.90918</v>
      </c>
      <c r="E2227">
        <v>3.9246940149097811E-2</v>
      </c>
      <c r="F2227">
        <v>0.72985991163863961</v>
      </c>
      <c r="G2227">
        <v>26.584071223601882</v>
      </c>
      <c r="H2227">
        <v>1.255753149814943</v>
      </c>
      <c r="I2227">
        <v>0.51829730891169801</v>
      </c>
      <c r="J2227">
        <v>0.43015363901349751</v>
      </c>
      <c r="K2227">
        <v>-0.1177175788492017</v>
      </c>
      <c r="L2227">
        <v>0.22675769089392139</v>
      </c>
      <c r="M2227">
        <v>18</v>
      </c>
      <c r="N2227">
        <v>0</v>
      </c>
      <c r="O2227">
        <v>0</v>
      </c>
      <c r="P2227">
        <v>0.78370000000000006</v>
      </c>
      <c r="Q2227">
        <v>0.4582</v>
      </c>
      <c r="R2227">
        <v>0</v>
      </c>
      <c r="S2227">
        <v>0</v>
      </c>
      <c r="T2227">
        <v>0.1169</v>
      </c>
      <c r="U2227">
        <v>3</v>
      </c>
      <c r="V2227">
        <v>0</v>
      </c>
      <c r="W2227">
        <v>0</v>
      </c>
      <c r="X2227">
        <v>1</v>
      </c>
      <c r="Y2227">
        <v>0.375</v>
      </c>
      <c r="Z22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 Phan Huy</dc:creator>
  <cp:lastModifiedBy>Tam Phan</cp:lastModifiedBy>
  <dcterms:created xsi:type="dcterms:W3CDTF">2025-08-28T06:24:01Z</dcterms:created>
  <dcterms:modified xsi:type="dcterms:W3CDTF">2025-08-28T06:30:23Z</dcterms:modified>
</cp:coreProperties>
</file>